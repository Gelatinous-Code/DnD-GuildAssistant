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Equipment" sheetId="1" r:id="rId5"/>
    <sheet state="visible" name="Augmentable Gear" sheetId="2" r:id="rId6"/>
    <sheet state="visible" name="Magical Weapons and Armor" sheetId="3" r:id="rId7"/>
    <sheet state="visible" name="Special Traits" sheetId="4" r:id="rId8"/>
    <sheet state="visible" name="Consumables &amp; Adventuring Gear" sheetId="5" r:id="rId9"/>
    <sheet state="visible" name="Class Items" sheetId="6" r:id="rId10"/>
    <sheet state="visible" name="No Attunement Required" sheetId="7" r:id="rId11"/>
    <sheet state="hidden" name="MasterList_Hidden" sheetId="8" r:id="rId12"/>
  </sheets>
  <definedNames>
    <definedName name="Power">'Augmentable Gear'!$A$19:$K$19</definedName>
    <definedName name="Base_Light_Armor">'Base Equipment'!$A$56:$I$56</definedName>
    <definedName localSheetId="1" name="Utility_Gear_Special">#REF!</definedName>
    <definedName name="Misc_Consumables">'Consumables &amp; Adventuring Gear'!$A$35:$K$35</definedName>
    <definedName name="Tier_3">#REF!</definedName>
    <definedName localSheetId="1" name="Healing_Special">#REF!</definedName>
    <definedName name="Utility_Gear_Special">'Special Traits'!$A$106:$K$106</definedName>
    <definedName name="Tattoo_Special">'Special Traits'!$A$270:$K$270</definedName>
    <definedName name="Upgrade_Instruments">'Magical Weapons and Armor'!$A$37:$I$37</definedName>
    <definedName name="Monk_Class">'Class Items'!$A$34:$I$34</definedName>
    <definedName name="Effect">'Augmentable Gear'!$A$28:$K$28</definedName>
    <definedName name="Ranger_Class">'Class Items'!$A$42:$I$42</definedName>
    <definedName name="Upgrade_Wands">'Magical Weapons and Armor'!$A$160:$I$160</definedName>
    <definedName name="Wizard_Class">'Class Items'!$A$66:$I$66</definedName>
    <definedName name="Upgrade_Spellcasting_Focus">'Magical Weapons and Armor'!$A$58:$I$58</definedName>
    <definedName name="Cleric_Class">'Class Items'!$A$23:$I$23</definedName>
    <definedName name="Imposes_Disadvantage_Special">'Special Traits'!$A$44:$K$44</definedName>
    <definedName name="Paladin_Class">'Class Items'!$A$37:$I$37</definedName>
    <definedName name="Sorcerer_Class">'Class Items'!$A$46:$I$46</definedName>
    <definedName name="Base_Melee_Martial_Weapons">'Base Equipment'!$A$21:$I$21</definedName>
    <definedName localSheetId="1" name="Bonus_Damage_Special">'Augmentable Gear'!$A$19:$K$19</definedName>
    <definedName name="Bard_Class">'Class Items'!$A$17:$I$17</definedName>
    <definedName name="Upgrade_Rings">'Magical Weapons and Armor'!$A$130:$I$130</definedName>
    <definedName localSheetId="1" name="Enspelled_Items_Special">#REF!</definedName>
    <definedName name="Base_Heavy_Armor">'Base Equipment'!$A$68:$I$68</definedName>
    <definedName name="Ioun_Stones_Special">'Special Traits'!$A$286:$K$286</definedName>
    <definedName name="SingleUse_Consumables">'Consumables &amp; Adventuring Gear'!$A$4:$K$4</definedName>
    <definedName localSheetId="1" name="Flying_Special">#REF!</definedName>
    <definedName name="Base_Tools_and_Instruments">'Base Equipment'!$A$82:$I$82</definedName>
    <definedName name="Upgrade_Rods">'Magical Weapons and Armor'!$A$154:$I$154</definedName>
    <definedName name="Upgrade_Generic_Variants">'Magical Weapons and Armor'!$A$87:$I$87</definedName>
    <definedName name="Stat_increasers_Special">#REF!</definedName>
    <definedName name="Potions_Consumables">'Consumables &amp; Adventuring Gear'!$A$8:$K$8</definedName>
    <definedName name="Upgrade_Martial_Ranged">#REF!</definedName>
    <definedName name="Bonus_Damage_Special">'Special Traits'!$A$56:$K$56</definedName>
    <definedName name="Upgrade_Martial_Melee">'Magical Weapons and Armor'!$A$24:$I$24</definedName>
    <definedName name="Poisons_Consumables">'Consumables &amp; Adventuring Gear'!$A$24:$K$24</definedName>
    <definedName name="Cosmetic">'Augmentable Gear'!$A$6:$K$6</definedName>
    <definedName name="Tier_2">#REF!</definedName>
    <definedName name="Druid_Class">'Class Items'!$A$29:$I$29</definedName>
    <definedName name="AdventuringGear_Consumables">'Consumables &amp; Adventuring Gear'!$A$40:$K$40</definedName>
    <definedName name="Upgrade_Medium_Armor">'Magical Weapons and Armor'!$A$42:$I$42</definedName>
    <definedName name="Base_Melee_Simple_Weapons">'Base Equipment'!$A$8:$I$8</definedName>
    <definedName name="Upgrade_Shields">'Magical Weapons and Armor'!$A$45:$I$45</definedName>
    <definedName localSheetId="1" name="Bonus_AC_Special">#REF!</definedName>
    <definedName name="Warlock_Class">'Class Items'!$A$62:$I$62</definedName>
    <definedName name="Resistance_Items_Special">'Special Traits'!$A$196:$K$196</definedName>
    <definedName name="Healing_Special">'Special Traits'!$A$86:$K$86</definedName>
    <definedName localSheetId="1" name="Resistance_Items_Special">#REF!</definedName>
    <definedName name="Enspelled_Items_Special">'Special Traits'!$A$234:$K$234</definedName>
    <definedName name="Bonus_AC_Special">'Special Traits'!$A$77:$K$77</definedName>
    <definedName localSheetId="1" name="Utility_Weapon_Special">#REF!</definedName>
    <definedName localSheetId="1" name="Tattoo_Special">#REF!</definedName>
    <definedName localSheetId="1" name="Grants_Advantage_Special">'Augmentable Gear'!$A$6:$K$6</definedName>
    <definedName name="Base_Shields">'Base Equipment'!$A$74:$I$74</definedName>
    <definedName name="Base_Ranged_Martial_Weapons">'Base Equipment'!$A$50:$I$50</definedName>
    <definedName name="Utility_Weapon_Special">'Special Traits'!$A$180:$K$180</definedName>
    <definedName name="Upgrade_Simple_Ranged">'Magical Weapons and Armor'!$A$34:$I$34</definedName>
    <definedName name="Base_Spellcasting_Focus">'Base Equipment'!$A$77:$I$77</definedName>
    <definedName name="Base_Medium_Armor">'Base Equipment'!$A$61:$I$61</definedName>
    <definedName name="Base_Adventuring_Gear">'Base Equipment'!$113:$113</definedName>
    <definedName name="Spellcaster_Class">'Class Items'!$A$80:$I$80</definedName>
    <definedName name="Tier_1">#REF!</definedName>
    <definedName name="Base_Ranged_Simple_Weapons">'Base Equipment'!$A$44:$I$44</definedName>
    <definedName localSheetId="1" name="Stat_increasers_Special">#REF!</definedName>
    <definedName name="Flying_Special">'Special Traits'!$A$187:$K$187</definedName>
    <definedName name="Grants_Advantage_Special">'Special Traits'!$A$5:$K$5</definedName>
    <definedName name="Artificer_Class">'Class Items'!$A$7:$I$7</definedName>
    <definedName localSheetId="1" name="Imposes_Disadvantage_Special">'Augmentable Gear'!$A$28:$K$28</definedName>
    <definedName localSheetId="1" name="Ioun_Stones_Special">#REF!</definedName>
    <definedName name="Upgrade_Simple_Melee">'Magical Weapons and Armor'!$A$6:$I$6</definedName>
    <definedName hidden="1" localSheetId="7" name="_xlnm._FilterDatabase">MasterList_Hidden!$A$1:$AK$1869</definedName>
  </definedNames>
  <calcPr/>
</workbook>
</file>

<file path=xl/sharedStrings.xml><?xml version="1.0" encoding="utf-8"?>
<sst xmlns="http://schemas.openxmlformats.org/spreadsheetml/2006/main" count="4181" uniqueCount="1202">
  <si>
    <t>Name</t>
  </si>
  <si>
    <t>Source</t>
  </si>
  <si>
    <t>Rarity</t>
  </si>
  <si>
    <t>Type</t>
  </si>
  <si>
    <t>Attunement</t>
  </si>
  <si>
    <t>Damage</t>
  </si>
  <si>
    <t>Properties</t>
  </si>
  <si>
    <t>Mastery</t>
  </si>
  <si>
    <t>Text</t>
  </si>
  <si>
    <t>Cost</t>
  </si>
  <si>
    <t>Base Equipment - Most is provided by the Second Dawn Guild to Members free of charge, within reason</t>
  </si>
  <si>
    <t>The best armors of each category have a small charge and are NOT free, but are listed here</t>
  </si>
  <si>
    <t>Melee Simple Weapons</t>
  </si>
  <si>
    <t>Melee Martial Weapons</t>
  </si>
  <si>
    <t>Light Armor</t>
  </si>
  <si>
    <t>Ranged Simple Weapons</t>
  </si>
  <si>
    <t>Ranged Martial Weapons</t>
  </si>
  <si>
    <t>Medium Armor</t>
  </si>
  <si>
    <t>Spellcasting Focuses</t>
  </si>
  <si>
    <t>Tools and Instruments</t>
  </si>
  <si>
    <t>Heavy Armor</t>
  </si>
  <si>
    <t>Adventuring Gear</t>
  </si>
  <si>
    <t>Shields</t>
  </si>
  <si>
    <t>Shield</t>
  </si>
  <si>
    <t>Spellcasting Focus</t>
  </si>
  <si>
    <t>Augmentable Gear is gear that you can upgrade from a basic, free item (found in Base Equipment tab)</t>
  </si>
  <si>
    <t>In addition to the base item, you can take one augment from each category.  If an augment requires attunement, the item now does as well following the same rules</t>
  </si>
  <si>
    <t>All Augments are restricted to items with the same base types as the original item.  For example, Dagger of Venom is a Simple Melee weapon, and can be applied to Simple Melee weapons.  Another example, Adamantine Armor can apply to medium or heavy armor, but not hide.  The same is true if you use it as an augment.  The exception is "Wand of" items, which we are ruling can be added to any item, and help make a given item a spellcasting focus if desired, similar to Ruby of the Warmage.  As always, clarification is available on request.</t>
  </si>
  <si>
    <t>Costmetic Augments</t>
  </si>
  <si>
    <t>Power Augments</t>
  </si>
  <si>
    <t>Effect Augments</t>
  </si>
  <si>
    <t>Cosmetic</t>
  </si>
  <si>
    <t>Power</t>
  </si>
  <si>
    <t>Effect</t>
  </si>
  <si>
    <t>Instruments</t>
  </si>
  <si>
    <t>Generic Variants</t>
  </si>
  <si>
    <t>Rings</t>
  </si>
  <si>
    <t>Rods</t>
  </si>
  <si>
    <t>Wands</t>
  </si>
  <si>
    <t>Instrument</t>
  </si>
  <si>
    <t>Generic Variant Weapons and Armor</t>
  </si>
  <si>
    <t>Generic Variant weapons and armor are magical items that can be applied to Base equipment that you can get for free from the guild.  It keeps all statistics from the base equipment in addition to the statistics listed for the variant.</t>
  </si>
  <si>
    <t>Grants Advantage</t>
  </si>
  <si>
    <t>Imposes Disadvantage</t>
  </si>
  <si>
    <t>Bonus Damage</t>
  </si>
  <si>
    <t>Bonus AC</t>
  </si>
  <si>
    <t>Healing</t>
  </si>
  <si>
    <t>Utility Gear</t>
  </si>
  <si>
    <t>Utility Weapons</t>
  </si>
  <si>
    <t>Flying</t>
  </si>
  <si>
    <t>Resistance Items</t>
  </si>
  <si>
    <t>Enspelled Items</t>
  </si>
  <si>
    <t>Tattoos</t>
  </si>
  <si>
    <t>Ioun Stones</t>
  </si>
  <si>
    <t>Utility Weapon</t>
  </si>
  <si>
    <t>Tattoo</t>
  </si>
  <si>
    <t>Single Use</t>
  </si>
  <si>
    <t>Potions</t>
  </si>
  <si>
    <t>Poisons</t>
  </si>
  <si>
    <t>Consumable Misc</t>
  </si>
  <si>
    <t>All consumables except those under 'Single Use' are priced as a one time payment to receive a contract from the guild promising you one of these, for use at any time of your choosing, for each mission you take part in.  The mass produced quality of these items means if they are not used, they will expire, and cannot be saved.</t>
  </si>
  <si>
    <t>Single Use Consumables</t>
  </si>
  <si>
    <t>Poison</t>
  </si>
  <si>
    <t>If a link is not active then there are no unique items available for that class</t>
  </si>
  <si>
    <t>Artificer</t>
  </si>
  <si>
    <t>Barbarian</t>
  </si>
  <si>
    <t>Bard</t>
  </si>
  <si>
    <t>Cleric</t>
  </si>
  <si>
    <t>Druid</t>
  </si>
  <si>
    <t>Fighter</t>
  </si>
  <si>
    <t>Monk</t>
  </si>
  <si>
    <t>Paladin</t>
  </si>
  <si>
    <t>Ranger</t>
  </si>
  <si>
    <t>Rogue</t>
  </si>
  <si>
    <t>Sorcerer</t>
  </si>
  <si>
    <t>Warlock</t>
  </si>
  <si>
    <t>Wizard</t>
  </si>
  <si>
    <t>Generic Spellcaster Items</t>
  </si>
  <si>
    <t>Artificer Items</t>
  </si>
  <si>
    <t>Bard Items</t>
  </si>
  <si>
    <t>Cleric Items</t>
  </si>
  <si>
    <t>Druid Items</t>
  </si>
  <si>
    <t>Monk Items</t>
  </si>
  <si>
    <t>Paladin Items</t>
  </si>
  <si>
    <t>Ranger Items</t>
  </si>
  <si>
    <t>Sorcerer Items</t>
  </si>
  <si>
    <t>Warlock Items</t>
  </si>
  <si>
    <t>Wizard Items</t>
  </si>
  <si>
    <t>Spellcaster Items</t>
  </si>
  <si>
    <t>No Attunement Required Items</t>
  </si>
  <si>
    <t>Tags</t>
  </si>
  <si>
    <t>Attunement 2</t>
  </si>
  <si>
    <t>Augment Tags</t>
  </si>
  <si>
    <t>Custom Tags</t>
  </si>
  <si>
    <t>Armor Tags</t>
  </si>
  <si>
    <t>Weapon Tags</t>
  </si>
  <si>
    <t>Armor Weapon Tags 2</t>
  </si>
  <si>
    <t>Item Tag</t>
  </si>
  <si>
    <t>Item Tag 2</t>
  </si>
  <si>
    <t>Item Tag 3</t>
  </si>
  <si>
    <t>Item Tag 4</t>
  </si>
  <si>
    <t>Resistance</t>
  </si>
  <si>
    <t>Focuses</t>
  </si>
  <si>
    <t>Stat Increasers</t>
  </si>
  <si>
    <t>Base Weapons</t>
  </si>
  <si>
    <t>Base Armor</t>
  </si>
  <si>
    <t>Ranged Weapons</t>
  </si>
  <si>
    <t>Melee Weapons</t>
  </si>
  <si>
    <t>Armors</t>
  </si>
  <si>
    <t>Rarity Sort</t>
  </si>
  <si>
    <t>Adjustable Stilts</t>
  </si>
  <si>
    <t>WDH</t>
  </si>
  <si>
    <t>none</t>
  </si>
  <si>
    <t>Other</t>
  </si>
  <si>
    <t>The stilts take 1 minute to put on or remove. They increase the height of any humanoid wearing them by 2 to 5 feet. Each stilt weighs 8 pounds and is 1 foot long when fully collapsed.</t>
  </si>
  <si>
    <t>Free to Guild Adventurers in Good Standing</t>
  </si>
  <si>
    <t>Arcane Focus</t>
  </si>
  <si>
    <t>PHB'24</t>
  </si>
  <si>
    <t>An Arcane Focus takes a specific form and is bejeweled or carved to channel arcane magic. A Sorcerer, Warlock, or Wizard can use such an item as a Spellcasting Focus. Multiple variations of this item exist, as listed below:Crystal Orb Rod Staff Wand</t>
  </si>
  <si>
    <t>Base Item</t>
  </si>
  <si>
    <t>Backpack</t>
  </si>
  <si>
    <t>A Backpack holds up to 30 pounds within 1 cubic foot. It can also serve as a saddlebag.</t>
  </si>
  <si>
    <t>Ball Bearings</t>
  </si>
  <si>
    <t>As a Utilize action, you can spill Ball Bearings from their pouch. They spread to cover a level, 10-foot-square area within 10 feet of yourself. A creature that enters this area for the first time on a turn must succeed on a DC 10 Dexterity saving throw or have the Prone condition. It takes 10 minutes to recover the Ball Bearings.</t>
  </si>
  <si>
    <t>Barking Box</t>
  </si>
  <si>
    <t>This metal cube, 6 inches on a side, has a crank on top. Using an action to wind the crank activates the box for 8 hours. While activated, the box barks whenever it detects vibrations within 15 feet of it, as long as the box and the source of the vibrations are in contact with the same ground or substance. A switch on one side of the box sets the device to emit either a small dog's bark or a large dog's bark.</t>
  </si>
  <si>
    <t>Barrel</t>
  </si>
  <si>
    <t>A Barrel holds up to 40 gallons of liquid or up to 4 cubic feet of dry goods.</t>
  </si>
  <si>
    <t>Basket</t>
  </si>
  <si>
    <t>A Basket holds up to 40 pounds within 2 cubic feet.</t>
  </si>
  <si>
    <t>Bedroll</t>
  </si>
  <si>
    <t>A Bedroll sleeps one Small or Medium creature. While in a Bedroll, you automatically succeed on saving throws against extreme cold (see the Dungeon Master's Guide).</t>
  </si>
  <si>
    <t>Bell</t>
  </si>
  <si>
    <t>When rung as a Utilize action, a Bell produces a sound that can be heard up to 60 feet away.</t>
  </si>
  <si>
    <t>Blanket</t>
  </si>
  <si>
    <t>While wrapped in a blanket, you have Advantage on saving throws against extreme cold (see the Dungeon Master's Guide).</t>
  </si>
  <si>
    <t>Block and Tackle</t>
  </si>
  <si>
    <t>A Block and Tackle allows you to hoist up to four times the weight you can normally lift.</t>
  </si>
  <si>
    <t>Book</t>
  </si>
  <si>
    <t>A Book contains fiction or nonfiction. If you consult an accurate nonfiction Book about its topic, you gain a +5 bonus to Intelligence (Arcana, History, Nature, or Religion) checks you make about that topic.</t>
  </si>
  <si>
    <t>Bucket</t>
  </si>
  <si>
    <t>A Bucket holds up to half a cubic foot of contents.</t>
  </si>
  <si>
    <t>Bullseye Lantern</t>
  </si>
  <si>
    <t>A Bullseye Lantern burns Oil as fuel to cast Bright Light in a 60-foot Cone and Dim Light for an additional 60 feet.</t>
  </si>
  <si>
    <t>Burglar's Pack</t>
  </si>
  <si>
    <t>A Burglar's Pack contains the following items: Backpack, Ball Bearings, Bell, 10 Candles, Crowbar, Hooded Lantern, 7 flasks of Oil, 5 days of Rations, Rope, Tinderbox, and Waterskin.</t>
  </si>
  <si>
    <t>Caltrops</t>
  </si>
  <si>
    <t>As a Utilize action, you can spread Caltrops from their bag to cover a 5-foot-square area within 5 feet of yourself. A creature that enters this area for the first time on a turn must succeed on a DC 15 Dexterity saving throw or take 1 Piercing damage and have its Speed reduced to 0 until the start of its next turn. It takes 10 minutes to recover the Caltrops.</t>
  </si>
  <si>
    <t>Candle</t>
  </si>
  <si>
    <t>For 1 hour, a lit Candle sheds Bright Light in a 5-foot radius and Dim Light for an additional 5 feet.</t>
  </si>
  <si>
    <t>Chain</t>
  </si>
  <si>
    <t>As a Utilize action, you can wrap a Chain around an unwilling creature within 5 feet of yourself that has the Grappled, Incapacitated, or Restrained condition if you succeed on a DC 13 Strength (Athletics) check. If the creature's legs are bound, the creature has the Restrained condition until it escapes. Escaping the Chain requires the creature to make a successful DC 18 Dexterity (Acrobatics) check as an action. Bursting the Chain requires a successful DC 20 Strength (Athletics) check as an action.</t>
  </si>
  <si>
    <t>Chalk (1 piece)</t>
  </si>
  <si>
    <t>PHB'14</t>
  </si>
  <si>
    <t>A piece of chalk can be used to mark surfaces.</t>
  </si>
  <si>
    <t>Chest</t>
  </si>
  <si>
    <t>A Chest holds up to 12 cubic feet of contents.</t>
  </si>
  <si>
    <t>Climber's Kit</t>
  </si>
  <si>
    <t>A Climber's Kit includes boot tips, gloves, pitons, and a harness. As a Utilize action, you can use the Climber's Kit to anchor yourself; when you do, you can't fall more than 25 feet from the anchor point, and you can't move more than 25 feet from there without undoing the anchor as a Bonus Action.</t>
  </si>
  <si>
    <t>Clothing, cold weather</t>
  </si>
  <si>
    <t>IDRotF</t>
  </si>
  <si>
    <t>This outfit consists of a heavy fur coat or cloak over layers of wool clothing, as well as a fur-lined hat or hood, goggles, and fur-lined leather boots and gloves.As long as cold weather clothing remains dry, its wearer automatically succeeds on saving throws against the effects of extreme cold.</t>
  </si>
  <si>
    <t>Component Pouch</t>
  </si>
  <si>
    <t>A Component Pouch is watertight and filled with compartments that hold all the free Material components of your spells.</t>
  </si>
  <si>
    <t>Costume</t>
  </si>
  <si>
    <t>While wearing a Costume, you have Advantage on any ability check you make to impersonate the person or type of person it represents.</t>
  </si>
  <si>
    <t>Crampons</t>
  </si>
  <si>
    <t>A crampon is a metal plate with spikes that is strapped to the sole of a boot. A creature wearing crampons can't fall prone while moving across slippery ice.</t>
  </si>
  <si>
    <t>Crossbow Bolt Case</t>
  </si>
  <si>
    <t>A Crossbow Bolt Case holds up to 20 Bolts.</t>
  </si>
  <si>
    <t>Crowbar</t>
  </si>
  <si>
    <t>Using a Crowbar gives you Advantage on Strength checks where the Crowbar's leverage can be applied.</t>
  </si>
  <si>
    <t>Desert Clothing</t>
  </si>
  <si>
    <t>FRHoF</t>
  </si>
  <si>
    <t>When you are wearing Desert Clothing and not wearing Medium or Heavy armor, you automatically succeed on saving throws against the effects of extreme heat.</t>
  </si>
  <si>
    <t>Devil Mask</t>
  </si>
  <si>
    <t>While you are wearing a Devil Mask, other creatures have Disadvantage on Intelligence (Investigation) and Wisdom (Insight) checks made to discern your true identity or intentions.</t>
  </si>
  <si>
    <t>Diplomat's Pack</t>
  </si>
  <si>
    <t>A Diplomat's Pack contains the following items: Chest, Fine Clothes, Ink, 5 Ink Pens, Lamp, 2 Map or Scroll Cases, 4 flasks of Oil, 5 sheets of Paper, 5 sheets of Parchment, Perfume, and Tinderbox.</t>
  </si>
  <si>
    <t>Druidic Focus</t>
  </si>
  <si>
    <t>A Druidic Focus takes a specific form and is carved, tied with ribbon, or painted to channel primal magic. A Druid or Ranger can use such an object as a Spellcasting Focus. Multiple variations of this item exist, as listed below:Sprig of mistletoe Wooden staff Yew wand</t>
  </si>
  <si>
    <t>Dungeoneer's Pack</t>
  </si>
  <si>
    <t>A Dungeoneer's Pack contains the following items: Backpack, Caltrops, Crowbar, 2 flasks of Oil, 10 days of Rations, Rope, Tinderbox, 10 Torches, and Waterskin.</t>
  </si>
  <si>
    <t>Entertainer's Pack</t>
  </si>
  <si>
    <t>An Entertainer's Pack contains the following items: Backpack, Bedroll, Bell, Bullseye Lantern, 3 Costumes, Mirror, 8 flasks of Oil, 9 days of Rations, Tinderbox, and Waterskin.</t>
  </si>
  <si>
    <t>Explorer's Pack</t>
  </si>
  <si>
    <t>An Explorer's Pack contains the following items: Backpack, Bedroll, 2 flasks of Oil, 10 days of Rations, Rope, Tinderbox, 10 Torches, and Waterskin.</t>
  </si>
  <si>
    <t>Fine Clothes</t>
  </si>
  <si>
    <t>Fine Clothes are made of expensive fabrics and adorned with expertly crafted details. Some events and locations admit only people wearing these clothes.</t>
  </si>
  <si>
    <t>Fishing Tackle</t>
  </si>
  <si>
    <t>This kit includes a wooden rod, silken line, corkwood bobbers, steel hooks, lead sinkers, velvet lures, and narrow netting.</t>
  </si>
  <si>
    <t>Flask</t>
  </si>
  <si>
    <t>A Flask holds up to 1 pint.</t>
  </si>
  <si>
    <t>Glass Bottle</t>
  </si>
  <si>
    <t>A Glass Bottle holds up to 1 ½ pints.</t>
  </si>
  <si>
    <t>Grappling Hook</t>
  </si>
  <si>
    <t>As a Utilize action, you can throw the Grappling Hook at a railing, a ledge, or another catch within 50 feet of yourself, and the hook catches on if you succeed on a DC 13 Dexterity (Acrobatics) check. If you tied a Rope to the hook, you can then climb it.</t>
  </si>
  <si>
    <t>Holy Symbol</t>
  </si>
  <si>
    <t>A Holy Symbol takes a specific form and is bejeweled or painted to channel divine magic. A Cleric or Paladin can use a Holy Symbol as a Spellcasting Focus. Multiple variations of this item exist, as listed below:Amulet Emblem Reliquary</t>
  </si>
  <si>
    <t>Hooded Lantern</t>
  </si>
  <si>
    <t>A Hooded Lantern burns Oil as fuel to cast Bright Light in a 30-foot radius and Dim Light for an additional 30 feet. As a Bonus Action, you can lower the hood, reducing the light to Dim Light in a 5-foot radius, or raise it again.</t>
  </si>
  <si>
    <t>Hourglass</t>
  </si>
  <si>
    <t>An hourglass can be used to measure time precisely.</t>
  </si>
  <si>
    <t>Hunting Trap</t>
  </si>
  <si>
    <t>As a Utilize action, you can set a Hunting Trap, which is a sawtooth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1d4 Piercing damage and have its Speed reduced to 0 until the start of its next turn. Thereafter, until the creature breaks free of the trap, its movement is limited by the length of the chain (typically 3 feet). A creature can use its action to make a DC 13 Strength (Athletics) check, freeing itself or another creature within its reach on a success. Each failed check deals 1 Piercing damage to the trapped creature.</t>
  </si>
  <si>
    <t>Ink</t>
  </si>
  <si>
    <t>Ink comes in a 1-ounce bottle, which provides enough ink to write about 500 pages.</t>
  </si>
  <si>
    <t>Ink Pen</t>
  </si>
  <si>
    <t>Using Ink, an Ink Pen is used to write or draw.</t>
  </si>
  <si>
    <t>Iron Pot</t>
  </si>
  <si>
    <t>An Iron Pot holds up to 1 gallon.</t>
  </si>
  <si>
    <t>Iron Spike</t>
  </si>
  <si>
    <t>Iron Spikes come in bundles of ten. As a Utilize action, you can use a blunt object, such as a Light Hammer, to hammer a spike into wood, earth, or a similar material. You can do so to jam a door shut or to then tie a Rope or Chain to the Spike.</t>
  </si>
  <si>
    <t>Iron Spikes</t>
  </si>
  <si>
    <t>Jug</t>
  </si>
  <si>
    <t>A Jug holds up to 1 gallon.</t>
  </si>
  <si>
    <t>Ladder</t>
  </si>
  <si>
    <t>A Ladder is 10 feet tall. You must climb to move up or down it.</t>
  </si>
  <si>
    <t>Lamp</t>
  </si>
  <si>
    <t>A Lamp burns Oil as fuel to cast Bright Light in a 15-foot radius and Dim Light for an additional 30 feet.</t>
  </si>
  <si>
    <t>Lock</t>
  </si>
  <si>
    <t>A Lock comes with a key. Without the key, a creature can use Thieves' Tools to pick this Lock with a successful DC 15 Dexterity (Sleight of Hand) check.</t>
  </si>
  <si>
    <t>Locking Spellbook</t>
  </si>
  <si>
    <t>This 100-page leather-bound tome can be used as a Spellbook. It is closed with a lock that comes with a key. As a Utilize action, a creature can try to pick the lock using Thieves' Tools, doing so with a successful DC 15 Dexterity (Sleight of Hand) check.</t>
  </si>
  <si>
    <t>Magnifying Glass</t>
  </si>
  <si>
    <t>A Magnifying Glass grants Advantage on any ability check made to appraise or inspect a highly detailed item. Lighting a fire with a Magnifying Glass requires light as bright as sunlight to focus, tinder to ignite, and about 5 minutes for the fire to ignite.</t>
  </si>
  <si>
    <t>Manacles</t>
  </si>
  <si>
    <t>As a Utilize action, you can use Manacles to bind an unwilling Small or Medium creature within 5 feet of yourself that has the Grappled, Incapacitated, or Restrained condition if you succeed on a DC 13 Dexterity (Sleight of Hand) check. While bound, a creature has Disadvantage on attack rolls, and the creature is Restrained if the Manacles are attached to a chain or hook that is fixed in place. Escaping the Manacles requires a successful DC 20 Dexterity (Sleight of Hand) check as an action. Bursting them requires a successful DC 25 Strength (Athletics) check as an action.Each set of Manacles comes with a key. Without the key, a creature can use Thieves' Tools to pick the Manacles' lock with a successful DC 15 Dexterity (Sleight of Hand) check.</t>
  </si>
  <si>
    <t>Map</t>
  </si>
  <si>
    <t>If you consult an accurate Map, you gain a +5 bonus to Wisdom (Survival) checks you make to find your way in the place represented on it.</t>
  </si>
  <si>
    <t>Map or Scroll Case</t>
  </si>
  <si>
    <t>A Map or Scroll Case holds up to 10 sheets of paper or 5 sheets of parchment.</t>
  </si>
  <si>
    <t>Merchant's Scale</t>
  </si>
  <si>
    <t>A scale includes a small balance, pans, and a suitable assortment of weights up to 2 pounds. With it, you can measure the exact weight of small objects, such as raw precious metals or trade goods, to help determine their worth.</t>
  </si>
  <si>
    <t>Mess Kit</t>
  </si>
  <si>
    <t>This tin box contains a cup and simple cutlery. The box clamps together, and one side can be used as a cooking pan and the other as a plate or shallow bowl.</t>
  </si>
  <si>
    <t>Mirror</t>
  </si>
  <si>
    <t>A handheld steel Mirror is useful for personal cosmetics but also for peeking around corners and reflecting light as a signal.</t>
  </si>
  <si>
    <t>Monster Camouflage</t>
  </si>
  <si>
    <t>A suit of Monster Camouflage looks like a Beast or Monstrosity, such as an owlbear. To discern that you're disguised, a creature must take the Study action to inspect your appearance and succeed on a DC 10 Intelligence (Investigation or Nature) check. The creature has Advantage on this check if it is within 30 feet of you and automatically succeeds on this check if you do anything the monster you're disguised as couldn't do.</t>
  </si>
  <si>
    <t>Monster Hunter's Pack</t>
  </si>
  <si>
    <t>VRGR</t>
  </si>
  <si>
    <t>Includes:a chest, a crowbar, a hammer, three wooden stakes, a holy symbol, a flask of holy water, a set of manacles, a steel mirror, a flask of oil, a tinderbox, 3 torches</t>
  </si>
  <si>
    <t>Net</t>
  </si>
  <si>
    <t>When you take the Attack action, you can replace one of your attacks with throwing a Net. Target a creature you can see within 15 feet of yourself. The target must succeed on a Dexterity saving throw (DC 8 plus your Dexterity modifier and Proficiency Bonus) or have the Restrained condition until it escapes. The target succeeds automatically if it is Huge or larger.To escape, the target or a creature within 5 feet of it must take an action to make a DC 10 Strength (Athletics) check, freeing the Restrained creature on a success. Destroying the Net (AC 10; 5 HP; Immunity to Bludgeoning, Poison, and Psychic damage) also frees the target, ending the effect.</t>
  </si>
  <si>
    <t>Paper</t>
  </si>
  <si>
    <t>One sheet of Paper can hold about 250 handwritten words.</t>
  </si>
  <si>
    <t>Parchment</t>
  </si>
  <si>
    <t>One sheet of Parchment can hold about 250 handwritten words.</t>
  </si>
  <si>
    <t>Perfume</t>
  </si>
  <si>
    <t>Perfume comes in a 4-ounce vial. For 1 hour after applying Perfume to yourself, you have Advantage on Charisma (Persuasion) checks made to influence an Indifferent Humanoid within 5 feet of yourself.</t>
  </si>
  <si>
    <t>Pitcher</t>
  </si>
  <si>
    <t>A pitcher holds 1 gallon of liquid.</t>
  </si>
  <si>
    <t>Pole</t>
  </si>
  <si>
    <t>A Pole is 10 feet long. You can use it to touch something up to 10 feet away. If you must make a Strength (Athletics) check as part of a High or Long Jump, you can use the Pole to vault, giving yourself Advantage on the check.</t>
  </si>
  <si>
    <t>Portable Ram</t>
  </si>
  <si>
    <t>You can use a Portable Ram to break down doors. When doing so, you gain a +4 bonus to the Strength check. One other character can help you use the ram, giving you Advantage on this check.</t>
  </si>
  <si>
    <t>Pouch</t>
  </si>
  <si>
    <t>A Pouch holds up to 6 pounds within one-fifth of a cubic foot.</t>
  </si>
  <si>
    <t>Priest's Pack</t>
  </si>
  <si>
    <t>A Priest's Pack contains the following items: Backpack, Blanket, Holy Water, Lamp, 7 days of Rations, Robe, and Tinderbox.</t>
  </si>
  <si>
    <t>Quiver</t>
  </si>
  <si>
    <t>A Quiver holds up to 20 Arrows.</t>
  </si>
  <si>
    <t>Rations</t>
  </si>
  <si>
    <t>Rations consist of travel-ready food, including jerky, dried fruit, hardtack, and nuts. See "Malnutrition" for the risks of not eating.</t>
  </si>
  <si>
    <t>Robe</t>
  </si>
  <si>
    <t>A Robe has vocational or ceremonial significance. Some events and locations admit only people wearing a Robe bearing certain colors or symbols.</t>
  </si>
  <si>
    <t>Rope</t>
  </si>
  <si>
    <t>As a Utilize action, you can tie a knot with Rope if you succeed on a DC 10 Dexterity (Sleight of Hand) check. The Rope can be burst with a successful DC 20 Strength (Athletics) check.You can bind an unwilling creature with the Rope only if the creature has the Grappled, Incapacitated, or Restrained condition. If the creature's legs are bound, the creature has the Restrained condition until it escapes. Escaping the Rope requires the creature to make a successful DC 15 Dexterity (Acrobatics) check as an action.</t>
  </si>
  <si>
    <t>Sack</t>
  </si>
  <si>
    <t>A Sack holds up to 30 pounds within 1 cubic foot.</t>
  </si>
  <si>
    <t>Scholar's Pack</t>
  </si>
  <si>
    <t>A Scholar's Pack contains the following items: Backpack, Book, Ink, Ink Pen, Lamp, 10 flasks of Oil, 10 sheets of Parchment, and Tinderbox.</t>
  </si>
  <si>
    <t>Shovel</t>
  </si>
  <si>
    <t>Working for 1 hour, you can use a Shovel to dig a hole that is 5 feet on each side in soil or similar material.</t>
  </si>
  <si>
    <t>Signal Whistle</t>
  </si>
  <si>
    <t>When blown as a Utilize action, a Signal Whistle produces a sound that can be heard up to 600 feet away.</t>
  </si>
  <si>
    <t>Silk Rope (50 feet)</t>
  </si>
  <si>
    <t>Rope, whether made of hemp or silk, has 2 hit points and can be burst with a DC 17 Strength check.</t>
  </si>
  <si>
    <t>Snowshoes</t>
  </si>
  <si>
    <t>Snowshoes reduce the likelihood of their wearer getting stuck in the deep snow.</t>
  </si>
  <si>
    <t>Spyglass</t>
  </si>
  <si>
    <t>Objects viewed through a Spyglass are magnified to twice their size.</t>
  </si>
  <si>
    <t>Tankard</t>
  </si>
  <si>
    <t>A tankard holds 1 pint of liquid.</t>
  </si>
  <si>
    <t>Tent</t>
  </si>
  <si>
    <t>A Tent sleeps up to two Small or Medium creatures.</t>
  </si>
  <si>
    <t>Tinderbox</t>
  </si>
  <si>
    <t>A Tinderbox is a small container holding flint, fire steel, and tinder (usually dry cloth soaked in light oil) used to kindle a fire. Using it to light a Candle, Lamp, Lantern, or Torchâ_x0080__x0094_or anything else with exposed fuelâ_x0080__x0094_takes a Bonus Action. Lighting any other fire takes 1 minute.</t>
  </si>
  <si>
    <t>Torch</t>
  </si>
  <si>
    <t>A Torch burns for 1 hour, casting Bright Light in a 20-foot radius and Dim Light for an additional 20 feet. When you take the Attack action, you can attack with the Torch, using it as a Simple Melee weapon. On a hit, the target takes 1 Fire damage.</t>
  </si>
  <si>
    <t>Traveler's Clothes</t>
  </si>
  <si>
    <t>Traveler's Clothes are resilient garments designed for travel in various environments.</t>
  </si>
  <si>
    <t>Vial</t>
  </si>
  <si>
    <t>A Vial holds up to 4 ounces.</t>
  </si>
  <si>
    <t>Waterskin</t>
  </si>
  <si>
    <t>A Waterskin holds up to 4 pints. If you don't drink sufficient water, you risk dehydration.</t>
  </si>
  <si>
    <t>Winter Camouflage</t>
  </si>
  <si>
    <t>While you wear Winter Camouflage in an appropriate environment, you have Advantage on Dexterity (Stealth) checks.</t>
  </si>
  <si>
    <t>Alchemist's Supplies</t>
  </si>
  <si>
    <t>Artisan's Tools</t>
  </si>
  <si>
    <t>Ability: Intelligence Utilize: Identify a substance (DC 15), or start a fire (DC 15)Craft: Acid, Alchemist's Fire, Component Pouch, Oil, Paper, Perfume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</si>
  <si>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Free to Guild Adventurers with Item Proficiency</t>
  </si>
  <si>
    <t>Battleaxe</t>
  </si>
  <si>
    <t>Martial Weapon, Melee Weapon</t>
  </si>
  <si>
    <t>1d8 Slashing</t>
  </si>
  <si>
    <t>Versatile (1d10)</t>
  </si>
  <si>
    <t>Mastery: Topple</t>
  </si>
  <si>
    <t>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</si>
  <si>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Martial Weapon</t>
  </si>
  <si>
    <t>Blowgun</t>
  </si>
  <si>
    <t>Martial Weapon, Ranged Weapon</t>
  </si>
  <si>
    <t>1 Piercing</t>
  </si>
  <si>
    <t>Ammunition (Range 25/100 ft.; Needle), Loading</t>
  </si>
  <si>
    <t>Mastery: Vex</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</si>
  <si>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Mastery: Vex. If you hit a creature with this weapon and deal damage to the creature, you have Advantage on your next attack roll against that creature before the end of your next turn.</t>
  </si>
  <si>
    <t>Brewer's Supplies</t>
  </si>
  <si>
    <t>Ability: Intelligence Utilize: Detect poisoned drink (DC 15), or identify alcohol (DC 10)Craft: Antitoxin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</si>
  <si>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Calligrapher's Supplies</t>
  </si>
  <si>
    <t>Ability: Dexterity Utilize: Write text with impressive flourishes that guard against forgery (DC 15)Craft: Ink, Spell Scroll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</si>
  <si>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Carpenter's Tools</t>
  </si>
  <si>
    <t>Ability: Strength Utilize: Seal or pry open a door or container (DC 20)Craft: Club, Greatclub, Quarterstaff, Barrel, Chest, Ladder, Pole, Portable Ram, Torch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</si>
  <si>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Cartographer's Tools</t>
  </si>
  <si>
    <t>Ability: Wisdom Utilize: Draft a map of a small area (DC 15)Craft: Map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</si>
  <si>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Chain Mail</t>
  </si>
  <si>
    <t>AC 16</t>
  </si>
  <si>
    <t>The wearer has Disadvantage on Dexterity (Stealth) checks.If the wearer has a Strength score lower than 13, their speed is reduced by 10 feet.</t>
  </si>
  <si>
    <t>Chain Shirt</t>
  </si>
  <si>
    <t>AC 13 + Dex (max 2)</t>
  </si>
  <si>
    <t>Made of interlocking metal rings, a chain shirt is worn between layers of clothing or leather. This armor offers modest protection to the wearer's upper body and allows the sound of the rings rubbing against one another to be muffled by outer layers.</t>
  </si>
  <si>
    <t>Club</t>
  </si>
  <si>
    <t>Simple Weapon, Melee Weapon</t>
  </si>
  <si>
    <t>1d4 Bludgeoning</t>
  </si>
  <si>
    <t>Light</t>
  </si>
  <si>
    <t>Mastery: Slow</t>
  </si>
  <si>
    <t>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t>
  </si>
  <si>
    <t>Simple Weapon</t>
  </si>
  <si>
    <t>Cobbler's Tools</t>
  </si>
  <si>
    <t>Ability: Dexterity Utilize: Modify footwear to give Advantage on the wearer's next Dexterity (Acrobatics) check (DC 10)Craft: Climber's Kit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</si>
  <si>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Cook's Utensils</t>
  </si>
  <si>
    <t>Ability: Wisdom Utilize: Improve food's flavor (DC 10), or detect spoiled or poisoned food (DC 15)Craft: Rations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</si>
  <si>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Dagger</t>
  </si>
  <si>
    <t>1d4 Piercing</t>
  </si>
  <si>
    <t>Finesse, Light, Thrown (20/60 ft.)</t>
  </si>
  <si>
    <t>Mastery: Nick</t>
  </si>
  <si>
    <t>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t>
  </si>
  <si>
    <t>Dart</t>
  </si>
  <si>
    <t>Simple Weapon, Ranged Weapon</t>
  </si>
  <si>
    <t>Finesse, Thrown (20/60 ft.)</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</si>
  <si>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Finesse. When making an attack with a Finesse weapon, use your choice of your Strength or Dexterity modifier for the attack and damage rolls. You must use the same modifier for both rolls.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Vex. If you hit a creature with this weapon and deal damage to the creature, you have Advantage on your next attack roll against that creature before the end of your next turn.</t>
  </si>
  <si>
    <t>Dice Set</t>
  </si>
  <si>
    <t>Gaming Set</t>
  </si>
  <si>
    <t>Ability: WisdomUtilize: Discern whether someone is cheating (DC 10), or win the game (DC 20)If you have proficiency with a tool, add your Proficiency Bonus to any ability check you make that uses the tool. If you have proficiency in a skill that's used with that check, you have Advantage on the check too.</t>
  </si>
  <si>
    <t>Disguise Kit</t>
  </si>
  <si>
    <t>Tool</t>
  </si>
  <si>
    <t>Ability: CharismaUtilize: Apply makeup (DC 10)Craft: CostumeIf you have proficiency with a tool, add your Proficiency Bonus to any ability check you make that uses the tool. If you have proficiency in a skill that's used with that check, you have Advantage on the check too.</t>
  </si>
  <si>
    <t>Double-Bladed Scimitar</t>
  </si>
  <si>
    <t>ERLW</t>
  </si>
  <si>
    <t>2d4 Slashing</t>
  </si>
  <si>
    <t>Two Handed, special</t>
  </si>
  <si>
    <t>Special. If you attack with a double-bladed scimitar as part of the Attack action on your turn, you can use a bonus action immediately after to make a melee attack with it. This attack deals 1d4 slashing damage on a hit, instead of 2d4. Two-Handed. This weapon requires two hands to use. This property is relevant only when you attack with the weapon, not when you simply hold it.</t>
  </si>
  <si>
    <t>Dragonchess Set</t>
  </si>
  <si>
    <t>Flail</t>
  </si>
  <si>
    <t>1d8 Bludgeoning</t>
  </si>
  <si>
    <t>Mastery: Sap</t>
  </si>
  <si>
    <t>Mastery: Sap. If you hit a creature with this weapon, that creature has Disadvantage on its next attack roll before the start of your next turn.</t>
  </si>
  <si>
    <t>Forgery Kit</t>
  </si>
  <si>
    <t>Ability: DexterityUtilize: Mimic 10 or fewer words of someone else's handwriting (DC 15), or duplicate a wax seal (DC 20)If you have proficiency with a tool, add your Proficiency Bonus to any ability check you make that uses the tool. If you have proficiency in a skill that's used with that check, you have Advantage on the check too.</t>
  </si>
  <si>
    <t>If you have proficiency with a tool, add your Proficiency Bonus to any ability check you make that uses the tool. If you have proficiency in a skill that's used with that check, you have Advantage on the check too.Multiple variations of this item exist, as listed below:Dice SetDragonchess SetPlaying CardsThree-Dragon Ante Set</t>
  </si>
  <si>
    <t>Glaive</t>
  </si>
  <si>
    <t>1d10 Slashing</t>
  </si>
  <si>
    <t>Heavy, Reach, Two Handed</t>
  </si>
  <si>
    <t>Mastery: Graze</t>
  </si>
  <si>
    <t>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t>
  </si>
  <si>
    <t>Glassblower's Tools</t>
  </si>
  <si>
    <t>Ability: Intelligence Utilize: Discern what a glass object held in the past 24 hours (DC 15)Craft: Glass Bottle, Magnifying Glass, Spyglass, Vial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</si>
  <si>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Greataxe</t>
  </si>
  <si>
    <t>1d12 Slashing</t>
  </si>
  <si>
    <t>Heavy, Two Handed</t>
  </si>
  <si>
    <t>Mastery: Cleave</t>
  </si>
  <si>
    <t>Heavy. You have Disadvantage on attack rolls with a Heavy weapon if it's a Melee weapon and your Strength score isn't at least 13 or if it's a Ranged weapon and your Dexterity score isn't at least 13. Two-Handed. A Two-Handed weapon requires two hands when you attack with it. Mastery: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t>
  </si>
  <si>
    <t>Greatclub</t>
  </si>
  <si>
    <t>Two Handed</t>
  </si>
  <si>
    <t>Mastery: Push</t>
  </si>
  <si>
    <t>Two-Handed. A Two-Handed weapon requires two hands when you attack with it. Mastery: Push. If you hit a creature with this weapon, you can push the creature up to 10 feet straight away from yourself if it is Large or smaller.</t>
  </si>
  <si>
    <t>Greatsword</t>
  </si>
  <si>
    <t>2d6 Slashing</t>
  </si>
  <si>
    <t>Heavy. You have Disadvantage on attack rolls with a Heavy weapon if it's a Melee weapon and your Strength score isn't at least 13 or if it's a Ranged weapon and your Dexterity score isn't at least 13. Two-Handed. A Two-Handed weapon requires two hands when you attack with it. Mastery: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t>
  </si>
  <si>
    <t>Halberd</t>
  </si>
  <si>
    <t>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t>
  </si>
  <si>
    <t>Hand Crossbow</t>
  </si>
  <si>
    <t>1d6 Piercing</t>
  </si>
  <si>
    <t>Ammunition (Range 30/120 ft.; Bolt), Light, Loading</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</si>
  <si>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Loading. You can fire only one piece of ammunition from a Loading weapon when you use an action, a Bonus Action, or a Reaction to fire it, regardless of the number of attacks you can normally make. Mastery: Vex. If you hit a creature with this weapon and deal damage to the creature, you have Advantage on your next attack roll against that creature before the end of your next turn.</t>
  </si>
  <si>
    <t>Handaxe</t>
  </si>
  <si>
    <t>1d6 Slashing</t>
  </si>
  <si>
    <t>Light, Thrown (20/60 ft.)</t>
  </si>
  <si>
    <t>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Vex. If you hit a creature with this weapon and deal damage to the creature, you have Advantage on your next attack roll against that creature before the end of your next turn.</t>
  </si>
  <si>
    <t>Healer's Kit</t>
  </si>
  <si>
    <t>A Healer's Kit has ten uses. As a Utilize action, you can expend one of its uses to stabilize an Unconscious creature that has 0 Hit Points without needing to make a Wisdom (Medicine) check.</t>
  </si>
  <si>
    <t>Heavy Crossbow</t>
  </si>
  <si>
    <t>1d10 Piercing</t>
  </si>
  <si>
    <t>Ammunition (Range 100/400 ft.; Bolt), Heavy, Loading, Two Handed</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</si>
  <si>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Loading. You can fire only one piece of ammunition from a Loading weapon when you use an action, a Bonus Action, or a Reaction to fire it, regardless of the number of attacks you can normally make. Two-Handed. A Two-Handed weapon requires two hands when you attack with it. Mastery: Push. If you hit a creature with this weapon, you can push the creature up to 10 feet straight away from yourself if it is Large or smaller.</t>
  </si>
  <si>
    <t>Herbalism Kit</t>
  </si>
  <si>
    <t>Ability: IntelligenceUtilize: Identify a plant (DC 10)Craft: Antitoxin, Candle, Healer's Kit, Potion of HealingIf you have proficiency with a tool, add your Proficiency Bonus to any ability check you make that uses the tool. If you have proficiency in a skill that's used with that check, you have Advantage on the check too.</t>
  </si>
  <si>
    <t>Hide Armor</t>
  </si>
  <si>
    <t>AC 12 + Dex (max 2)</t>
  </si>
  <si>
    <t>This crude armor consists of thick furs and pelts. It is commonly worn by barbarian tribes, evil humanoids, and other folk who lack access to the tools and materials needed to create better armor.</t>
  </si>
  <si>
    <t>Hooked Shortspear</t>
  </si>
  <si>
    <t>OotA</t>
  </si>
  <si>
    <t>light</t>
  </si>
  <si>
    <t>On a hit with this weapon, the wielder can forgo dealing damage and attempt to trip the target, in which case the target must succeed on a Strength saving throw or fall prone. The DC is 8 + the wielder's Strength modifier + the wielder's proficiency bonus. Light. A light weapon is small and easy to handle, making it ideal for use when fighting with two weapons.</t>
  </si>
  <si>
    <t>Hoopak</t>
  </si>
  <si>
    <t>DSotDQ</t>
  </si>
  <si>
    <t>ammunition (40/160 ft.), finesse, Two Handed, special</t>
  </si>
  <si>
    <t>A hoopak is a sturdy stick with a sling at one end and a pointed tip at the other. Special. When you make a melee attack with this weapon, you ignore its ammunition property. You can use the hoopak as a martial ranged weapon. If you do, it uses the ammunition property, uses sling bullets, and deals 1d4 bludgeoning damage on a hit.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battlefield.If you use a weapon that has the ammunition property to make a melee attack, you treat the weapon as an improvised weapon. A sling must be loaded to deal any damage when used in this way. Finesse. When making an attack with a finesse weapon, you use your choice of your Strength or Dexterity modifier for the attack and damage rolls. You must use the same modifier for both rolls. Two-Handed. This weapon requires two hands to use. This property is relevant only when you attack with the weapon, not when you simply hold it.</t>
  </si>
  <si>
    <t>Javelin</t>
  </si>
  <si>
    <t>Thrown (30/120 ft.)</t>
  </si>
  <si>
    <t>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Slow. If you hit a creature with this weapon and deal damage to it, you can reduce its Speed by 10 feet until the start of your next turn. If the creature is hit more than once by weapons that have this property, the Speed reduction doesn't exceed 10 feet.</t>
  </si>
  <si>
    <t>Jeweler's Tools</t>
  </si>
  <si>
    <t>Ability: Intelligence Utilize: Discern a gem's value (DC 15)Craft: Arcane Focus, Holy Symbol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</si>
  <si>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Lance</t>
  </si>
  <si>
    <t>Heavy, Reach, Two Handed (unless mounted)</t>
  </si>
  <si>
    <t>A Lance requires two hands to wield when you aren't mounted.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Topple. If you hit a creature with this weapon, you can force the creature to make a Constitution saving throw (DC 8 plus the ability modifier used to make the attack roll and your Proficiency Bonus). On a failed save, the creature has the Prone condition.</t>
  </si>
  <si>
    <t>Leather Armor</t>
  </si>
  <si>
    <t>AC 11 + Dex</t>
  </si>
  <si>
    <t>The breastplate and shoulder protectors of this armor are made of leather that has been stiffened by being boiled in oil. The rest of the armor is made of softer and more flexible materials.</t>
  </si>
  <si>
    <t>base Item</t>
  </si>
  <si>
    <t>Leatherworker's Tools</t>
  </si>
  <si>
    <t>Ability: Dexterity Utilize: Add a design to a leather item (DC 10)Craft: Sling, Whip, Hide Armor, Leather Armor, Studded Leather Armor, Backpack, Crossbow Bolt Case, Map or Scroll Case, Parchment, Pouch, Quiver, Waterskin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</si>
  <si>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Light Crossbow</t>
  </si>
  <si>
    <t>1d8 Piercing</t>
  </si>
  <si>
    <t>Ammunition (Range 80/320 ft.; Bolt), Loading, Two Handed</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</si>
  <si>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Two-Handed. A Two-Handed weapon requires two hands when you attack with it. Mastery: Slow. If you hit a creature with this weapon and deal damage to it, you can reduce its Speed by 10 feet until the start of your next turn. If the creature is hit more than once by weapons that have this property, the Speed reduction doesn't exceed 10 feet.</t>
  </si>
  <si>
    <t>Light Hammer</t>
  </si>
  <si>
    <t>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t>
  </si>
  <si>
    <t>Longbow</t>
  </si>
  <si>
    <t>Ammunition (Range 150/600 ft.; Arrow), Heavy, Two Handed</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</si>
  <si>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Two-Handed. A Two-Handed weapon requires two hands when you attack with it. Mastery: Slow. If you hit a creature with this weapon and deal damage to it, you can reduce its Speed by 10 feet until the start of your next turn. If the creature is hit more than once by weapons that have this property, the Speed reduction doesn't exceed 10 feet.</t>
  </si>
  <si>
    <t>Longsword</t>
  </si>
  <si>
    <t>Versatile. A Versatile weapon can be used with one or two hands. A damage value in parentheses appears with the property. The weapon deals that damage when used with two hands to make a melee attack. Mastery: Sap. If you hit a creature with this weapon, that creature has Disadvantage on its next attack roll before the start of your next turn.</t>
  </si>
  <si>
    <t>Mace</t>
  </si>
  <si>
    <t>1d6 Bludgeoning</t>
  </si>
  <si>
    <t>Mason's Tools</t>
  </si>
  <si>
    <t>Ability: Strength Utilize: Chisel a symbol or hole in stone (DC 10)Craft: Block and Tackle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</si>
  <si>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Maul</t>
  </si>
  <si>
    <t>2d6 Bludgeoning</t>
  </si>
  <si>
    <t>Heavy. You have Disadvantage on attack rolls with a Heavy weapon if it's a Melee weapon and your Strength score isn't at least 13 or if it's a Ranged weapon and your Dexterity score isn't at least 13. Two-Handed. A Two-Handed weapon requires two hands when you attack with it. Mastery: Topple. If you hit a creature with this weapon, you can force the creature to make a Constitution saving throw (DC 8 plus the ability modifier used to make the attack roll and your Proficiency Bonus). On a failed save, the creature has the Prone condition.</t>
  </si>
  <si>
    <t>Morningstar</t>
  </si>
  <si>
    <t>Musical Instrument</t>
  </si>
  <si>
    <t>If you have proficiency with a tool, add your Proficiency Bonus to any ability check you make that uses the tool. If you have proficiency in a skill that's used with that check, you have Advantage on the check too.</t>
  </si>
  <si>
    <t>Navigator's Tools</t>
  </si>
  <si>
    <t>Ability: WisdomUtilize: Plot a course (DC 10), or determine position by stargazing (DC 15)If you have proficiency with a tool, add your Proficiency Bonus to any ability check you make that uses the tool. If you have proficiency in a skill that's used with that check, you have Advantage on the check too.</t>
  </si>
  <si>
    <t>Oil</t>
  </si>
  <si>
    <t>You can douse a creature, object, or space with Oil or use it as fuel, as detailed below. Dousing a Creature or an Object. When you take the Attack action, you can replace one of your attacks with throwing an Oil flask. Target one creature or object within 20 feet of yourself. The target must succeed on a Dexterity saving throw (DC 8 plus your Dexterity modifier and Proficiency Bonus) or be covered in oil. If the target takes Fire damage before the oil dries (after 1 minute), the target takes an extra 5 Fire damage from burning oil. Dousing a Space. You can take the Utilize action to pour an Oil flask on level ground to cover a 5-foot-square area within 5 feet of yourself. If lit, the oil burns until the end of the turn 2 rounds from when the oil was lit (or 12 seconds) and deals 5 Fire damage to any creature that enters the area or ends its turn there. A creature can take this damage only once per turn. Fuel. Oil serves as fuel for Lamps and Lanterns. Once lit, a flask of Oil burns for 6 hours in a Lamp or Lantern. That duration doesn't need to be consecutive; you can extinguish the burning Oil (as a Utilize action) and rekindle it again until it has burned for a total of 6 hours.</t>
  </si>
  <si>
    <t>Padded Armor</t>
  </si>
  <si>
    <t>The wearer has Disadvantage on Dexterity (Stealth) checks.</t>
  </si>
  <si>
    <t>Painter's Supplies</t>
  </si>
  <si>
    <t>Ability: Wisdom Utilize: Paint a recognizable image of something you've seen (DC 10)Craft: Druidic Focus, Holy Symbol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</si>
  <si>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Pike</t>
  </si>
  <si>
    <t>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Push. If you hit a creature with this weapon, you can push the creature up to 10 feet straight away from yourself if it is Large or smaller.</t>
  </si>
  <si>
    <t>Playing Cards</t>
  </si>
  <si>
    <t>Poisoner's Kit</t>
  </si>
  <si>
    <t>Ability: IntelligenceUtilize: Detect a poisoned object (DC 10)Craft: Basic Poison If you have proficiency with a tool, add your Proficiency Bonus to any ability check you make that uses the tool. If you have proficiency in a skill that's used with that check, you have Advantage on the check too.</t>
  </si>
  <si>
    <t>Potter's Tools</t>
  </si>
  <si>
    <t>Ability: Intelligence Utilize: Discern what a ceramic object held in the past 24 hours (DC 15)Craft: Jug, Lamp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</si>
  <si>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Quarterstaff</t>
  </si>
  <si>
    <t>Versatile (1d8)</t>
  </si>
  <si>
    <t>Rapier</t>
  </si>
  <si>
    <t>Finesse</t>
  </si>
  <si>
    <t>Finesse. When making an attack with a Finesse weapon, use your choice of your Strength or Dexterity modifier for the attack and damage rolls. You must use the same modifier for both rolls. Mastery: Vex. If you hit a creature with this weapon and deal damage to the creature, you have Advantage on your next attack roll against that creature before the end of your next turn.</t>
  </si>
  <si>
    <t>Ring Mail</t>
  </si>
  <si>
    <t>AC 14</t>
  </si>
  <si>
    <t>Scimitar</t>
  </si>
  <si>
    <t>Finesse, Light</t>
  </si>
  <si>
    <t>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t>
  </si>
  <si>
    <t>AC +2</t>
  </si>
  <si>
    <t>A shield is made from wood or metal and is carried in one hand. Wielding a shield increases your Armor Class by 2. You can benefit from only one shield at a time.</t>
  </si>
  <si>
    <t>Shortbow</t>
  </si>
  <si>
    <t>Ammunition (Range 80/320 ft.; Arrow), Two Handed</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</si>
  <si>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Two-Handed. A Two-Handed weapon requires two hands when you attack with it. Mastery: Vex. If you hit a creature with this weapon and deal damage to the creature, you have Advantage on your next attack roll against that creature before the end of your next turn.</t>
  </si>
  <si>
    <t>Shortsword</t>
  </si>
  <si>
    <t>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Vex. If you hit a creature with this weapon and deal damage to the creature, you have Advantage on your next attack roll against that creature before the end of your next turn.</t>
  </si>
  <si>
    <t>Sickle</t>
  </si>
  <si>
    <t>1d4 Slashing</t>
  </si>
  <si>
    <t>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t>
  </si>
  <si>
    <t>Sling</t>
  </si>
  <si>
    <t>Ammunition (Range 30/120 ft.; Sling Bullet)</t>
  </si>
  <si>
    <t>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Mastery: Slow. If you hit a creature with this weapon and deal damage to it, you can reduce its Speed by 10 feet until the start of your next turn. If the creature is hit more than once by weapons that have this property, the Speed reduction doesn't exceed 10 feet.</t>
  </si>
  <si>
    <t>Smith's Tools</t>
  </si>
  <si>
    <t>Ability: Strength Utilize: Pry open a door or container (DC 20)Craft: Any Melee weapon (except Club, Greatclub, Quarterstaff, and Whip), Medium armor (except Hide), Heavy armor, Ball Bearings, Bucket, Caltrops, Chain, Crowbar, Firearm Bullets, Grappling Hook, Iron Pot, Iron Spikes, Sling Bullets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</si>
  <si>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Spear</t>
  </si>
  <si>
    <t>Thrown (20/60 ft.), Versatile (1d8)</t>
  </si>
  <si>
    <t>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Sap. If you hit a creature with this weapon, that creature has Disadvantage on its next attack roll before the start of your next turn.</t>
  </si>
  <si>
    <t>Thieves' Tools</t>
  </si>
  <si>
    <t>Ability: DexterityUtilize: Pick a lock (DC 15), or disarm a trap (DC 15)If you have proficiency with a tool, add your Proficiency Bonus to any ability check you make that uses the tool. If you have proficiency in a skill that's used with that check, you have Advantage on the check too.</t>
  </si>
  <si>
    <t>Three-Dragon Ante Set</t>
  </si>
  <si>
    <t>Tinker's Tools</t>
  </si>
  <si>
    <t>Ability: Dexterity Utilize: Assemble a Tiny item composed of scrap, which falls apart in 1 minute (DC 20)Craft: Musket, Pistol, Bell, Bullseye Lantern, Flask, Hooded Lantern, Hunting Trap, Lock, Manacles, Mirror, Shovel, Signal Whistle, Tinderbox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</si>
  <si>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Trident</t>
  </si>
  <si>
    <t>Thrown (20/60 ft.), Versatile (1d10)</t>
  </si>
  <si>
    <t>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</si>
  <si>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War Pick</t>
  </si>
  <si>
    <t>Warhammer</t>
  </si>
  <si>
    <t>Versatile. A Versatile weapon can be used with one or two hands. A damage value in parentheses appears with the property. The weapon deals that damage when used with two hands to make a melee attack. Mastery: Push. If you hit a creature with this weapon, you can push the creature up to 10 feet straight away from yourself if it is Large or smaller.</t>
  </si>
  <si>
    <t>Weaver's Tools</t>
  </si>
  <si>
    <t>Ability: Dexterity Utilize: Mend a tear in clothing (DC 10), or sew a Tiny design (DC 10)Craft: Padded Armor, Basket, Bedroll, Blanket, Fine Clothes, Net, Robe, Rope, Sack, String, Tent, Traveler's Clothes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t>
  </si>
  <si>
    <t>Whip</t>
  </si>
  <si>
    <t>Finesse, Reach</t>
  </si>
  <si>
    <t>Finesse. When making an attack with a Finesse weapon, use your choice of your Strength or Dexterity modifier for the attack and damage rolls. You must use the same modifier for both rolls. Reach. A Reach weapon adds 5 feet to your reach when you attack with it, as well as when determining your reach for Opportunity Attacks with it. Mastery: Slow. If you hit a creature with this weapon and deal damage to it, you can reduce its Speed by 10 feet until the start of your next turn. If the creature is hit more than once by weapons that have this property, the Speed reduction doesn't exceed 10 feet.</t>
  </si>
  <si>
    <t>Woodcarver's Tools</t>
  </si>
  <si>
    <t>Ability: Dexterity Utilize: Carve a pattern in wood (DC 10)Craft: Club, Greatclub, Quarterstaff, Ranged weapons (except Pistol, Musket, and Sling), Arcane Focus, Arrows, Bolts, Druidic Focus, Ink Pen, Needles Artisan's Tools are each focused on crafting items and pursuing a trade. Each type of Artisan's Tools tools requires a separate proficiency.If you have proficiency with a tool, add your Proficiency Bonus to any ability check you make that uses the tool. If you have proficiency in a skill that's used with that check, you have Advantage on the check too.</t>
  </si>
  <si>
    <t>Yklwa</t>
  </si>
  <si>
    <t>ToA</t>
  </si>
  <si>
    <t>thrown (10/30 ft.)</t>
  </si>
  <si>
    <t>A yklwa (pronounced YICK-ul-wah) is a simple melee weapon that is the traditional weapon of Chultan warriors. A yklwa consists of a 3-foot wooden shaft with a steel or stone blade up to 18 inches long. Although it has the thrown weapon property, the yklwa is not well balanced for throwing.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t>
  </si>
  <si>
    <t>Antitoxin (singles)</t>
  </si>
  <si>
    <t xml:space="preserve">As a Bonus Action, you can drink a vial of Antitoxin to gain Advantage on saving throws to avoid or end the Poisoned condition for 1 hour. </t>
  </si>
  <si>
    <t>single use</t>
  </si>
  <si>
    <t>Adventurer's Ring</t>
  </si>
  <si>
    <t>common</t>
  </si>
  <si>
    <t>Ring</t>
  </si>
  <si>
    <t>While the cover on this ring is open, the ring produces a flame that creates no heat and consumes no fuel. It sheds Bright Light in a 20-foot radius and Dim Light for an additional 20 feet. As a Bonus Action, you can close the cover, smothering the flame, or open it again.</t>
  </si>
  <si>
    <t>Armor of Gleaming</t>
  </si>
  <si>
    <t>DMG'24</t>
  </si>
  <si>
    <t>Generic Variant</t>
  </si>
  <si>
    <t>This armor never gets dirty. 
Applied to non-magical Base Equipment.</t>
  </si>
  <si>
    <t>Boots of False Tracks</t>
  </si>
  <si>
    <t>Wondrous Item</t>
  </si>
  <si>
    <t>While wearing these boots, you can have them leave tracks like those of any kind of Humanoid of your size.</t>
  </si>
  <si>
    <t>Bottle of Boundless Coffee</t>
  </si>
  <si>
    <t>SCC</t>
  </si>
  <si>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bottle.Each time you drink the coffee, roll a d20. On a 1, the bottle refuses to dispense coffee for the next hour. If you pour coffee from the bottle, rather than drinking from it, the coffee vanishes the moment it leaves the bottle.</t>
  </si>
  <si>
    <t>Candle of the Deep</t>
  </si>
  <si>
    <t>The flame of this candle isn't extinguished when immersed in water. It gives off light and heat like a normal candle.</t>
  </si>
  <si>
    <t>Cast-Off Armor</t>
  </si>
  <si>
    <t>You can doff this armor as a Magic action. 
Applied to non-magical Base Equipment.</t>
  </si>
  <si>
    <t>Cloak of Billowing</t>
  </si>
  <si>
    <t>While wearing this cloak, you can take a Bonus Action to make it billow dramatically for 1 minute.</t>
  </si>
  <si>
    <t>Cloak of Many Fashions</t>
  </si>
  <si>
    <t>While wearing this cloak, you can take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</si>
  <si>
    <t>Clothes of Mending</t>
  </si>
  <si>
    <t>This elegant outfit magically mends itself to counteract daily wear and tear. Pieces of the outfit that are destroyed can't be repaired in this way.</t>
  </si>
  <si>
    <t>Dread Helm</t>
  </si>
  <si>
    <t>While you're wearing this fearsome steel helm, your eyes glow red and the rest of your face is hidden in shadow.</t>
  </si>
  <si>
    <t>Ear Horn of Hearing</t>
  </si>
  <si>
    <t>While held up to your ear, this horn suppresses the effects of the Deafened condition on you.</t>
  </si>
  <si>
    <t>Moon-Touched Sword</t>
  </si>
  <si>
    <t>In Darkness, the unsheathed blade of this weapon sheds moonlight, creating Bright Light in a 15-foot radius and Dim Light for an additional 15 feet. 
Applied to non-magical Base Equipment.</t>
  </si>
  <si>
    <t>Pipe of Remembrance</t>
  </si>
  <si>
    <t>GoS</t>
  </si>
  <si>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</si>
  <si>
    <t>Pipe of Smoke Monsters</t>
  </si>
  <si>
    <t>While smoking this pipe, you can take a Magic action to exhale a puff of smoke that takes the form of a creature, such as a dragon, a flumph, or a slaad. The form must be small enough to fit in a 1-foot cube and loses its shape after a few seconds, becoming an ordinary puff of smoke.</t>
  </si>
  <si>
    <t>Potion of Healing (singles)</t>
  </si>
  <si>
    <t>Potion</t>
  </si>
  <si>
    <t>This potion is a magic item. As a Bonus Action, you can drink it or administer it to another creature within 5 feet of yourself. The creature that drinks the magical red fluid in this vial regains 2d4 + 2 Hit Points. The potion's red liquid glimmers when agitated.</t>
  </si>
  <si>
    <t>Rope of Mending</t>
  </si>
  <si>
    <t>This 50-foot coil of rope can repair itself when cut into any number of smaller pieces. As a Magic action, you can cause all pieces of the rope that are in contact with each other and not otherwise in use to knit back together. A Rope of Mending is forever shortened if a section of it is lost or destroyed.</t>
  </si>
  <si>
    <t>Shield of Expression</t>
  </si>
  <si>
    <t>The front of this Shield is shaped in the likeness of a face. While bearing the Shield, you can take a Bonus Action to alter the face's expression.</t>
  </si>
  <si>
    <t>Shield of Shouting</t>
  </si>
  <si>
    <t>A detect magic spell reveals an aura of transmutation magic around this shield, which has a minor magical property: words spoken by the shield's bearer are amplified and sound ten times louder than normal.</t>
  </si>
  <si>
    <t>Smoldering Armor</t>
  </si>
  <si>
    <t>Wisps of harmless, odorless smoke rise from this armor while it is worn. 
Applied to non-magical Base Equipment.</t>
  </si>
  <si>
    <t>Staff of Flowers</t>
  </si>
  <si>
    <t>This wooden staff has 10 charges. While holding it, you can take a Magic action to expend 1 charge from the staff and cause a flower to sprout from a patch of earth or soil within 5 feet of yourself, or from the staff itself. Unless you choose a specific kind of flower, the staff creates a mild-scented daisy. The flower is harmless and nonmagical, and it grows or withers as a normal flower would. Regaining Charges. The staff regains 1d6 + 4 expended charges daily at dawn. If you expend the last charge, roll 1d20. On a 1, the staff turns into flower petals and is lost forever.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</si>
  <si>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Wand of Conducting</t>
  </si>
  <si>
    <t>Wand</t>
  </si>
  <si>
    <t>This wand has 3 charges. While holding it, you can take a Magic action to expend 1 charge and create orchestral music by waving it around. The music can be heard out to 120 feet and ends when you stop waving the wand. Regaining Charges. The wand regains all expended charges daily at dawn. If you expend the wand's last charge, roll 1d20. On a 1, a sad tuba sound plays as the wand crumbles into dust and is destroyed.</t>
  </si>
  <si>
    <t>Wand of Pyrotechnics</t>
  </si>
  <si>
    <t>This wand has 7 charges. While holding it, you can take a Magic action to expend 1 charge and create a harmless burst of multicolored light at a point you can see up to 120 feet away. The burst of light is accompanied by a crackling noise that can be heard up to 300 feet away. The light is as bright as a torch flame but lasts only a second. Regaining Charges. The wand regains 1d6 + 1 expended charges daily at dawn. If you expend the wand's last charge, roll 1d20. On a 1, the wand erupts in a harmless pyrotechnic display and is destroyed.</t>
  </si>
  <si>
    <t>Wand of Scowls</t>
  </si>
  <si>
    <t>XGE</t>
  </si>
  <si>
    <t>This wand has 3 charges. While holding it, you can use an action to expend 1 of its charges and target a humanoid you can see within 30 feet of you. The target must succeed on a DC 10 Charisma saving throw or be forced to scowl for 1 minute.The wand regains all expended charges daily at dawn. If you expend the wand's last charge, roll a d20. On a 1, the wand transforms into a wand of smiles.</t>
  </si>
  <si>
    <t>Wand of Smiles</t>
  </si>
  <si>
    <t>This wand has 3 charges. While holding it, you can use an action to expend 1 of its charges and target a humanoid you can see within 30 feet of you. The target must succeed on a DC 10 Charisma saving throw or be forced to smile for 1 minute.The wand regains all expended charges daily at dawn. If you expend the wand's last charge, roll a d20. On a 1, the wand transforms into a wand of scowls.</t>
  </si>
  <si>
    <t>Alchemist's Fire</t>
  </si>
  <si>
    <t>When you take the Attack action, you can replace one of your attacks with throwing a flask of Alchemist's Fire. Target one creature or object you can see within 20 feet of yourself. The target must succeed on a Dexterity saving throw (DC 8 plus your Dexterity modifier and Proficiency Bonus) or take 1d4 Fire damage and start burning.  Purchasing this gives an adventurer 1 use of this item per guild mission they go on, and does not stack unless you purchase more than 1.</t>
  </si>
  <si>
    <t>Antitoxin</t>
  </si>
  <si>
    <t>As a Bonus Action, you can drink a vial of Antitoxin to gain Advantage on saving throws to avoid or end the Poisoned condition for 1 hour.  Purchasing this gives an adventurer 1 use of this item per guild mission they go on, and does not stack unless you purchase more than 1.</t>
  </si>
  <si>
    <t>Scale Mail</t>
  </si>
  <si>
    <t>AC 14 + Dex (max 2)</t>
  </si>
  <si>
    <t>Splint Armor</t>
  </si>
  <si>
    <t>AC 17</t>
  </si>
  <si>
    <t>The wearer has Disadvantage on Dexterity (Stealth) checks.If the wearer has a Strength score lower than 15, their speed is reduced by 10 feet.</t>
  </si>
  <si>
    <t>Studded Leather Armor</t>
  </si>
  <si>
    <t>AC 12 + Dex</t>
  </si>
  <si>
    <t>Made from tough but flexible leather, studded leather is reinforced with close-set rivets or spikes.</t>
  </si>
  <si>
    <t>Instrument of Illusions</t>
  </si>
  <si>
    <t>Wondrous Item, Instrument</t>
  </si>
  <si>
    <t>While you are playing this musical instrument, you can take a Magic action to create harmless, illusory visual effects within a 5-foot Emanation originating from the instrument. If you are a Bard, the size of the Emanation increases to 15 feet. Sample visual effects include luminous musical notes, a spectral dancer, butterflies, and gently falling snow. The magical effects have neither substance nor sound, and they are obviously illusory. The effects end when you stop playing.</t>
  </si>
  <si>
    <t>Manifold Tool</t>
  </si>
  <si>
    <t>EFA</t>
  </si>
  <si>
    <t>requires attunement</t>
  </si>
  <si>
    <t>This tool takes the form of a wrench, a screwdriver, or another basic tool. As a Magic action, you can touch the item and transform it into a type of Artisan's Tools of your choice. Whatever form the tool takes, you have proficiency with it when you use it.</t>
  </si>
  <si>
    <t>Potion of Healing</t>
  </si>
  <si>
    <t>This potion is a magic item. As a Bonus Action, you can drink it or administer it to another creature within 5 feet of yourself. The creature that drinks the magical red fluid in this vial regains 2d4 + 2 Hit Points. The potion's red liquid glimmers when agitated.  Purchasing this gives an adventurer 1 use of this item per guild mission they go on, and does not stack unless you purchase more than 1.</t>
  </si>
  <si>
    <t>Bag of Holding</t>
  </si>
  <si>
    <t>uncommon</t>
  </si>
  <si>
    <t>This bag has an interior space considerably larger than its outside dimensionsâ_x0080__x0094_roughly 2 feet square and 4 feet deep on the inside. The bag can hold up to 500 pounds, not exceeding a volume of 64 cubic feet. The bag weighs 5 pounds, regardless of its contents. Retrieving an item from the bag requires a Utilize action.If the bag is overloaded, pierced, or torn, it is destroyed, and its contents are scattered in the Astral Plane. If the bag is turned inside out, its contents spill forth unharmed, but the bag must be put right before it can be used again. The bag holds enough air for 10 minutes of breathing, divided by the number of breathing creatures inside.Placing a Bag of Holding inside an extradimensional space created by a Heward's Handy Haversack, Portable Hole, or similar item instantly destroys both items and opens a gate to the Astral Plane. The gate originates where the one item was placed inside the other. Any creature within a 10-foot-radius Sphere centered on the gate is sucked through it to a random location on the Astral Plane. The gate then closes. The gate is one-way and can't be reopened.  You are only allowed to own one of these items.</t>
  </si>
  <si>
    <t>Acid</t>
  </si>
  <si>
    <t>When you take the Attack action, you can replace one of your attacks with throwing a vial of Acid. Target one creature or object you can see within 20 feet of yourself. The target must succeed on a Dexterity saving throw (DC 8 plus your Dexterity modifier and Proficiency Bonus) or take 2d6 Acid damage.  Purchasing this gives an adventurer 1 use of this item per guild mission they go on, and does not stack unless you purchase more than 1.</t>
  </si>
  <si>
    <t>Potion of Climbing</t>
  </si>
  <si>
    <t>When you drink this potion, you gain a Climb Speed equal to your Speed for 1 hour. During this time, you have Advantage on Strength (Athletics) checks to climb.This potion is separated into brown, silver, and gray layers resembling bands of stone. Shaking the bottle fails to mix the colors.  Purchasing this gives an adventurer 1 use of this item per guild mission they go on, and does not stack unless you purchase more than 1.</t>
  </si>
  <si>
    <t>Potion of Comprehension</t>
  </si>
  <si>
    <t>When you drink this potion, you gain the effect of the Comprehend Languages spell for 1 hour.This potion's liquid is a clear concoction with bits of salt and soot swirling in it.  Purchasing this gives an adventurer 1 use of this item per guild mission they go on, and does not stack unless you purchase more than 1.</t>
  </si>
  <si>
    <t>Emerald Pen</t>
  </si>
  <si>
    <t>FTD</t>
  </si>
  <si>
    <t>This pen is tipped with an emerald nib and requires no ink to write. While holding this pen, you can cast illusory script at will, requiring no material components.</t>
  </si>
  <si>
    <t>Enspelled</t>
  </si>
  <si>
    <t>Rope of Climbing</t>
  </si>
  <si>
    <t>This 60-foot length of rope can hold up to 3,000 pounds. While holding one end of the rope, you can take a Magic action to command the other end of the rope to animate and move toward a destination you choose, up to the rope's length away from you. That end moves 10 feet on your turn when you first command it and 10 feet at the start of each of your subsequent turns until reaching its destination or until you tell it to stop. You can also tell the rope to fasten itself securely to an object or to unfasten itself, to knot or unknot itself, or to coil itself for carrying.If you tell the rope to knot, large knots appear at 1-foot intervals along the rope. While knotted, the rope shortens to a 50-foot length and grants Advantage on ability checks made to climb using the rope.The rope has AC 20, HP 20, and Immunity to Poison and Psychic damage. It regains 1 Hit Point every 5 minutes as long as it has at least 1 Hit Point. If the rope drops to 0 Hit Points, it is destroyed.</t>
  </si>
  <si>
    <t>Potion of Water Breathing</t>
  </si>
  <si>
    <t>You can breathe underwater for 24 hours after drinking this potion.This potion's cloudy green fluid smells of the sea and has a jellyfish-like bubble floating in it.  Purchasing this gives an adventurer 1 use of this item per guild mission they go on, and does not stack unless you purchase more than 1.</t>
  </si>
  <si>
    <t>Wand of the War Mage</t>
  </si>
  <si>
    <t>requires attunement by a spellcaster</t>
  </si>
  <si>
    <t>You ignore Half Cover when making a spell attack roll when using this wand.</t>
  </si>
  <si>
    <t>Spellcaster</t>
  </si>
  <si>
    <t>Backpack Parachute</t>
  </si>
  <si>
    <t>A humanoid wearing this piece of gear can deploy the parachute as a reaction while falling, or as an action otherwise. The parachute requires at least a 10-foot cube of unoccupied space in which to deploy, and it doesn't open fast enough to slow a fall of less than 60 feet. If it has sufficient time and space to deploy properly, the parachute allows its wearer to land without taking falling damage. Once it has been used, the parachute takes 10 minutes to repack.</t>
  </si>
  <si>
    <t>Adamantine Armor</t>
  </si>
  <si>
    <t>This suit of armor is reinforced with adamantine, one of the hardest substances in existence. While you're wearing it, any Critical Hit against you becomes a normal hit. 
Applied to non-magical Base Equipment.</t>
  </si>
  <si>
    <t>Boomerang Shield</t>
  </si>
  <si>
    <t>BMT</t>
  </si>
  <si>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t>
  </si>
  <si>
    <t>Ring of the Orator</t>
  </si>
  <si>
    <t>PaBTSO</t>
  </si>
  <si>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</si>
  <si>
    <t>Breastplate</t>
  </si>
  <si>
    <t>This armor consists of a fitted metal chest piece worn with supple leather. Although it leaves the legs and arms relatively unprotected, this armor provides good protection for the wearer's vital organs while leaving the wearer relatively unencumbered.</t>
  </si>
  <si>
    <t>Half Plate Armor</t>
  </si>
  <si>
    <t>AC 15 + Dex (max 2)</t>
  </si>
  <si>
    <t>Plate Armor</t>
  </si>
  <si>
    <t>AC 18</t>
  </si>
  <si>
    <t>+1 Spell attack Roll</t>
  </si>
  <si>
    <t>Custom rule</t>
  </si>
  <si>
    <t>Uncommon</t>
  </si>
  <si>
    <t>You have a +1 bonus to spell attack rolls when using this focus. Available to level 5+.</t>
  </si>
  <si>
    <t>+1 Weapon</t>
  </si>
  <si>
    <t>You have a +1 bonus to attack and damage rolls made with this magic weapon.
Available to level 5+.</t>
  </si>
  <si>
    <t>Armor of Fungal Spores</t>
  </si>
  <si>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 
Applied to non-magical Base Equipment.</t>
  </si>
  <si>
    <t>Goggles of Night</t>
  </si>
  <si>
    <t>While wearing these dark lenses, you have Darkvision out to 60 feet. If you already have Darkvision, wearing the goggles increases its range by 60 feet.</t>
  </si>
  <si>
    <t>Lantern of Revealing</t>
  </si>
  <si>
    <t>While lit, this hooded lantern burns for 6 hours on 1 pint of oil, shedding Bright Light in a 30-foot radius and Dim Light for an additional 30 feet. Invisible creatures and objects are visible as long as they are in the lantern's Bright Light. You can take a Utilize action to lower the hood, reducing the lantern's light to Dim Light in a 5-foot radius.</t>
  </si>
  <si>
    <t>Potion of Psionic Fortitude</t>
  </si>
  <si>
    <t>When you drink this potion, you have advantage for 1 hour on saving throws you make to avoid or end the charmed or stunned condition on yourself. This black potion swirls with shimmering flecks of pink and purple.  Purchasing this gives an adventurer 1 use of this item per guild mission they go on, and does not stack unless you purchase more than 1.</t>
  </si>
  <si>
    <t>Wraps of Unarmed Power +1</t>
  </si>
  <si>
    <t>While wearing these wraps, you have a +1 bonus to attack rolls and damage rolls made with your Unarmed Strikes. Those strikes deal your choice of Force damage or their normal damage type. Available to level 5+.</t>
  </si>
  <si>
    <t>Potion of Mind Reading</t>
  </si>
  <si>
    <t>rare</t>
  </si>
  <si>
    <t>When you drink this potion, you gain the effect of the Detect Thoughts spell (save DC 13) for 10 minutes (no Concentration required).This potion's dense, purple liquid has an ovoid cloud of pink floating in it.  Purchasing this gives an adventurer 1 use of this item per guild mission they go on, and does not stack unless you purchase more than 1.</t>
  </si>
  <si>
    <t>Essence of Ether</t>
  </si>
  <si>
    <t>Adventuring Gear, Poison (Inhaled)</t>
  </si>
  <si>
    <t>A creature subjected to Essence of Ether must succeed on a DC 15 Constitution saving throw or have the Poisoned condition for 8 hours. The creature also has the Unconscious condition while Poisoned in this way. The creature wakes up if it takes damage or if another creature takes an action to shake it awake.  Purchasing this gives an adventurer 1 use of this item per guild mission they go on, and does not stack unless you purchase more than 1.</t>
  </si>
  <si>
    <t>Dust of Dryness</t>
  </si>
  <si>
    <t>This small packet contains 1d6 + 4 pinches of dust. As a Utilize action, you can sprinkle a pinch of the dust over water, turning up to a 15-foot Cube of water into one marble-sized pellet, which floats or rests near where the dust was sprinkled. The pellet's weight is negligible. A creature can take a Utilize action to smash the pellet against a hard surface, causing the pellet to shatter and release the water the dust absorbed. Doing so destroys the pellet and ends its magic.As a Utilize action, you can sprinkle a pinch of the dust on an Elemental within 5 feet of yourself that is composed mostly of water (such as a Water Elemental or a Water Weird). Such a creature exposed to a pinch of the dust makes a DC 13 Constitution saving throw, taking 10d6 Necrotic damage on a failed save or half as much damage on a successful one.  Purchasing this gives an adventurer 1 use of this item per guild mission they go on, and does not stack unless you purchase more than 1.</t>
  </si>
  <si>
    <t>Gloves of Swimming and Climbing</t>
  </si>
  <si>
    <t>While wearing these gloves, climbing and swimming don't cost you extra movement, and you gain a +5 bonus to Strength (Athletics) checks made to climb or swim.</t>
  </si>
  <si>
    <t>Mithral Armor</t>
  </si>
  <si>
    <t>Mithral is a light, flexible metal. A mithral chain shirt or breastplate can be worn under normal clothes.If the armor normally imposes disadvantage on Dexterity (Stealth) checks or has a Strength requirement, the mithral version of the armor doesn't. 
Applied to non-magical Base Equipment.</t>
  </si>
  <si>
    <t>Periapt of Health</t>
  </si>
  <si>
    <t>While wearing this pendant, you can take a Magic action to regain 2d4 + 2 Hit Points. Once used, this property can't be used again until the next dawn.In addition, you have Advantage on saving throws to avoid or end the Poisoned condition while you wear this pendant.</t>
  </si>
  <si>
    <t>Periapt of Wound Closure</t>
  </si>
  <si>
    <t>While wearing this pendant, you gain the following benefits. Life Preservation. Whenever you make a Death Saving Throw, you can change a roll of 9 or lower to a 10, turning a failed save into a successful one. Natural Healing Boost. Whenever you roll a Hit Point Die to regain Hit Points, double the number of Hit Points it restores.</t>
  </si>
  <si>
    <t>Ring of Truth Telling</t>
  </si>
  <si>
    <t>While wearing this ring, you have advantage on Wisdom (Insight) checks to determine whether someone is lying to you.</t>
  </si>
  <si>
    <t>Trident of Fish Command</t>
  </si>
  <si>
    <t>This magic weapon has 3 charges, and it regains 1d3 expended charges daily at dawn. While you carry it, you can expend 1 charge to cast Dominate Beast (save DC 15) from it on a Beast that has a Swim Speed.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</si>
  <si>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Lolth's Sting</t>
  </si>
  <si>
    <t>Adventuring Gear, Poison (Injury)</t>
  </si>
  <si>
    <t>A creature subjected to Lolth's Sting must succeed on a DC 13 Constitution saving throw or have the Poisoned condition for 1 hour. If the creature fails the save by 5 or more, the creature also has the Unconscious condition while Poisoned in this way. The creature wakes up if it takes damage or if another creature takes an action to shake it awake.  Purchasing this gives an adventurer 1 use of this item per guild mission they go on, and does not stack unless you purchase more than 1.</t>
  </si>
  <si>
    <t>Malice</t>
  </si>
  <si>
    <t>A creature subjected to Malice must succeed on a DC 15 Constitution saving throw or have the Poisoned condition for 1 hour. The creature also has the Blinded condition while Poisoned in this way.  Purchasing this gives an adventurer 1 use of this item per guild mission they go on, and does not stack unless you purchase more than 1.</t>
  </si>
  <si>
    <t>Serpent Venom</t>
  </si>
  <si>
    <t>A creature subjected to Serpent Venom must succeed on a DC 11 Constitution saving throw, taking 10 (3d6) Poison damage on a failed save or half as much damage on a successful one.  Purchasing this gives an adventurer 1 use of this item per guild mission they go on, and does not stack unless you purchase more than 1.</t>
  </si>
  <si>
    <t>All-Purpose Tool</t>
  </si>
  <si>
    <t>TCE</t>
  </si>
  <si>
    <t>Wondrous Item, Spellcasting Focus</t>
  </si>
  <si>
    <t>requires attunement by an artificer</t>
  </si>
  <si>
    <t>This simple screwdriver can transform into a variety of tools; as an action, you can touch the item and transform it into any type of artisan's tool of your choice (see the "Equipment" chapter in the Player's Handbook for a list of artisan's tools). Whatever form the tool takes, you are proficient with it.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</si>
  <si>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Armor of Weightlessness</t>
  </si>
  <si>
    <t>This armor has 5 charges. While you wear it, you can use a bonus action to expend 1 or more charges to cast one of the following spells from the armor, targeting yourself: Jump (1 charge) or Levitate (2 charges).This armor regains 1d4 + 1 expended charges daily at dawn. 
Applied to non-magical Base Equipment.</t>
  </si>
  <si>
    <t>Boots of Striding and Springing</t>
  </si>
  <si>
    <t>While you wear these boots, your Speed becomes 30 feet unless your Speed is higher, and your Speed isn't reduced by you carrying weight in excess of your carrying capacity or wearing Heavy Armor.Once on each of your turns, you can jump up to 30 feet by spending only 10 feet of movement.</t>
  </si>
  <si>
    <t>Cap of Water Breathing</t>
  </si>
  <si>
    <t>While wearing this cap underwater, you can take a Magic action to create a bubble of air around your head. This bubble allows you to breathe normally underwater. This bubble stays with you until the cap is removed or you are no longer underwater.</t>
  </si>
  <si>
    <t>Decanter of Endless Water</t>
  </si>
  <si>
    <t>This stoppered flask sloshes when shaken, as if it contains water. The decanter weighs 2 pounds.You can take a Magic action to remove the stopper and issue one of three command words, whereupon an amount of fresh water or salt water (your choice) pours out of the flask. The water stops pouring out at the start of your next turn. Choose from the following command words:Splash. The decanter produces 1 gallon of water.Fountain. The decanter produces 5 gallons of water.Geyser. The decanter produces 30 gallons of water that gushes forth in a Line 30 feet long and 1 foot wide. If you're holding the decanter, you can aim the geyser in one direction (no action required). One creature of your choice in the Line must succeed on a DC 13 Strength saving throw or take 1d4 Bludgeoning damage and have the Prone condition. Instead of a creature, you can target one object in the Line that isn't being worn or carried and that weighs no more than 200 pounds. The object is knocked over by the geyser.</t>
  </si>
  <si>
    <t>Dragonhide Belt</t>
  </si>
  <si>
    <t>requires attunement by a monk</t>
  </si>
  <si>
    <t>This finely detailed belt is made of dragonhide. While wearing it, you gain a +1 bonus to the saving throw DCs of your ki features. In addition, you can use an action to regain ki points equal to a roll of your Martial Arts die. You can't use this action again until the next dawn.</t>
  </si>
  <si>
    <t>Eyes of Minute Seeing</t>
  </si>
  <si>
    <t>These crystal lenses fit over the eyes. While wearing them, your vision improves significantly out to a range of 1 foot, granting you Darkvision within that range and Advantage on Intelligence (Investigation) checks made to examine something within that range.</t>
  </si>
  <si>
    <t>Helm of Underwater Action</t>
  </si>
  <si>
    <t>While wearing this brass helmet, you can breathe underwater, you gain darkvision with a range of 60 feet, and you gain a swimming speed of 30 feet.</t>
  </si>
  <si>
    <t>Necklace of Adaptation</t>
  </si>
  <si>
    <t>While wearing this necklace, you can breathe normally in any environment, and you have Advantage on saving throws made to avoid or end the Poisoned condition.</t>
  </si>
  <si>
    <t>Potion of Growth</t>
  </si>
  <si>
    <t>When you drink this potion, you gain the "enlarge" effect of the Enlarge/Reduce spell for 10 minutes (no Concentration required).The red in the potion's liquid continuously expands from a tiny bead to color the clear liquid around it and then contracts. Shaking the bottle fails to interrupt this process.  Purchasing this gives an adventurer 1 use of this item per guild mission they go on, and does not stack unless you purchase more than 1.</t>
  </si>
  <si>
    <t>Ring of Jumping</t>
  </si>
  <si>
    <t>While wearing this ring, you can cast Jump from it, but can target only yourself when you do so.</t>
  </si>
  <si>
    <t>Wand of Magic Detection</t>
  </si>
  <si>
    <t>This wand has 3 charges. While holding it, you can expend 1 charge to cast Detect Magic from it. The wand regains 1d3 expended charges daily at dawn.</t>
  </si>
  <si>
    <t>Potion of Diminution</t>
  </si>
  <si>
    <t>When you drink this potion, you gain the "reduce" effect of the Enlarge/Reduce spell for 1d4 hours (no Concentration required).The red in the potion's liquid continuously contracts to a tiny bead and then expands to color the clear liquid around it. Shaking the bottle fails to interrupt this process.  Purchasing this gives an adventurer 1 use of this item per guild mission they go on, and does not stack unless you purchase more than 1.</t>
  </si>
  <si>
    <t>Dust of Disappearance</t>
  </si>
  <si>
    <t>This powder resembles fine sand. There is enough of it for one use. When you take a Utilize action to throw the dust into the air, you and each creature and object within a 10-foot Emanation originating from you have the Invisible condition for 2d4 minutes. The duration is the same for all subjects, and the dust is consumed when its magic takes effect. Immediately after an affected creature makes an attack roll, deals damage, or casts a spell, the Invisible condition ends for that creature.  Purchasing this gives an adventurer 1 use of this item per guild mission they go on, and does not stack unless you purchase more than 1.</t>
  </si>
  <si>
    <t>Eyes of the Eagle</t>
  </si>
  <si>
    <t>These crystal lenses fit over the eyes. While wearing them, you have Advantage on Wisdom (Perception) checks that rely on sight. In conditions of clear visibility, you can make out details of even extremely distant creatures and objects as small as 2 feet across.</t>
  </si>
  <si>
    <t>Rhythm-Maker's Drum</t>
  </si>
  <si>
    <t>requires attunement by a bard</t>
  </si>
  <si>
    <t>As an action, you can play the drum to regain one use of your Bardic Inspiration feature. This property of the drum can't be used again until the next dawn.If you have proficiency with a given musical instrument, you can add your proficiency bonus to any ability checks you make to play music with the instrument. A bard can use a musical instrument as a spellcasting focus. Each type of musical instrument requires a separate proficiency.See the Tool Proficiencies entry for more information.Proficiency with a musical instrument indicates you are familiar with the techniques used to play it. You also have knowledge of some songs commonly performed with that instrument. History. Your expertise aids you in recalling lore related to your instrument. Performance. Your ability to put on a good show is improved when you incorporate an instrument into your act. Compose a Tune. As part of a long rest, you can compose a new tune and lyrics for your instrument. You might use this ability to impress a noble or spread scandalous rumors with a catchy tune.Musical InstrumentActivityDCIdentify a tune10Improvise a tune20</t>
  </si>
  <si>
    <t>Potion of Invisibility</t>
  </si>
  <si>
    <t>This potion's container looks empty but feels as though it holds liquid. When you drink the potion, you have the Invisible condition for 1 hour. The effect ends early if you make an attack roll, deal damage, or cast a spell.  Purchasing this gives an adventurer 1 use of this item per guild mission they go on, and does not stack unless you purchase more than 1.</t>
  </si>
  <si>
    <t>Cloak of the Manta Ray</t>
  </si>
  <si>
    <t>While wearing this cloak, you can breathe underwater, and you have a Swim Speed of 60 feet.</t>
  </si>
  <si>
    <t>Driftglobe</t>
  </si>
  <si>
    <t>This small sphere of thick glass weighs 1 pound. If you are within 60 feet of it, you can command it to emanate light equivalent to that of the Light or Daylight spell (your choice). Once used, the Daylight effect can't be used again until the next dawn.You can issue another command as a Magic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</si>
  <si>
    <t>Helm of Comprehending Languages</t>
  </si>
  <si>
    <t>While wearing this helm, you can cast Comprehend Languages from it.</t>
  </si>
  <si>
    <t>Immovable Rod</t>
  </si>
  <si>
    <t>Rod</t>
  </si>
  <si>
    <t>This iron rod has a button on one end. You can take a Utilize action to press the button, which causes the rod to become magically fixed in place. Until you or another creature takes a Utilize action to push the button again, the rod doesn't move, even if it defies gravity. The rod can hold up to 8,000 pounds of weight. More weight causes the rod to deactivate and fall. A creature can take a Utilize action to make a DC 30 Strength (Athletics) check, moving the fixed rod up to 10 feet on a successful check.</t>
  </si>
  <si>
    <t>Burnt Othur Fumes</t>
  </si>
  <si>
    <t>A creature subjected to Burnt Othur Fumes must succeed on a DC 13 Constitution saving throw or take 10 (3d6) Poison damage, and it must repeat the save at the start of each of its turns. On each successive failed save, the creature takes 3 (1d6) Poison damage. After three successful saves, the poison ends.  Purchasing this gives an adventurer 1 use of this item per guild mission they go on, and does not stack unless you purchase more than 1.</t>
  </si>
  <si>
    <t>Arcane Battery</t>
  </si>
  <si>
    <t>NF</t>
  </si>
  <si>
    <t>This smooth, oval stone is etched with faintly glowing, magical symbols. While holding the battery, you can take a Magic action to touch the battery to one magic item. If that magic item normally regains expended charges daily, it immediately regains 1d4 + 1 expended charges, and the battery loses its magic.  Purchasing this gives an adventurer 1 use of this item per guild mission they go on, and does not stack unless you purchase more than 1.</t>
  </si>
  <si>
    <t>Cap of Vanishing</t>
  </si>
  <si>
    <t>WttHC</t>
  </si>
  <si>
    <t>This cap has 3 charges and regains all expended charges daily at dawn. While wearing the cap, you can take a Magic action and expend 1 charge to give yourself the Invisible condition for 10 minutes. The effect ends early if the hat is removed, or immediately after you make an attack roll, deal damage, or cast a spell.</t>
  </si>
  <si>
    <t>Card Sharp's Deck</t>
  </si>
  <si>
    <t>The cards of this deck shimmer around the edges. While holding this deck, you can use the following properties:Deadly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</si>
  <si>
    <t>Dust of Corrosion</t>
  </si>
  <si>
    <t>WBtW</t>
  </si>
  <si>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one.Found in a small packet, this dust is made from finely ground rust monster antennae. There is enough dust in each packet for one use.  Purchasing this gives an adventurer 1 use of this item per guild mission they go on, and does not stack unless you purchase more than 1.</t>
  </si>
  <si>
    <t>Gloves of Missile Snaring</t>
  </si>
  <si>
    <t>If you're hit by an attack roll made with a Ranged or Thrown weapon while wearing these gloves, you can take a Reaction to reduce the damage by 1d10 plus your Dexterity modifier if you have a free hand. If you reduce the damage to 0, you can catch the ammunition or weapon if it is small enough for you to hold in that hand.</t>
  </si>
  <si>
    <t>Guardian Emblem</t>
  </si>
  <si>
    <t>requires attunement by a cleric or paladin</t>
  </si>
  <si>
    <t>This emblem is the symbol of a deity or a spiritual tradition. As an action, you can attach the emblem to a suit of armor or a shield or remove it.The emblem has 3 charges. When you or a creature you can see within 30 feet of you suffers a critical hit while you're wearing the armor or wielding the shield that bears the emblem, you can use your reaction to expend 1 charge to turn the critical hit into a normal hit instead.The emblem regains all expended charges daily at dawn.</t>
  </si>
  <si>
    <t>Cleric, Paladin</t>
  </si>
  <si>
    <t>Hat of Vortexes</t>
  </si>
  <si>
    <t>This hat has 3 charges and regains all expended charges daily at dawn. You can take a Magic action and expend 1 charge while holding the hat to release a magical vortex from it. The vortex fills a 10-foot Cube originating from you and lasts for 1 hour. While the vortex is present, its area is Difficult Terrain. You decide a vortex's visual details when you create it. For instance, the vortex might be multicolored or glittery.</t>
  </si>
  <si>
    <t>Javelin of Lightning</t>
  </si>
  <si>
    <t>Thrown (30/120ft.)</t>
  </si>
  <si>
    <t>Each time you make an attack roll with this magic weapon and hit, you can have it deal Lightning damage instead of Piercing damage. Lightning Bolt. When you throw this weapon at a target no farther than 120 feet from you, you can forgo making a ranged attack roll and instead turn the weapon into a bolt of lightning. This bolt forms a 5-foot-wide Line between you and the target. The target and each other creature in the Line (excluding you) makes a DC 13 Dexterity saving throw, taking 4d6 Lightning damage on a failed save or half as much damage on a successful one. Immediately after dealing this damage, the weapon reappears in your hand. This property can't be used again until the next dawn.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Slow. If you hit a creature with this weapon and deal damage to it, you can reduce its Speed by 10 feet until the start of your next turn. If the creature is hit more than once by weapons that have this property, the Speed reduction doesn't exceed 10 feet.</t>
  </si>
  <si>
    <t>Moon Sickle</t>
  </si>
  <si>
    <t>requires attunement by a druid or ranger</t>
  </si>
  <si>
    <t>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t>
  </si>
  <si>
    <t>Druid, Ranger</t>
  </si>
  <si>
    <t>Potion of Fire Breath</t>
  </si>
  <si>
    <t>After drinking this potion, you can take a Bonus Action to exhale fire at a target within 30 feet of yourself. The target makes a DC 13 Dexterity saving throw, taking 4d6 Fire damage on a failed save or half as much damage on a successful one. The effect ends after you exhale the fire three times or when 1 hour has passed.This potion's orange liquid flickers, and smoke fills the top of the container and wafts out whenever it is opened.  Purchasing this gives an adventurer 1 use of this item per guild mission they go on, and does not stack unless you purchase more than 1.</t>
  </si>
  <si>
    <t>Ring of Puzzler's Wit</t>
  </si>
  <si>
    <t>This gold ring bears a fluorite stone and is enchanted to sharpen the wearer's mind.The ring has 3 charges and regains 1d4 - 1 expended charges daily at dawn. When you make an Intelligence check, you can expend 1 charge to grant yourself advantage on the check.</t>
  </si>
  <si>
    <t>Ring of Water Walking</t>
  </si>
  <si>
    <t>While wearing this ring, you cast Water Walk from it, targeting only yourself.</t>
  </si>
  <si>
    <t>Storm Boomerang</t>
  </si>
  <si>
    <t>PotA</t>
  </si>
  <si>
    <t>range 60/120 ft.</t>
  </si>
  <si>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hand.Once the boomerang deals thunder damage to a target, the weapon loses its ability to deal thunder damage and its ability to stun a target. These properties return after the boomerang spends at least 1 hour inside an elemental air node.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t>
  </si>
  <si>
    <t>Duplicitous Manuscript</t>
  </si>
  <si>
    <t>requires attunement by a wizard</t>
  </si>
  <si>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</si>
  <si>
    <t>Knave's Eye Patch</t>
  </si>
  <si>
    <t>While wearing this eye patch, you gain these benefits:You have advantage on Wisdom (Perception) checks that rely on sight.If you have the Sunlight Sensitivity trait, you are unaffected by the trait.You are immune to magic that allows other creatures to read your thoughts or determine whether you are lying. Creatures can communicate telepathically with you only if you allow it.</t>
  </si>
  <si>
    <t>Coiling Grasp Tattoo</t>
  </si>
  <si>
    <t>Wondrous Item (Tattoo)</t>
  </si>
  <si>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</si>
  <si>
    <t>Nature's Mantle</t>
  </si>
  <si>
    <t>This cloak shifts color and texture to blend with the terrain surrounding you. While wearing the cloak, you can use it as a Spellcasting Focus for your Druid and Ranger spells.While you are in an area that is Lightly Obscured, you can Hide as a Bonus Action even if you are being directly observed.</t>
  </si>
  <si>
    <t>Ioun Stone, Protection</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</si>
  <si>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 gain a +1 bonus to Armor Class while this dusty-rose prism orbits your head.</t>
  </si>
  <si>
    <t>Wyvern Poison</t>
  </si>
  <si>
    <t>A creature subjected to Wyvern Poison makes a DC 14 Constitution saving throw, taking 24 (7d6) Poison damage on a failed save or half as much damage on a successful one.  Purchasing this gives an adventurer 1 use of this item per guild mission they go on, and does not stack unless you purchase more than 1.</t>
  </si>
  <si>
    <t>Eldritch Claw Tattoo</t>
  </si>
  <si>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Magical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</si>
  <si>
    <t>Eversmoking Bottle</t>
  </si>
  <si>
    <t>As a Magic action, you can open or close this bottle. Opening the bottle causes thick smoke to billow out, forming a cloud that fills a 60-foot Emanation originating from the bottle. The area within the smoke is Heavily Obscured. Each minute the bottle remains open, the size of the Emanation increases by 10 feet until it reaches its maximum size of 120 feet. Closing the bottle causes the cloud to become fixed in place until it disperses after 10 minutes. A strong wind (such as that created by the Gust of Wind spell) disperses the cloud after 1 minute.</t>
  </si>
  <si>
    <t>Alchemical Compendium</t>
  </si>
  <si>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you.While you are holding the book, you can use it as a spellcasting focus for your wizard spells.The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transmutation school.As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</si>
  <si>
    <t>Bracer of Flying Daggers</t>
  </si>
  <si>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</si>
  <si>
    <t>Cloak of Elvenkind</t>
  </si>
  <si>
    <t>While you wear this cloak, Wisdom (Perception) checks made to perceive you have Disadvantage, and you have Advantage on Dexterity (Stealth) checks.</t>
  </si>
  <si>
    <t>Grants Advantage, Imposes Disadvantage</t>
  </si>
  <si>
    <t>Shadowfell Brand Tattoo</t>
  </si>
  <si>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</si>
  <si>
    <t>Ulcrun</t>
  </si>
  <si>
    <t>FRAiF</t>
  </si>
  <si>
    <t>A creature subjected to Ulcrun must succeed on a DC 15 Constitution saving throw or take 21 (6d6) Poison damage and gain 1 Exhaustion level.  Purchasing this gives an adventurer 1 use of this item per guild mission they go on, and does not stack unless you purchase more than 1.</t>
  </si>
  <si>
    <t>Amulet of the Devout</t>
  </si>
  <si>
    <t>This amulet bears the symbol of a deity inlaid with precious stones or metals.While you wear this amulet, you can use your Channel Divinity feature without expending one of the feature's uses. Once this property is used, it can't be used again until the next dawn.</t>
  </si>
  <si>
    <t>Arcane Grimoire</t>
  </si>
  <si>
    <t>While you are holding this leather-bound book, you can use it as a spellcasting focus for your wizard spells.You can use this book as a spellbook. In addition, when you use your Arcane Recovery feature, you can increase the number of spell slot levels you regain by 1.</t>
  </si>
  <si>
    <t>Bloodwell Vial</t>
  </si>
  <si>
    <t>requires attunement by a sorcerer</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</si>
  <si>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In addition, when you roll any Hit Dice to recover hit points while you are carrying the vial, you can regain 5 sorcery points. This property of the vial can't be used again until the next dawn.</t>
  </si>
  <si>
    <t>Enspelled Armor (Cantrip)</t>
  </si>
  <si>
    <t>Bound into this armor is a cantrip. The cantrip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t>
  </si>
  <si>
    <t>Enspelled Staff (Cantrip)</t>
  </si>
  <si>
    <t>requires attunement by a Spellcaster</t>
  </si>
  <si>
    <t>Bound into this staff is a cantrip. The cantrip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</si>
  <si>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Enspelled Weapon (Cantrip)</t>
  </si>
  <si>
    <t>Bound into this weapon is a cantrip. The cantrip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t>
  </si>
  <si>
    <t>Feywild Shard</t>
  </si>
  <si>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duration.If you don't have the Wild Magic Sorcerous Origin, once this property is used to roll on the Wild Magic Surge table, it can't be used again until the next dawn.</t>
  </si>
  <si>
    <t>Gloves of Thievery</t>
  </si>
  <si>
    <t>These gloves are imperceptible while worn. While wearing them, you gain a +5 bonus to Dexterity (Sleight of Hand) checks.</t>
  </si>
  <si>
    <t>Hat of Disguise</t>
  </si>
  <si>
    <t>While wearing this hat, you can cast the Disguise Self spell. The spell ends if the hat is removed.</t>
  </si>
  <si>
    <t>Rod of the Pact Keeper</t>
  </si>
  <si>
    <t>Wondrous Item, Rod</t>
  </si>
  <si>
    <t>requires attunement by a warlock</t>
  </si>
  <si>
    <t>You can regain one spell slot as a Magic action while holding the rod. You can't use this property again until you finish a Long Rest.</t>
  </si>
  <si>
    <t>Slippers of Spider Climbing</t>
  </si>
  <si>
    <t>While you wear these light shoes, you can move up, down, and across vertical surfaces and along ceilings, while leaving your hands free. You have a Climb Speed equal to your Speed. However, the slippers don't allow you to move this way on a slippery surface, such as one covered by ice or oil.</t>
  </si>
  <si>
    <t>Spiked Shield</t>
  </si>
  <si>
    <t>Crude metal spikes adorn this magic Shield. It has the following properties that you can use while holding it. Shield Bash. When you take the Attack action, you can make one of the attack rolls using the Shield against a target within 5 feet of yourself. Apply your Proficiency Bonus and Strength modifier to the attack roll. On a hit, the Shield deals Piercing damage equal to 2d6 plus your Strength modifier. Spike Salvo. As a Magic action, you can cause spikes to erupt from the Shield in a 30-foot Cone. Each creature in the Cone makes a DC 13 Dexterity saving throw, taking 3d6 Piercing damage on a failed save or half as much damage on a successful one. Once this property is used, it can't be used again until the next dawn.</t>
  </si>
  <si>
    <t>Stone of Good Luck</t>
  </si>
  <si>
    <t>While this polished agate is on your person, you gain a +1 bonus to ability checks and saving throws.</t>
  </si>
  <si>
    <t>Astromancy Archive</t>
  </si>
  <si>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rings.While you are holding the archive, you can use it as a spellcasting focus for your wizard spells.The archive has 3 charges, and it regains 1d3 expended charges daily at dawn. You can use the charges in the following ways while holding it:If you spend 1 minute studying the archive, you can expend 1 charge to replace one of your prepared wizard spells with a different spell in the archive. The new spell must be of the divination school.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</si>
  <si>
    <t>Cape of the Mountebank</t>
  </si>
  <si>
    <t>This cape smells faintly of brimstone. While wearing it, you can use it to cast Dimension Door as a Magic action. This property can't be used again until the next dawn.When you teleport with that spell, you leave behind a cloud of smoke. The space you left is Lightly Obscured by that smoke until the end of your next turn.</t>
  </si>
  <si>
    <t>Grasping Whip</t>
  </si>
  <si>
    <t>finesse, reach</t>
  </si>
  <si>
    <t xml:space="preserve"> When you hit a creature or object that is Large or smaller with this whip, you can pull that creature or object 5 feet toward you instead of dealing damage.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t>
  </si>
  <si>
    <t>Outer Essence Shard (Lawful)</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</si>
  <si>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can end one of the following conditions affecting yourself or one creature you can see within 30 feet of you: charmed, blinded, deafened, frightened, poisoned, or stunned.</t>
  </si>
  <si>
    <t>Protective Verses</t>
  </si>
  <si>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symbol.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abjuration school. When you cast an abjuration spell, you can expend 1 charge to grant a creature you can see within 30 feet of you 2d10 temporary hit points.</t>
  </si>
  <si>
    <t>Ring of the Ram</t>
  </si>
  <si>
    <t>This ring has 3 charges and regains 1d3 expended charges daily at dawn. While wearing the ring, you can take a Magic action to expend 1 to 3 charges to make a ranged spell attack against one creature you can see within 60 feet of yourself. The ring produces a spectral ram's head and makes its attack roll with a +7 bonus. On a hit, for each charge you spend, the target takes 2d10 Force damage and is pushed 5 feet away from you.Alternatively, you can expend 1 to 3 of the ring's charges as a Magic action to try to break a nonmagical object you can see within 60 feet of yourself that isn't being worn or carried. The ring makes a Strength check with a +5 bonus for each charge you spend.</t>
  </si>
  <si>
    <t>Ring of X-ray Vision</t>
  </si>
  <si>
    <t>While wearing this ring, you can take a Magic action to gain X-ray vision with a range of 30 feet for 1 minute. To you, solid objects within that radius appear transparent and don't prevent light from passing through them. The vision can penetrate 1 foot of stone, 1 inch of common metal, or up to 3 feet of wood or dirt. Thicker substances or a thin sheet of lead block the vision.Whenever you use the ring again before taking a Long Rest, you must succeed on a DC 15 Constitution saving throw or gain 1 Exhaustion level.</t>
  </si>
  <si>
    <t>Armor of Safeguarding</t>
  </si>
  <si>
    <t>BGG</t>
  </si>
  <si>
    <t>very rare</t>
  </si>
  <si>
    <t>Set in the center of this armor's chest is a citrine engraved with the shield rune.While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 
Applied to non-magical Base Equipment.</t>
  </si>
  <si>
    <t>Crystalline Chronicle</t>
  </si>
  <si>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it.While you are holding the crystal, you can use it as a spellcasting focus for your wizard spells, and you know the mage hand, mind sliver (appears in this book), and message cantrips if you don't already know them.The crystal has 3 charges, and it regains 1d3 expended charges daily at dawn. You can use the charges in the following ways while holding it:If you spend 1 minute studying the information within the crystal, you can expend 1 charge to replace one of your prepared wizard spells with a different spell in the book.When you cast a wizard spell, you can expend 1 charge to cast the spell without verbal, somatic, or material components of up to 100 gp value.</t>
  </si>
  <si>
    <t>Boots of the Winterlands</t>
  </si>
  <si>
    <t>These furred boots are snug and feel warm. While wearing them, you gain the following benefits. Cold Resistance. You have Resistance to Cold damage and can tolerate temperatures of 0 degrees Fahrenheit or lower without any additional protection. Winter Strider. You ignore Difficult Terrain created by ice or snow.</t>
  </si>
  <si>
    <t>Cloak of Protection</t>
  </si>
  <si>
    <t>You gain a +1 bonus to Armor Class and saving throws while you wear this cloak.</t>
  </si>
  <si>
    <t>Saddle of the Cavalier</t>
  </si>
  <si>
    <t>While in this saddle on a mount, you can't be dismounted against your will if you're conscious, and attack rolls against the mount have disadvantage.</t>
  </si>
  <si>
    <t>Wand of Entangle</t>
  </si>
  <si>
    <t>TftYP</t>
  </si>
  <si>
    <t>This wand has 7 charges. While holding it, you can use an action to expend 1 of its charges to cast the entangle spell (save DC 13) from it.The wand regains 1d6 + 1 expended charges daily at dawn. If you expend the wand's last charge, roll a d20. On a 1, the wand crumbles into ashes and is destroyed.</t>
  </si>
  <si>
    <t>Elemental Essence Shard (Fire)</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</si>
  <si>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One target of the spell that you can see catches fire. The burning target takes 2d10 fire damage at the start of its next turn, and then the flames go out.</t>
  </si>
  <si>
    <t>Far Realm Shard</t>
  </si>
  <si>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</si>
  <si>
    <t>Outer Essence Shard (Chaotic)</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</si>
  <si>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has disadvantage on attack rolls and ability checks made before the start of your next turn.</t>
  </si>
  <si>
    <t>Outer Essence Shard (Good)</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</si>
  <si>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or one creature of your choice that you can see within 30 feet of you gains 3d6 temporary hit points.</t>
  </si>
  <si>
    <t>Ring of Feather Falling</t>
  </si>
  <si>
    <t>When you fall while wearing this ring, you descend 60 feet per round and take no damage from falling.</t>
  </si>
  <si>
    <t>Ring of Poison Resistance</t>
  </si>
  <si>
    <t>You have Resistance to Poison damage while wearing this ring. The ring is set with amethyst.</t>
  </si>
  <si>
    <t>Fool's Blade</t>
  </si>
  <si>
    <t>This weapon appears ordinary, but it bears strong illusion magic that allows its wielder to skillfully deceive opponents. While wielding it, you also gain the following benefits:Fool's Feint. As a bonus action, you can feint, choosing a creature within 5 feet of you as your target. Until the start of your next turn, you have advantage on attack rolls against the target. Once this bonus action is used, it can't be used again until the next dawn.Misdirect.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 
Applied to non-magical Base Equipment.</t>
  </si>
  <si>
    <t>Poison Absorbing Tattoo</t>
  </si>
  <si>
    <t>Produced by a special needle, this magic tattoo features designs that emphasize one color (violet).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poison damage. Damage Absorption. When you take poison damage, you can use your reaction to gain immunity against that instance of the damage, and you regain a number of hit points equal to half the damage you would have taken. Once this reaction is used, it can't be used again until the next dawn.</t>
  </si>
  <si>
    <t>Tangler Grenade</t>
  </si>
  <si>
    <t>WDMM</t>
  </si>
  <si>
    <t>A tangler grenade is an alchemical, nonmagical item with an ovoid resin shell that shatters on impact. An as action, a creature can throw a tangler grenade at a point up to 60 feet away. Each creature within 10 feet of a shattered tangler grenade must succeed on a DC 15 Dexterity saving throw or be restrained by sticky white webs. As an action, a creature can try to free itself or another creature within its reach from the webs, doing so with a successful DC 20 Strength (Athletics) check. A gallon of alcohol dissolves the webs produced by a single tangler grenade. Otherwise, the webs dissolve on their own after 1 hour, freeing any creatures restrained by them.  Purchasing this gives an adventurer 1 use of this item per guild mission they go on, and does not stack unless you purchase more than 1.</t>
  </si>
  <si>
    <t>Boots of Elvenkind</t>
  </si>
  <si>
    <t>While you wear these boots, your steps make no sound, regardless of the surface you are moving across. You also have Advantage on Dexterity (Stealth) checks.</t>
  </si>
  <si>
    <t>Brooch of Shielding</t>
  </si>
  <si>
    <t>While wearing this brooch, you have Resistance to Force damage, and you have Immunity to damage from the Magic Missile spell.</t>
  </si>
  <si>
    <t>Oil of Slipperiness</t>
  </si>
  <si>
    <t>One vial of this oil can cover one Medium or smaller creature, along with the equipment it's wearing and carrying (one additional vial is required for each size category above Medium). Applying the oil takes 10 minutes. The affected creature then gains the effect of the Freedom of Movement spell for 8 hours.Alternatively, the oil can be poured on the ground as a Magic action, where it covers a 10-foot square, duplicating the effect of the Grease spell in that area for 8 hours.This sticky, black unguent is thick and heavy, but it flows quickly when poured.  Purchasing this gives an adventurer 1 use of this item per guild mission they go on, and does not stack unless you purchase more than 1.</t>
  </si>
  <si>
    <t>Poison Soaked Kukri</t>
  </si>
  <si>
    <t>You can take a Bonus Action to magically coat the blade of this Dagger with poison. The poison remains for 1 minute or until an attack using this weapon hits a creature. That creature must succeed on a DC 13 Constitution saving throw or take 2d8 Poison damage and have the Poisoned condition for 1 minute. This Bonus Action can't be used again this way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t>
  </si>
  <si>
    <t>Astral Shard</t>
  </si>
  <si>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</si>
  <si>
    <t>Boots of Levitation</t>
  </si>
  <si>
    <t>While you wear these boots, you can cast Levitate on yourself.</t>
  </si>
  <si>
    <t>Cloak of the Bat</t>
  </si>
  <si>
    <t>While wearing this cloak, you have Advantage on Dexterity (Stealth) checks. In an area of Dim Light or Darkness, you can grip the edges of the cloak and use it to gain a Fly Speed of 40 feet. If you ever fail to grip the cloak's edges while flying in this way, or if you are no longer in Dim Light or Darkness, you lose this Fly Speed.While wearing the cloak in an area of Dim Light or Darkness, you can cast Polymorph on yourself, shape-shifting into a Bat. While in that form, you retain your Intelligence, Wisdom, and Charisma scores. The cloak can't be used this way again until the next dawn.</t>
  </si>
  <si>
    <t>Potion of Heroism</t>
  </si>
  <si>
    <t>When you drink this potion, you gain 10 Temporary Hit Points that last for 1 hour. For the same duration, you are under the effect of the Bless spell (no Concentration required).This potion's blue liquid bubbles and steams as if boiling.  Purchasing this gives an adventurer 1 use of this item per guild mission they go on, and does not stack unless you purchase more than 1.</t>
  </si>
  <si>
    <t>Rogue's Mantle</t>
  </si>
  <si>
    <t>This dark, hooded mantle of thick cloth is infused with secretive and deceptive magic. While wearing it, you gain the following benefits:Darkvision.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</si>
  <si>
    <t>Rope of Entanglement</t>
  </si>
  <si>
    <t>This rope is 30 feet long. While holding one end of the rope, you can take a Magic action to command the other end to dart forward and entangle one creature you can see within 20 feet of yourself. The target must succeed on a DC 15 Dexterity saving throw or have the Restrained condition. You can release the target by letting go of your end of the rope (causing the rope to coil up in the target's space) or by using a Bonus Action to repeat the command (causing the rope to coil up in your hand).A target Restrained by the rope can take an action to make its choice of a DC 15 Strength (Athletics) or Dexterity (Acrobatics) check. On a successful check, the target is no longer Restrained by the rope. If you're still holding onto the rope when a target escapes from it, you can take a Reaction to command the rope to coil up in your hand; otherwise, the rope coils up in the target's space.The rope has AC 20, HP 20, and Immunity to Poison and Psychic damage. It regains 1 Hit Point every 5 minutes as long as it has at least 1 Hit Point. If the rope drops to 0 Hit Points, it is destroyed.</t>
  </si>
  <si>
    <t>Dwarven Plate</t>
  </si>
  <si>
    <t>If an effect moves you against your will along the ground, you can take a Reaction to reduce the distance you are moved by up to 10 feet. 
Applied to non-magical Base Equipment.</t>
  </si>
  <si>
    <t>Jester's Mask</t>
  </si>
  <si>
    <t>legendary</t>
  </si>
  <si>
    <t>requires attunement by a bard, sorcerer, or warlock</t>
  </si>
  <si>
    <t>This colorful, harlequin domino mask is edged with pearls. While wearing this mask, you gain the following benefits:Charismatic Focus. You can use the mask as a spellcasting focus. Marvelous Escape.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dawn.Topsy-Turvy. When you roll a 1 on a d20, you can treat the roll as if you rolled a 20 instead. Once this property is used, it can't be used again until the next dawn.</t>
  </si>
  <si>
    <t>Bard, Sorcerer, Warlock</t>
  </si>
  <si>
    <t>Enspelled Armor (Level 1)</t>
  </si>
  <si>
    <t>Bound into this armor is a level 1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t>
  </si>
  <si>
    <t>Enspelled Staff (Level 1)</t>
  </si>
  <si>
    <t>Bound into this staff is a level 1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</si>
  <si>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Enspelled Weapon (Level 1)</t>
  </si>
  <si>
    <t>Bound into this weapon is a level 1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t>
  </si>
  <si>
    <t>Wayfarer's Boots</t>
  </si>
  <si>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</si>
  <si>
    <t>Acid Absorbing Tattoo</t>
  </si>
  <si>
    <t>Produced by a special needle, this magic tattoo features designs that emphasize one color (green).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acid damage. Damage Absorption. When you take acid damage, you can use your reaction to gain immunity against that instance of the damage, and you regain a number of hit points equal to half the damage you would have taken. Once this reaction is used, it can't be used again until the next dawn.</t>
  </si>
  <si>
    <t>Cold Absorbing Tattoo</t>
  </si>
  <si>
    <t>Produced by a special needle, this magic tattoo features designs that emphasize one color (blue).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cold damage. Damage Absorption. When you take cold damage, you can use your reaction to gain immunity against that instance of the damage, and you regain a number of hit points equal to half the damage you would have taken. Once this reaction is used, it can't be used again until the next dawn.</t>
  </si>
  <si>
    <t>Fire Absorbing Tattoo</t>
  </si>
  <si>
    <t>Produced by a special needle, this magic tattoo features designs that emphasize one color (red).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fire damage. Damage Absorption. When you take fire damage, you can use your reaction to gain immunity against that instance of the damage, and you regain a number of hit points equal to half the damage you would have taken. Once this reaction is used, it can't be used again until the next dawn.</t>
  </si>
  <si>
    <t>Lightning Absorbing Tattoo</t>
  </si>
  <si>
    <t>Produced by a special needle, this magic tattoo features designs that emphasize one color (yellow).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lightning damage. Damage Absorption. When you take lightning damage, you can use your reaction to gain immunity against that instance of the damage, and you regain a number of hit points equal to half the damage you would have taken. Once this reaction is used, it can't be used again until the next dawn.</t>
  </si>
  <si>
    <t>Necrotic Absorbing Tattoo</t>
  </si>
  <si>
    <t>Produced by a special needle, this magic tattoo features designs that emphasize one color (black).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necrotic damage. Damage Absorption. When you take necrotic damage, you can use your reaction to gain immunity against that instance of the damage, and you regain a number of hit points equal to half the damage you would have taken. Once this reaction is used, it can't be used again until the next dawn.</t>
  </si>
  <si>
    <t>Psychic Absorbing Tattoo</t>
  </si>
  <si>
    <t>Produced by a special needle, this magic tattoo features designs that emphasize one color (silver).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psychic damage. Damage Absorption. When you take psychic damage, you can use your reaction to gain immunity against that instance of the damage, and you regain a number of hit points equal to half the damage you would have taken. Once this reaction is used, it can't be used again until the next dawn.</t>
  </si>
  <si>
    <t>Quarterstaff of the Acrobat</t>
  </si>
  <si>
    <t>Thrown (30/120 ft.), Versatile (1d8)</t>
  </si>
  <si>
    <t>While holding this weapon, you can cause it to emit green Dim Light out to 10 feet, either as a Bonus Action or after you roll Initiative, or you can extinguish the light as a Bonus Action.While holding this weapon, you can take a Bonus Action to alter its form, turning it into a 6-inch rod (for ease of storage) or a 10-foot pole, or reverting it a Quarterstaff; the weapon will elongate only as far as the surrounding space allows.In certain forms, the weapon has the following additional properties. Acrobatic Assist (Quarterstaff and 10-Foot Pole Forms Only). While holding this weapon, you have Advantage on Dexterity (Acrobatics) checks. Attack Deflection (Quarterstaff Form Only). When you are hit by an attack while holding the weapon, you can take a Reaction to twirl the weapon around you, gaining a +5 bonus to your Armor Class against the triggering attack, potentially causing the attack to miss you. You can't use this property again until you finish a Short or Long Rest. Ranged Weapon (Quarterstaff Form Only). This weapon has Thrown with a normal range of 30 feet and a long range of 120 feet. Immediately after you make a ranged attack with the weapon, it flies back to your hand.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</si>
  <si>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Radiant Absorbing Tattoo</t>
  </si>
  <si>
    <t>Produced by a special needle, this magic tattoo features designs that emphasize one color (gold).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radiant damage. Damage Absorption. When you take radiant damage, you can use your reaction to gain immunity against that instance of the damage, and you regain a number of hit points equal to half the damage you would have taken. Once this reaction is used, it can't be used again until the next dawn.</t>
  </si>
  <si>
    <t>Thunder Absorbing Tattoo</t>
  </si>
  <si>
    <t>Produced by a special needle, this magic tattoo features designs that emphasize one color (orange).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thunder damage. Damage Absorption. When you take thunder damage, you can use your reaction to gain immunity against that instance of the damage, and you regain a number of hit points equal to half the damage you would have taken. Once this reaction is used, it can't be used again until the next dawn.</t>
  </si>
  <si>
    <t>Barrier Tattoo (Medium)</t>
  </si>
  <si>
    <t>Produced by a special needle, this magic tattoo depicts protective imagery and uses ink that resembles liquid metal.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Protection. While you aren't wearing armor, the tattoo grants you an Armor Class of 15 + your Dexterity modifier (maximum of +2). You can use a shield and still gain this benefit.</t>
  </si>
  <si>
    <t>Dagger of Blindsight</t>
  </si>
  <si>
    <t>finesse, light, thrown (20/60 ft.)</t>
  </si>
  <si>
    <t>This rare magic item requires attunement. A creature attuned to it gains blindsight out to a range of 30 feet. The dagger has a saw-toothed edge and a black pearl nested in its pommel.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t>
  </si>
  <si>
    <t>Dagger of Venom</t>
  </si>
  <si>
    <t>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t>
  </si>
  <si>
    <t>Deck of Oracles</t>
  </si>
  <si>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</si>
  <si>
    <t>Donjon's Sundering Sphere</t>
  </si>
  <si>
    <t>This marble-size crystal sphere glows with extraplanar energy.As part of attuning to this item, you press the crystal sphere to the hilt of a nonmagical melee weapon of your choice, magically attaching the sphere to the weapon. While wielding this weapon, you gain the following benefits:Dimensional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</si>
  <si>
    <t>Fulminating Treatise</t>
  </si>
  <si>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</si>
  <si>
    <t>Gem of Seeing</t>
  </si>
  <si>
    <t>This gem has 3 charges. As a Magic action, you can expend 1 charge. For the next 10 minutes, you have Truesight out to 120 feet when you peer through the gem.The gem regains 1d3 expended charges daily at dawn.</t>
  </si>
  <si>
    <t>Lash of Immolation</t>
  </si>
  <si>
    <t>The handle of this dark leather whip bears the fire rune, and embers dance around the whip's tail.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2d6.Once the rune has been invoked, it can't be invoked again until the next dawn.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t>
  </si>
  <si>
    <t>Libram of Souls and Flesh</t>
  </si>
  <si>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and vampiric touch.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necromancy school.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</si>
  <si>
    <t>Ring of Free Action</t>
  </si>
  <si>
    <t>While you wear this ring, Difficult Terrain doesn't cost you extra movement. In addition, magic can neither reduce any of your Speeds nor cause you to have the Paralyzed or Restrained condition.</t>
  </si>
  <si>
    <t>Stirring Dragon's Wrath Weapon</t>
  </si>
  <si>
    <t>This weapon is decorated with dragon heads, claws, wings, scales, or Draconic letters. When it steeps in a dragon's hoard, it absorbs the energy of the dragon's breath weapon and deals damage of that type with its special properties. Whenever you roll a 20 on your attack roll with this weapon, each creature of your choice within 5 feet of the target takes 5 damage of the type dealt by the dragon's breath weapon. On a hit, the weapon deals an extra 1d6 damage of the type dealt by the dragon's breath weapon. 
Applied to non-magical Base Equipment.</t>
  </si>
  <si>
    <t>Purple Worm Poison</t>
  </si>
  <si>
    <t>A creature subjected to Purple Worm Poison makes a DC 21 Constitution saving throw, taking 35 (10d6) Poison damage on a failed save or half as much damage on a successful one.  Purchasing this gives an adventurer 1 use of this item per guild mission they go on, and does not stack unless you purchase more than 1.</t>
  </si>
  <si>
    <t>Bracers of Archery</t>
  </si>
  <si>
    <t>While wearing these bracers, you have proficiency with the Longbow and Shortbow, and you gain a +2 bonus to damage rolls made with such weapons.</t>
  </si>
  <si>
    <t>Boots of Speed</t>
  </si>
  <si>
    <t>While you wear these boots, you can take a Bonus Action to click the boots' heels together. If you do, the boots double your Speed, and any creature that makes an Opportunity Attack against you has Disadvantage on the attack roll. If you click your heels together again, you end the effect.When you've used the boots' property for a total of 10 minutes, the magic ceases to function for you until you finish a Long Rest.</t>
  </si>
  <si>
    <t>Bracers of Celerity</t>
  </si>
  <si>
    <t>This pair of lightweight bronze bracers is lined with soft, purple velvet and engraved with swirling designs.While you're wearing these bracers, all your speeds increase by 10 feet, and you have advantage on saving throws you make to avoid or end the paralyzed or restrained condition on yourself.</t>
  </si>
  <si>
    <t>Bracers of Defense</t>
  </si>
  <si>
    <t>While wearing these bracers, you gain a +2 bonus to Armor Class if you are wearing no armor and using no Shield.</t>
  </si>
  <si>
    <t>Crown of the Wrath Bringer</t>
  </si>
  <si>
    <t>This jagged iron circlet bears ornaments in the shape of the enemy rune. When worn, the crown glows with pale light as it draws upon the wearer's fury to strike opponents with vicious terror.When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</si>
  <si>
    <t>Delver's Claws</t>
  </si>
  <si>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</si>
  <si>
    <t>Gauntlets of Flaming Fury</t>
  </si>
  <si>
    <t>BGDIA</t>
  </si>
  <si>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</si>
  <si>
    <t>Heart Weaver's Primer</t>
  </si>
  <si>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t>
  </si>
  <si>
    <t>Iron Bands of Bilarro</t>
  </si>
  <si>
    <t>This rusty iron sphere measures 3 inches in diameter and weighs 1 pound. You can take a Magic action to throw the sphere at a Huge or smaller creature you can see within 60 feet of yourself. As the sphere moves through the air, it opens into a tangle of metal bands.Make a ranged attack roll with an attack bonus equal to your Dexterity modifier plus your Proficiency Bonus. On a hit, the target has the Restrained condition until you take a Bonus Action to issue a command that releases it. Doing so or missing with the attack causes the bands to contract and become a sphere once more.A creature that can touch the bands, including the one Restrained, can take an action to make a DC 20 Strength (Athletics) check to break the iron bands. On a successful check, the item is destroyed, and the Restrained creature is freed. On a failed check, any further attempts made by that creature automatically fail until 24 hours have elapsed.Once the bands are used, they can't be used again until the next dawn.</t>
  </si>
  <si>
    <t>Mizzium Armor</t>
  </si>
  <si>
    <t>GGR</t>
  </si>
  <si>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 
Applied to non-magical Base Equipment.</t>
  </si>
  <si>
    <t>Outer Essence Shard (Evil)</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</si>
  <si>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takes an extra 3d6 necrotic damage.</t>
  </si>
  <si>
    <t>Planecaller's Codex</t>
  </si>
  <si>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cast a conjuration spell that summons or creates one creature, you can expend 1 charge to grant that creature advantage on attack rolls for 1 minute.</t>
  </si>
  <si>
    <t>Ring of Acid Resistance</t>
  </si>
  <si>
    <t>You have Resistance to Acid damage while wearing this ring. The ring is set with pearl.</t>
  </si>
  <si>
    <t>Ring of Cold Resistance</t>
  </si>
  <si>
    <t>You have Resistance to Cold damage while wearing this ring. The ring is set with tourmaline.</t>
  </si>
  <si>
    <t>Ring of Fire Resistance</t>
  </si>
  <si>
    <t>You have Resistance to Fire damage while wearing this ring. The ring is set with garnet.</t>
  </si>
  <si>
    <t>Ring of Lightning Resistance</t>
  </si>
  <si>
    <t>You have Resistance to Lightning damage while wearing this ring. The ring is set with citrine.</t>
  </si>
  <si>
    <t>Ring of Necrotic Resistance</t>
  </si>
  <si>
    <t>You have Resistance to Necrotic damage while wearing this ring. The ring is set with jet.</t>
  </si>
  <si>
    <t>Ring of Protection</t>
  </si>
  <si>
    <t>You gain a +1 bonus to Armor Class and saving throws while wearing this ring.</t>
  </si>
  <si>
    <t>Ring of Psychic Resistance</t>
  </si>
  <si>
    <t>You have Resistance to Psychic damage while wearing this ring. The ring is set with jade.</t>
  </si>
  <si>
    <t>Ring of Radiant Resistance</t>
  </si>
  <si>
    <t>You have Resistance to Radiant damage while wearing this ring. The ring is set with topaz.</t>
  </si>
  <si>
    <t>Ring of Thunder Resistance</t>
  </si>
  <si>
    <t>You have Resistance to Thunder damage while wearing this ring. The ring is set with spinel.</t>
  </si>
  <si>
    <t>Robe of Eyes</t>
  </si>
  <si>
    <t>This robe is adorned with eyelike patterns. While you wear the robe, you gain the following benefits:All-Around Vision. The robe gives you Advantage on Wisdom (Perception) checks that rely on sight. Special Senses. You have Darkvision and Truesight, both with a range of 120 feet. Drawbacks. A Light spell cast on the robe or a Daylight spell cast within 5 feet of the robe gives you the Blinded condition for 1 minute. At the end of each of your turns, you make a Constitution saving throw (DC 11 for Light or DC 15 for Daylight), ending the condition on yourself on a success.</t>
  </si>
  <si>
    <t>War Horn of Valor</t>
  </si>
  <si>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</si>
  <si>
    <t>Animated Shield</t>
  </si>
  <si>
    <t>While holding this Shield, you can take a Bonus Action to cause it to animate. The Shield leaps into the air and hovers in your space to protect you as if you were wielding it, leaving your hands free. The Shield remains animate for 1 minute, until you take a Bonus Action to end this effect, or until you die or have the Incapacitated condition, at which point the Shield falls to the ground or into your hand if you have one free.</t>
  </si>
  <si>
    <t>Force Absorbing Tattoo</t>
  </si>
  <si>
    <t>Produced by a special needle, this magic tattoo features designs that emphasize one color (white).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force damage. Damage Absorption. When you take force damage, you can use your reaction to gain immunity against that instance of the damage, and you regain a number of hit points equal to half the damage you would have taken. Once this reaction is used, it can't be used again until the next dawn.</t>
  </si>
  <si>
    <t>Mindblasting Cap</t>
  </si>
  <si>
    <t>This soft, violet cap bears stitching in the pattern of folds on a brain.As a bonus action while wearing the cap, you can project psychic energy in a 60-foot cone. Each creature in that area must make a DC 15 Intelligence saving throw. On a failed save, a creature takes 5d8 psychic damage and has the stunned condition for 1 minute. On a successful save, the creature takes half as much damage only. At the end of each of its turns, a stunned creature can repeat the saving throw, ending the stunned condition on itself on a success.Once this bonus action is used, it can't be used again until the next dawn.</t>
  </si>
  <si>
    <t>Potion of Flying</t>
  </si>
  <si>
    <t>When you drink this potion, you gain a Fly Speed equal to your Speed for 1 hour and can hover. If you're in the air when the potion wears off, you fall unless you have some other means of staying aloft.This potion's clear liquid floats at the top of its container and has cloudy white impurities drifting in it.  Purchasing this gives an adventurer 1 use of this item per guild mission they go on, and does not stack unless you purchase more than 1.</t>
  </si>
  <si>
    <t>Scimitar of Speed</t>
  </si>
  <si>
    <t>You can make one attack with it as a Bonus Action on each of your turns.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t>
  </si>
  <si>
    <t>Ioun Stone, Awareness</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</si>
  <si>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it.While this dark-blue rhomboid orbits your head, you have Advantage on Initiative rolls and Wisdom (Perception) checks.</t>
  </si>
  <si>
    <t>Ring of Evasion</t>
  </si>
  <si>
    <t>This ring has 3 charges, and it regains 1d3 expended charges daily at dawn. When you fail a Dexterity saving throw while wearing the ring, you can take a Reaction to expend 1 charge to succeed on that save instead.</t>
  </si>
  <si>
    <t>Starshot Crossbow</t>
  </si>
  <si>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 
Applied to non-magical Base Equipment.</t>
  </si>
  <si>
    <t>Fate Cutter Shears</t>
  </si>
  <si>
    <t>finesse, light, thrown (20/60 ft.)</t>
  </si>
  <si>
    <t>The blades of these pruning shears bear many nicks and dents but still cut cleanly. The shears function as a magic dagger. The weapon has the following properties:Ever Sharp. When you hit with an attack using the shears, the target takes an extra 1d6 force damage.Sever Threads. When you hit a creature with the shears, you can cut that creature's fate. Until the target finishes a long rest, attack rolls against it score a critical hit on a roll of 19 or 20 on the d20. Once this property is used, it can't be used again until the next dawn.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t>
  </si>
  <si>
    <t>Biza's Breath</t>
  </si>
  <si>
    <t>JttRC</t>
  </si>
  <si>
    <t>A creature subjected to this poison must succeed on a DC 16 Constitution saving throw or become poisoned for 1 minute. The poisoned creature must use its action to make a melee attack against a randomly determined creature within its reach. If there is no other creature within its reach, the poisoned creature does nothing on its turn. The creature can repeat the saving throw at the end of each of its turns, ending the effect on itself on a success.  Purchasing this gives an adventurer 1 use of this item per guild mission they go on, and does not stack unless you purchase more than 1.</t>
  </si>
  <si>
    <t>Wand of Magic Missiles</t>
  </si>
  <si>
    <t>This wand has 7 charges. While holding it, you can expend no more than 3 charges to cast Magic Missile from it. For 1 charge, you cast the level 1 version of the spell. You can increase the spell's level by 1 for each additional charge you expend. Regaining Charges. The wand regains 1d6 + 1 expended charges daily at dawn. If you expend the wand's last charge, roll 1d20. On a 1, the wand crumbles into ashes and is destroyed.</t>
  </si>
  <si>
    <t>Weapon of Warning</t>
  </si>
  <si>
    <t>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Applied to non-magical Base Equipment.</t>
  </si>
  <si>
    <t>+1 Spell Save DC</t>
  </si>
  <si>
    <t>Rare</t>
  </si>
  <si>
    <t>You have a +1 bonus to your spell save DC when you use this focus. Available to level 5+.</t>
  </si>
  <si>
    <t>Arrow-Catching Shield</t>
  </si>
  <si>
    <t>You gain a +2 bonus to Armor Class against ranged attack rolls while you wield this Shield. This bonus is in addition to the Shield's normal bonus to AC. Whenever an attacker makes a ranged attack roll against a target within 5 feet of you, you can take a Reaction to become the target of the attack instead.</t>
  </si>
  <si>
    <t>Atlas of Endless Horizons</t>
  </si>
  <si>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are hit by an attack, you can use your reaction to expend 1 charge to teleport up to 10 feet to an unoccupied space you can see. If your new position is out of range of the attack, it misses you.</t>
  </si>
  <si>
    <t>Bow of Conflagration</t>
  </si>
  <si>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 
Applied to non-magical Base Equipment.</t>
  </si>
  <si>
    <t>Crystal Blade</t>
  </si>
  <si>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 
Applied to non-magical Base Equipment.</t>
  </si>
  <si>
    <t>Healing, Bonus Damage</t>
  </si>
  <si>
    <t>Devotee's Censer</t>
  </si>
  <si>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</si>
  <si>
    <t>Elemental Essence Shard (Air)</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</si>
  <si>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can immediately fly up to 60 feet without provoking opportunity attacks.</t>
  </si>
  <si>
    <t>Elemental Essence Shard (Earth)</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</si>
  <si>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gain resistance to a damage type of your choice until the start of your next turn.</t>
  </si>
  <si>
    <t>Elemental Essence Shard (Water)</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</si>
  <si>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create a wave of water that bursts out from you in a 10-foot radius. Each creature of your choice that you can see in that area takes 2d6 cold damage and must succeed on a Strength saving throw against your spell save DC or be pushed 10 feet away from you and fall prone.</t>
  </si>
  <si>
    <t>Glimmering Moonbow</t>
  </si>
  <si>
    <t>This silver-and-black bow is engraved with the phases of the moon.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 
Applied to non-magical Base Equipment.</t>
  </si>
  <si>
    <t>Ring of Force Resistance</t>
  </si>
  <si>
    <t>You have Resistance to Force damage while wearing this ring. The ring is set with sapphire.</t>
  </si>
  <si>
    <t>Serpent's Fang</t>
  </si>
  <si>
    <t>CM</t>
  </si>
  <si>
    <t>versatile (1d10)</t>
  </si>
  <si>
    <t>This single-edged magic sword is made from the scrimshawed fang of a giant serpent. Its hilt changes shape to adjust to the grasp of any creature that picks it up. The weapon deals an extra 1d10 poison damage to any target it hits. Versatile. This weapon can be used with one or two hands. A damage value in parentheses appears with the property the damage when the weapon is used with two hands to make a melee attack.</t>
  </si>
  <si>
    <t>Stirring Dragon-Touched Focus</t>
  </si>
  <si>
    <t>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</si>
  <si>
    <t>Tentacle Rod</t>
  </si>
  <si>
    <t>This rod ends in three rubbery tentacles. While holding the rod, you can take a Magic action to direct the tentacles to stretch outward, each one attacking a creature you can see within 15 feet of yourself. For each tentacle, make a melee attack roll with a +9 bonus. A tentacle deals 1d6 Psychic damage on a hit. If you hit the same target with all three tentacles, the target must succeed on a DC 15 Dexterity saving throw or have the Restrained condition until you have the Incapacitated condition, until you take a Bonus Action to release the target, or until the target is no longer within 15 feet of you. While Restrained in this way, the target takes 3d6 Psychic damage at the start of each of its turns. At the end of each of its turns, the target repeats the save, ending the effect on itself on a success.</t>
  </si>
  <si>
    <t>Dancing Sword</t>
  </si>
  <si>
    <t>You can take a Bonus Action to toss this magic weapon into the air. When you do so, the weapon begins to hover, flies up to 30 feet, and attacks one creature of your choice within 5 feet of itself. The weapon uses your attack roll and adds your ability modifier to damage rolls.While the weapon hovers, you can take a Bonus Action to cause it to fly up to 30 feet to another spot within 30 feet of you. As part of the same Bonus Action, you can cause the weapon to attack one creature within 5 feet of the weapon.After the hovering weapon attacks for the fourth time, it flies back to you and tries to return to your hand. If you have no hand free, the weapon falls to the ground in your space. If the weapon has no unobstructed path to you, it moves as close to you as it can and then falls to the ground. It also ceases to hover if you grasp it or are more than 30 feet away from it. 
Applied to non-magical Base Equipment.</t>
  </si>
  <si>
    <t>Nimbus Coronet</t>
  </si>
  <si>
    <t>The design of this bronze circlet resembles swirling clouds. At its center is set a deep-blue stone, upon which is inscribed the cloud rune.While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required).While in cloud form, you have a flying speed of 60 feet and resistance to bludgeoning, piercing, and slashing damage. Once the rune has been invoked, it can't be invoked again until the next dawn.</t>
  </si>
  <si>
    <t>Molten Bronze Skin</t>
  </si>
  <si>
    <t>MOT</t>
  </si>
  <si>
    <t>This magical armor appears as a jug of molten bronze. When you attune to it, the bronze adheres and contours to your skin. The armor can be worn under normal clothes, but it doesn't impede bodily functions. Once you put it on, it can't be removed unless you choose to do so.While wearing the armor, you have resistance to fire damage. The armor also doesn't impose disadvantage on Dexterity (Stealth) checks.
Applied to non-magical Base Equipment.</t>
  </si>
  <si>
    <t>Clockwork Armor</t>
  </si>
  <si>
    <t>The outside surface and internal joints of this armor whir with interlocking gears, drawing on the orderly magic of the plane of Mechanus.The armor has 4 charges. If you make a d20 roll while wearing this armor, you can expend 1 charge to change the number rolled to a 10. The armor regains 1d4 expended charges daily at dawn. 
Applied to non-magical Base Equipment.</t>
  </si>
  <si>
    <t>Eldritch Staff</t>
  </si>
  <si>
    <t>versatile (1d8)</t>
  </si>
  <si>
    <t>This staff can be wielded as a magic quarterstaff.The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 Versatile. This weapon can be used with one or two hands. A damage value in parentheses appears with the property the damage when the weapon is used with two hands to make a melee attack.</t>
  </si>
  <si>
    <t>Energy Bow</t>
  </si>
  <si>
    <t>Each time you pull your arm back in a firing motion, a magical arrow made of golden energy appears nocked and ready to fire. An arrow produced by this weapon deals Force damage instead of Piercing damage on a hit, and it disappears after it hits or misses its target. Until it disappears, the arrow emits Bright Light in a 20-foot radius and Dim Light for an additional 20 feet.This weapon has the following additional properties. Arrow of Restraint. Whenever you use this weapon to make a ranged attack against a creature, you can try to restrain the target instead of dealing damage to it. If the arrow hits, the target must succeed on a DC 15 Strength saving throw or have the Restrained condition for 1 minute. As an action, a creature Restrained by an arrow can make a DC 20 Strength (Athletics) check to try to break the restraint, ending the effect on itself on a successful check. Arrow of Transport. As a Magic action, you can fire one energy arrow from this weapon at a target you can see within 60 feet of yourself. The target can be either a willing Medium or smaller creature or an object that isn't being worn or carried, provided the object is small enough to fit inside a 5-foot Cube. The arrow teleports the target to an unoccupied space you can see within 10 feet of you. Energy Ladder. As a Magic action, you can loose a flurry of energy arrows from this weapon at a wall up to 60 feet away from yourself. The arrows become glowing rungs that stick out of the wall, forming a magical ladder up to 60 feet long on the wall. This ladder lasts for 1 minute before disappearing. 
Applied to non-magical Base Equipment.</t>
  </si>
  <si>
    <t>Mantle of Spell Resistance</t>
  </si>
  <si>
    <t>You have Advantage on saving throws against spells while you wear this cloak.</t>
  </si>
  <si>
    <t>Shadowfell Shard</t>
  </si>
  <si>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</si>
  <si>
    <t>Sun Staff</t>
  </si>
  <si>
    <t>requires attunement by a cleric, druid, or wizard</t>
  </si>
  <si>
    <t>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t>
  </si>
  <si>
    <t>Cleric, Druid, Wizard</t>
  </si>
  <si>
    <t>Mindguard Crown</t>
  </si>
  <si>
    <t>While you wear this adamantine crown, you have advantage on Intelligence, Wisdom, and Charisma saving throws, and you have resistance to psychic damage.</t>
  </si>
  <si>
    <t>Staff of Fate</t>
  </si>
  <si>
    <t>This transparent crystal staff can be wielded as a magic quarterstaff. Altered Outcome. The staff has 6 charges. As a bonus action, you can expend 1 of the staff's charges to give yourself or one other creature that you can see a d4. The recipient can roll this d4 and add the number rolled to one ability check, attack roll, damage roll, or saving throw it makes before the start of your next turn. If this extra die is not used before then, it is lost.If you expend the staff's last charge, roll a d20. On a roll of 9 or lower, the staff becomes a nonmagical quarterstaff that breaks the first time it scores a hit and deals damage. On a roll of 10 or higher, the staff regains 1d6 of its expended charges. Versatile. This weapon can be used with one or two hands. A damage value in parentheses appears with the propertyâ_x0080__x0094_the damage when the weapon is used with two hands to make a melee attack.</t>
  </si>
  <si>
    <t>Pipes of Haunting</t>
  </si>
  <si>
    <t>These pipes have 3 charges and regain 1d3 expended charges daily at dawn. You can take a Magic action to play them and expend 1 charge to create an eerie, spellbinding tune. Each creature of your choice within 30 feet of you must succeed on a DC 15 Wisdom saving throw or have the Frightened condition for 1 minute. A creature that fails the save repeats it at the end of each of its turns, ending the effect on itself on a success. A creature that succeeds on its save is immune to the effect of these pipes for 24 hours.</t>
  </si>
  <si>
    <t>Sentinel Shield</t>
  </si>
  <si>
    <t>While holding this Shield, you have Advantage on Initiative rolls and Wisdom (Perception) checks. The Shield is emblazoned with a symbol of an eye.</t>
  </si>
  <si>
    <t>Serpent Scale Armor</t>
  </si>
  <si>
    <t>AC 14 + Dex</t>
  </si>
  <si>
    <t>This suit of magic armor is made from shimmering scales. While wearing it, you can apply your full Dexterity modifier (instead of a maximum of +2) when determining your Armor Class. In addition, this armor does not impose disadvantage on your Dexterity (Stealth) checks.</t>
  </si>
  <si>
    <t>Enspelled Armor (Level 2)</t>
  </si>
  <si>
    <t>Bound into this armor is a level 2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t>
  </si>
  <si>
    <t>Enspelled Staff (Level 2)</t>
  </si>
  <si>
    <t>Bound into this staff is a level 2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</si>
  <si>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Enspelled Weapon (Level 2)</t>
  </si>
  <si>
    <t>Bound into this weapon is a level 2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t>
  </si>
  <si>
    <t>Stirring Scaled Ornament</t>
  </si>
  <si>
    <t>This ornament can be jewelry, a cloak, or another wearable accessory. It appears to be fashioned from a dragon's scale, tooth, or claw, or it incorporates images in those shapes.You gain a +1 bonus to AC, and you can't be charmed or frightened. Moreover, each creature of your choice within 30 feet of you has advantage on saving throws it makes to avoid being charmed or frightened or to end those conditions on itself.</t>
  </si>
  <si>
    <t>Frost Brand</t>
  </si>
  <si>
    <t>When you hit with an attack roll using this magic weapon, the target takes an extra 1d6 Cold damage. In addition, while you hold the weapon, you have Resistance to Fire damage.In freezing temperatures, the weapon sheds Bright Light in a 10-foot radius and Dim Light for an additional 10 feet.When you draw this weapon, you can extinguish all nonmagical flames within 30 feet of yourself. Once used, this property can't be used again for 1 hour. 
Applied to non-magical Base Equipment.</t>
  </si>
  <si>
    <t>Sword of the Paruns</t>
  </si>
  <si>
    <t>Once on each of your turns, you can use one of the following properties if you're holding the sword:Immediately after you use the Attack action to attack with the sword, you can enable one creature within 60 feet of you to use its reaction to make one weapon attack. Immediately after you take the Dash action, you can enable one creature within 60 feet of you to use its reaction to move up to its speed. Immediately after you take the Dodge action, you can enable one creature within 60 feet of you to use its reaction to gain the benefits of the Dodge action. Versatile. This weapon can be used with one or two hands. A damage value in parentheses appears with the property the damage when the weapon is used with two hands to make a melee attack.</t>
  </si>
  <si>
    <t>Winged Boots</t>
  </si>
  <si>
    <t>These boots have 4 charges and regain 1d4 expended charges daily at dawn. While wearing the boots, you can take a Magic action to expend 1 charge, gaining a Fly Speed of 30 feet for 1 hour. If you are flying when the duration expires, you descend at a rate of 30 feet per round until you land.</t>
  </si>
  <si>
    <t>Periapt of Proof against Poison</t>
  </si>
  <si>
    <t>This delicate silver chain has a brilliant-cut black gem pendant. While you wear it, you have Immunity to the Poisoned condition and Poison damage</t>
  </si>
  <si>
    <t>Cloak of Arachnida</t>
  </si>
  <si>
    <t>This fine garment is made of black silk interwoven with faint, silvery threads. While wearing it, you gain the following benefits. Poison Resistance. You have Resistance to Poison damage. Spider Climb. You have a Climb Speed equal to your Speed and can move up, down, and across vertical surfaces and along ceilings, while leaving your hands free. Spider Walk. You can't be caught in webs of any sort and can move through webs as if they were Difficult Terrain. Web. You can cast Web (save DC 13). The web created by the spell fills twice its normal area. Once used, this property can't be used again until the next dawn.</t>
  </si>
  <si>
    <t>Mistral Mantle</t>
  </si>
  <si>
    <t>This thick, fur-lined cloak has the frost rune stitched on the hem in silvery blue thread. Frigid wind swirls around the cloak, regardless of the weather.While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area.Once the rune has been invoked, it can't be invoked again until the next dawn.</t>
  </si>
  <si>
    <t>Robe of Scintillating Colors</t>
  </si>
  <si>
    <t>This robe has 3 charges, and it regains 1d3 expended charges daily at dawn. While you wear it, you can take a Magic action and expend 1 charge to cause the garment to display a shifting pattern of dazzling hues until the end of your next turn. During this time, the robe sheds Bright Light in a 30-foot radius and Dim Light for an additional 30 feet, and creatures that can see you have Disadvantage on attack rolls against you. Any creature in the Bright Light that can see you when the robe's power is activated must succeed on a DC 15 Wisdom saving throw or have the Stunned condition until the effect ends.</t>
  </si>
  <si>
    <t>Sanctum Amulet</t>
  </si>
  <si>
    <t>A black opal pendant hangs at the base of this pearlescent chain. The sacred rune is inscribed on the back of the pendant. While wearing this item, you have resistance to necrotic damage. Additionally, you can cast the spare the dying cantrip using either an action or a bonus action. Invoking the Rune.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t>
  </si>
  <si>
    <t>Reaper's Scream</t>
  </si>
  <si>
    <t>The spikes of this iron morningstar glow with sickly, pale light. The death rune is inscribed on its shaft and inlaid with pearl. Attacks with this weapon deal necrotic damage instead of piercing damage.When you attack a creature with this weapon and roll a 20 on the attack roll, you gain 10 temporary hit points. Any creature that hits you with a melee attack while you have 1 or more of these temporary hit points takes 10 necrotic damage. Invoking the Rune. As a bonus action, you can invoke the weapon's rune, unleashing the screams of every creature slain by the weapon in one cacophonous burst. Each creature of your choice within 60 feet of you must succeed on a DC 15 Wisdom saving throw or have the stunned condition until the start of your next turn.Once the rune has been invoked, it can't be invoked again until the next dawn.</t>
  </si>
  <si>
    <t>+1 Spell Focus</t>
  </si>
  <si>
    <t>You have a +1 bonus to your spell save DC and to spell attack rolls when using this focus.Available to level 8+</t>
  </si>
  <si>
    <t>+2 Weapon</t>
  </si>
  <si>
    <t>You have a +2 bonus to attack and damage rolls made with this magic weapon. Available to level 8+</t>
  </si>
  <si>
    <t>Vicious Weapon</t>
  </si>
  <si>
    <t>This magic weapon deals an extra 2d6 damage to any creature it hits. This extra damage is of the same type as the weapon's normal damage. 
Available at level 8+.</t>
  </si>
  <si>
    <t>+2 Wraps of Unarmed Power</t>
  </si>
  <si>
    <t>Very rare</t>
  </si>
  <si>
    <t>While wearing these wraps, you have a +2 bonus to attack rolls and damage rolls made with your Unarmed Strikes. Those strikes deal your choice of Force damage or their normal damage type. Available to level 8+</t>
  </si>
  <si>
    <t>Cape of Enlargement</t>
  </si>
  <si>
    <t>Ancient runes are stitched in silver thread along the hem of this grayish-purple cape.The cape has 3 charges. As a bonus action while wearing the cape, you can expend 1 of its charges to enlarge yourself, granting yourself the following benefits:Your size increases by one category from Medium to Large, for example. If there isn't enough room for your size to increase by one category, you instead become the maximum possible size in the space available.You have advantage on Strength checks and Strength saving throws.When you hit with an attack roll using a weapon or an unarmed strike, you can add your proficiency bonus to the attack's damage.These benefits last for 10 minutes or until you use another bonus action to dismiss them. The cape regains 1d3 expended charges daily at dawn.</t>
  </si>
  <si>
    <t>Ioun Stone, Agility</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</si>
  <si>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Dexterity increases by 2, to a maximum of 20, while this deep-red sphere orbits your head.</t>
  </si>
  <si>
    <t>Ioun Stone, Fortitude</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</si>
  <si>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Constitution increases by 2, to a maximum of 20, while this pink rhomboid orbits your head.</t>
  </si>
  <si>
    <t>Ioun Stone, Insight</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</si>
  <si>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Wisdom increases by 2, to a maximum of 20, while this incandescent blue sphere orbits your head.</t>
  </si>
  <si>
    <t>Ioun Stone, Intellect</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</si>
  <si>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Intelligence increases by 2, to a maximum of 20, while this marbled scarlet and blue sphere orbits your head.</t>
  </si>
  <si>
    <t>Ioun Stone, Leadership</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</si>
  <si>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Charisma increases by 2, to a maximum of 20, while this marbled pink and green sphere orbits your head.</t>
  </si>
  <si>
    <t>Ioun Stone, Strength</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</si>
  <si>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Strength increases by 2, to a maximum of 20, while this pale blue rhomboid orbits your head.</t>
  </si>
  <si>
    <t>Lute of Thunderous Thumping</t>
  </si>
  <si>
    <t>Simple Weapon, Melee Weapon, Instrument</t>
  </si>
  <si>
    <r>
      <rPr>
        <rFont val="Arial"/>
        <color theme="1"/>
      </rPr>
      <t xml:space="preserve">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t>
    </r>
    <r>
      <rPr>
        <rFont val="Arial"/>
        <b/>
        <color theme="1"/>
      </rPr>
      <t>Light</t>
    </r>
    <r>
      <rPr>
        <rFont val="Arial"/>
        <color theme="1"/>
      </rPr>
      <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t>
    </r>
  </si>
  <si>
    <t>Potion of Speed</t>
  </si>
  <si>
    <t>When you drink this potion, you gain the effect of the Haste spell for 1 minute (no Concentration required) without suffering the wave of lethargy that typically occurs when the effect ends.This potion's yellow fluid is streaked with black and swirls on its own.  Purchasing this gives an adventurer 1 use of this item per guild mission they go on, and does not stack unless you purchase more than 1.</t>
  </si>
  <si>
    <t>Rod of Alertness</t>
  </si>
  <si>
    <t>This rod has the following properties. Alertness. While holding the rod, you have Advantage on Wisdom (Perception) checks and on Initiative rolls. Spells. While holding the rod, you can cast the following spells from it:Detect Evil and Good Detect Magic Detect Poison and Disease See Invisibility Protective Aura. As a Magic action, you can plant the haft end of the rod in the ground, whereupon the rod's head sheds Bright Light in a 60-foot radius and Dim Light for an additional 60 feet. While in that Bright Light, you and your allies gain a +1 bonus to Armor Class and saving throws and can sense the location of any Invisible creature that is also in the Bright Light. The rod's head stops glowing and the effect ends after 10 minutes or when a creature takes a Magic action to pull the rod from the ground. Once used, this property can't be used again until the next dawn.</t>
  </si>
  <si>
    <t>Shield of the Cavalier</t>
  </si>
  <si>
    <t>This bonus is in addition to the Shield's normal bonus to AC.The Shield has the following additional properties that you can use while holding it. Forceful Bash. When you take the Attack action, you can make one of the attack rolls using the Shield against a target within 5 feet of yourself. Apply your Proficiency Bonus and Strength modifier to the attack roll. On a hit, the Shield deals Force damage to the target equal to 2d6 + 2 plus your Strength modifier, and if the target is a creature, you can push it up to 10 feet directly away from yourself. If the creature is your size or smaller, you can also knock it down, giving it the Prone condition. Protective Field. As a Reaction, when you or an ally you can see within 5 feet of you is targeted by an attack or makes a saving throw against an area of effect, you can use the Shield to create an immobile 5-foot Emanation originating from you. When the Emanation appears, any creatures or objects not fully contained within it are pushed into the nearest unoccupied spaces outside it. The attack or area of effect that triggered the Reaction has no effect on creatures and objects inside the Emanation, which lasts as long as you maintain Concentration, up to 1 minute. Nothing can pass into or out of the Emanation. A creature or object inside the Emanation can't be damaged by attacks or effects originating from outside, nor can a creature inside the Emanation damage anything outside it. Once this property is used, it can't be used again until the next dawn.</t>
  </si>
  <si>
    <t>Lost Crown of Besilmer</t>
  </si>
  <si>
    <t>This dwarven battle-helm consists of a sturdy open-faced steel helmet, decorated with a golden circlet above the brow from which seven small gold spikes project upward. You gain the following benefits while wearing the crown:You have resistance to psychic damage.You have advantage on saving throws against effects that would charm you.You can use a bonus action to inspire one creature you can see that is within 60 feet of you and that can see or hear you. Once before the end of your next turn, the inspired creature can roll a d6 and add the number rolled to one ability check, attack roll, or saving throw it makes. This uses 1 charge from the crown. It has 3 charges, and it regains 1d3 expended charges daily at dawn.</t>
  </si>
  <si>
    <t>Mythallar Cloak</t>
  </si>
  <si>
    <t>This electric-blue cloak is studded with sewn-in crystals that are shards of a decommissioned mythallar. The cloak has 10 charges and regains 1d10 expended charges daily at dawn. While wearing the cloak, you can take a Bonus Action and expend 1 charge to activate the cloak's magic. The magic lasts for 1 minute or until you end it early (no action required).While the cloak's magic is active, you gain a Fly Speed of 30 feet and can hover. Additionally, once on each of your turns when you hit a creature with an attack roll and deal damage, you can cause the target to take an extra 1d4 Radiant damage. If you are aloft when the cloak's magic ends, you fall.</t>
  </si>
  <si>
    <t>+1 Armor Class</t>
  </si>
  <si>
    <t>You have a +1 bonus to your Armor Class when wearing this armor. Available to level 8+</t>
  </si>
  <si>
    <t>Peregrine Mask</t>
  </si>
  <si>
    <t>While wearing this winged helm, you have a flying speed of 60 feet. In addition, you have advantage on initiative rolls.</t>
  </si>
  <si>
    <t>Watchful Helm</t>
  </si>
  <si>
    <t>While you wear this helm, you gain a +1 bonus to AC and remain aware of your surroundings even while you're asleep, and you have advantage on Wisdom (Perception) checks that rely on sight.As a bonus action, you can cast the see invisibility spell from the helm. Once this property of the helm is used, it can't be used again until the next dawn.</t>
  </si>
  <si>
    <t>Belt of Dwarvenkind</t>
  </si>
  <si>
    <t>While wearing this belt, you gain the following benefits:Dwarvish. You know Dwarvish.Friend of Dwarvenkind. You have Advantage on Charisma (Persuasion) checks made to interact with dwarves and duergar.Toughness. Your Constitution increases by 2, to a maximum of 20.In addition, while attuned to the belt, you have a 50 percent chance each day at dawn of growing a full beard if you can grow one, or a thicker beard if you already have one.If you aren't a dwarf or duergar, you gain the following additional benefits while wearing the belt:Darkvision. You have Darkvision with a range of 60 feet.Resilience. You have Resistance to Poison damage. You also have Advantage on saving throws you make to avoid or end the Poisoned condition.</t>
  </si>
  <si>
    <t>Wand of Web</t>
  </si>
  <si>
    <t>This wand has 7 charges. While holding it, you can expend 1 charge to cast Web (save DC 13) from it. Regaining Charges. The wand regains 1d6 + 1 expended charges daily at dawn. If you expend the wand's last charge, roll 1d20. On a 1, the wand crumbles into ashes and is destroyed.</t>
  </si>
  <si>
    <t>Enspelled Armor (Level 3)</t>
  </si>
  <si>
    <t>Bound into this armor is a level 3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15, and its attack bonus is +7. 
Applied to non-magical Base Equipment.</t>
  </si>
  <si>
    <t>Enspelled Staff (Level 3)</t>
  </si>
  <si>
    <t>Bound into this staff is a level 3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15, and its attack bonus is +7.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t>
  </si>
  <si>
    <t>Enspelled Weapon (Level 3)</t>
  </si>
  <si>
    <t>Bound into this weapon is a level 3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15, and its attack bonus is +7. 
Applied to non-magical Base Equipment.</t>
  </si>
  <si>
    <t>Portable Hole</t>
  </si>
  <si>
    <t>This fine black cloth, soft as silk, is folded up to the dimensions of a handkerchief. It unfolds into a circular sheet 6 feet in diameter.You can take a Magic action to unfold a Portable Hole and place it on or against a solid surface, whereupon the Portable Hole creates an extradimensional hole 10 feet deep. The cylindrical space within the hole exists on a different plane of existence, so it can't be used to create open passages. Any creature inside an open Portable Hole can exit the hole by climbing out of it.You can take a Magic action to close a Portable Hole by taking hold of the edges of the cloth and folding it up. Folding the cloth closes the hole, and any creatures or objects within remain in the extradimensional space. No matter what's in it, the hole weighs next to nothing.If the hole is folded up, a creature within the hole's extradimensional space can take an action to make a DC 10 Strength (Athletics) check. On a successful check, the creature forces its way out and appears within 5 feet of the Portable Hole. A closed Portable Hole holds enough air for 1 hour of breathing, divided by the number of breathing creatures inside.Placing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and not behind Total Cover is sucked through it and deposited in a random location on the Astral Plane. The gate then closes. The gate is one-way only and can't be reopened.</t>
  </si>
  <si>
    <t>Oathbow</t>
  </si>
  <si>
    <t>When you nock an arrow on this bow, it whispers in Elvish, "Swift defeat to my enemies." When you use this weapon to make a ranged attack, you can utter or sign the following command words: "Swift death to you who have wronged me." The target of your attack becomes your sworn enemy until it dies or until dawn 7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Half Cover or Three-Quarters Cover, and you suffer no Disadvantage due to long range. If the attack hits, your sworn enemy takes an extra 3d6 Piercing damage. While your sworn enemy lives, you have Disadvantage on attack rolls with all other weapons. 
Applied to non-magical Base Equipment.</t>
  </si>
  <si>
    <t>Sapphire Buckler</t>
  </si>
  <si>
    <t>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t>
  </si>
  <si>
    <t>Spellguard Shield</t>
  </si>
  <si>
    <t>While holding this Shield, you have Advantage on saving throws against spells and other magical effects, and spell attack rolls have Disadvantage against you.</t>
  </si>
  <si>
    <t>Wyrmreaver Gauntlets</t>
  </si>
  <si>
    <t>Originally crafted for ground-bound giant brawlers to fight against dragons and other enormous predators of the sky, these studded gauntlets are engraved with the dragon rune. While you are wearing these gauntlets, your unarmed strike deals an additional 1d6 force damage on a hit. Additionally, whenever you finish a long rest, choose one of the following damage types: acid, cold, fire, lightning, or poison. You have resistance to the chosen damage type until you finish another long rest. Invoking the Runes. As a bonus action, you can invoke the gauntlets' runes and summon two enormous spectral fists that envelop the gauntlets and mimic your hand motions. The fists can also launch themselves to strike distant opponents, returning immediately to your space after they hit or miss.The fists last for 1 minute or until you are incapacitated. While the spectral fists are active, unarmed strikes you make on your turn have a reach of 30 feet, and when you hit a creature with an opportunity attack made with your unarmed strike, the creature must succeed on a Strength saving throw (DC equals 8 + your proficiency bonus + your Strength modifier) or have the prone condition. Once the runes have been invoked, they can't be invoked again until the next dawn.</t>
  </si>
  <si>
    <t>Shield of the Blazing Dreadnought</t>
  </si>
  <si>
    <t>Modeled after the formidable spiked tower shields wielded by some fire giants, this iron shield emanates a constant warmth.You can use a bonus action to activate the shield, causing glowing lava to flow through the shield's grooves for 1 minute. While the shield is active, you gain the following benefits: Blazing Soul. You have immunity to fire damage. Cleansing Fire. As an action, you can cause the shield to flare with the cleansing fire of the god Surtur. Choose one creature you can see within 30 feet of yourself (you can choose yourself). One disease or condition of your choice affecting this creature ends immediately; the condition can be blinded, charmed, deafened, or poisoned. Shield Bash. When you take the Attack action on your turn, you can replace one of your attacks with a shield bash, targeting one creature you can see within 5 feet of yourself. The target must make a Strength saving throw (DC equals 8 + your proficiency bonus + your Strength modifier). On a failed save, the target takes 3d6 bludgeoning damage plus 3d6 fire damage and is knocked prone. On a successful save, the target takes half as much damage only. You can use Shield Bash only once per turn.Once the shield has been activated, it can't be activated again until the next dawn.</t>
  </si>
  <si>
    <t>Intensive Training</t>
  </si>
  <si>
    <t>Gain an additional feat for which you qualify. You can purchase this a maximum of three times.</t>
  </si>
  <si>
    <t>Ioun Stone, Mastery</t>
  </si>
  <si>
    <t>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Proficiency Bonus increases by 1 while this pale green prism orbits your head.</t>
  </si>
  <si>
    <t>Boots of the Winding Path</t>
  </si>
  <si>
    <t>Artificer Replicate Magic Item Only</t>
  </si>
  <si>
    <t>While wearing these boots, you can take a Bonus Action to teleport up to 15 feet to an unoccupied space you can see. You must have occupied that space at some point during the current turn.</t>
  </si>
  <si>
    <t>Helm of Awareness</t>
  </si>
  <si>
    <t>While wearing this helmet, you have Advantage on Initiative rolls.</t>
  </si>
  <si>
    <t>Artificer, Utility Gear</t>
  </si>
  <si>
    <t>Mind Sharpener</t>
  </si>
  <si>
    <t>The item has 4 charges. When you fail a Constitution saving throw to maintain Concentration, you can take a Reaction and expend 1 of the item's charges to succeed instead. The item regains 1d4 expended charges daily at dawn.</t>
  </si>
  <si>
    <t>Repeating Shot</t>
  </si>
  <si>
    <t>This magic weapon grants a +1 bonus to attack and damage rolls made with it when it's used to make a ranged attack, and it ignores the Loading property if it has that property.If the weapon lacks ammunition, it produces its own, automatically creating one piece of magic ammunition when the wielder makes a ranged attack roll with it. The ammunition created by the weapon vanishes the instant after it hits or misses a target. 
Applied to non-magical Base Equipment.</t>
  </si>
  <si>
    <t>Repulsion Shield</t>
  </si>
  <si>
    <t>You gain a +1 bonus to Armor Class while wielding this shield.The shield has 4 charges. While holding it, when a Large or smaller creature within 5 feet of you hits you with a melee attack roll, you can take a Reaction to expend 1 of the shield's charges and push the attacker up to 15 feet straight away. The shield regains 1d4 expended charges daily at dawn.</t>
  </si>
  <si>
    <t>Returning Weapon</t>
  </si>
  <si>
    <t>This magic weapon grants a +1 bonus to attack and damage rolls made with it, and it returns to your hand immediately after you use it to make a ranged attack roll. 
Applied to non-magical Base Equipment.</t>
  </si>
  <si>
    <t>Dazzling Weapon</t>
  </si>
  <si>
    <t>While holding it, you can take a Bonus Action to cause it to shed Bright Light in a 30-foot radius and Dim Light for an additional 30 feet. You can extinguish the light as a Bonus Action. The weapon has 4 charges. You can take a Reaction immediately after being hit by an attack roll to expend 1 of the weapon's charges and force the attacker to make a DC 15 Constitution saving throw. On a failed save, the attacker has the Blinded condition until the end of its next turn. The weapon regains 1d4 expended charges daily at dawn. 
Applied to non-magical Base Equipment.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</si>
</sst>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b/>
      <sz val="17.0"/>
      <color theme="1"/>
      <name val="Arial"/>
      <scheme val="minor"/>
    </font>
    <font>
      <b/>
      <u/>
      <sz val="17.0"/>
      <color rgb="FF0000FF"/>
    </font>
    <font>
      <color theme="1"/>
      <name val="Arial"/>
      <scheme val="minor"/>
    </font>
    <font>
      <b/>
      <sz val="15.0"/>
      <color theme="1"/>
      <name val="Arial"/>
      <scheme val="minor"/>
    </font>
    <font>
      <b/>
      <sz val="12.0"/>
      <color theme="1"/>
      <name val="Arial"/>
      <scheme val="minor"/>
    </font>
    <font>
      <b/>
      <u/>
      <sz val="15.0"/>
      <color rgb="FF0000FF"/>
    </font>
    <font>
      <sz val="12.0"/>
      <color theme="1"/>
      <name val="Arial"/>
      <scheme val="minor"/>
    </font>
    <font>
      <b/>
      <sz val="11.0"/>
      <color theme="1"/>
      <name val="Arial"/>
      <scheme val="minor"/>
    </font>
    <font>
      <color theme="1"/>
      <name val="Arial"/>
    </font>
    <font>
      <b/>
      <sz val="13.0"/>
      <color theme="1"/>
      <name val="Arial"/>
      <scheme val="minor"/>
    </font>
  </fonts>
  <fills count="6">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
      <patternFill patternType="solid">
        <fgColor rgb="FFCCCCCC"/>
        <bgColor rgb="FFCCCCCC"/>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shrinkToFit="0" textRotation="30" vertical="bottom"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2" numFmtId="0" xfId="0" applyAlignment="1" applyFont="1">
      <alignment horizontal="center" readingOrder="0" shrinkToFit="0" wrapText="1"/>
    </xf>
    <xf borderId="0" fillId="2" fontId="2" numFmtId="0" xfId="0" applyAlignment="1" applyFill="1" applyFont="1">
      <alignment horizontal="center" readingOrder="0" shrinkToFit="0" wrapText="1"/>
    </xf>
    <xf borderId="0" fillId="2" fontId="2" numFmtId="0" xfId="0" applyAlignment="1" applyFont="1">
      <alignment horizontal="center" readingOrder="0" shrinkToFit="0" wrapText="1"/>
    </xf>
    <xf borderId="0" fillId="3" fontId="4" numFmtId="0" xfId="0" applyAlignment="1" applyFill="1" applyFont="1">
      <alignment shrinkToFit="0" wrapText="1"/>
    </xf>
    <xf borderId="0" fillId="3" fontId="4" numFmtId="0" xfId="0" applyAlignment="1" applyFont="1">
      <alignment shrinkToFit="0" wrapText="1"/>
    </xf>
    <xf borderId="0" fillId="4" fontId="4" numFmtId="0" xfId="0" applyAlignment="1" applyFill="1" applyFont="1">
      <alignment shrinkToFit="0" wrapText="1"/>
    </xf>
    <xf borderId="0" fillId="4" fontId="4" numFmtId="0" xfId="0" applyAlignment="1" applyFont="1">
      <alignment shrinkToFit="0" wrapText="1"/>
    </xf>
    <xf borderId="0" fillId="5" fontId="4" numFmtId="0" xfId="0" applyAlignment="1" applyFill="1" applyFont="1">
      <alignment shrinkToFit="0" wrapText="1"/>
    </xf>
    <xf borderId="0" fillId="2" fontId="4" numFmtId="0" xfId="0" applyAlignment="1" applyFont="1">
      <alignment shrinkToFit="0" wrapText="1"/>
    </xf>
    <xf borderId="0" fillId="5" fontId="4" numFmtId="0" xfId="0" applyAlignment="1" applyFont="1">
      <alignment shrinkToFit="0" wrapText="1"/>
    </xf>
    <xf borderId="0" fillId="0" fontId="5" numFmtId="0" xfId="0" applyAlignment="1" applyFont="1">
      <alignment horizontal="center" readingOrder="0" shrinkToFit="0" wrapText="1"/>
    </xf>
    <xf borderId="0" fillId="0" fontId="6" numFmtId="0" xfId="0" applyAlignment="1" applyFont="1">
      <alignment horizontal="center" readingOrder="0" shrinkToFit="0" wrapText="1"/>
    </xf>
    <xf borderId="0" fillId="0" fontId="7" numFmtId="0" xfId="0" applyAlignment="1" applyFont="1">
      <alignment horizontal="center" readingOrder="0" shrinkToFit="0" wrapText="1"/>
    </xf>
    <xf borderId="0" fillId="4" fontId="4" numFmtId="0" xfId="0" applyFont="1"/>
    <xf borderId="0" fillId="3" fontId="4" numFmtId="0" xfId="0" applyFont="1"/>
    <xf borderId="0" fillId="4" fontId="4" numFmtId="0" xfId="0" applyFont="1"/>
    <xf borderId="0" fillId="5" fontId="4" numFmtId="0" xfId="0" applyFont="1"/>
    <xf borderId="0" fillId="2" fontId="4" numFmtId="0" xfId="0" applyFont="1"/>
    <xf borderId="0" fillId="5" fontId="4" numFmtId="0" xfId="0" applyFont="1"/>
    <xf borderId="0" fillId="3" fontId="8" numFmtId="0" xfId="0" applyAlignment="1" applyFont="1">
      <alignment horizontal="center" readingOrder="0" shrinkToFit="0" wrapText="1"/>
    </xf>
    <xf borderId="0" fillId="0" fontId="9" numFmtId="0" xfId="0" applyAlignment="1" applyFont="1">
      <alignment horizontal="center" readingOrder="0" shrinkToFit="0" wrapText="1"/>
    </xf>
    <xf borderId="0" fillId="3" fontId="4" numFmtId="0" xfId="0" applyAlignment="1" applyFont="1">
      <alignment readingOrder="0" shrinkToFit="0" wrapText="1"/>
    </xf>
    <xf borderId="0" fillId="4" fontId="4" numFmtId="0" xfId="0" applyAlignment="1" applyFont="1">
      <alignment readingOrder="0" shrinkToFit="0" wrapText="1"/>
    </xf>
    <xf borderId="0" fillId="5" fontId="2" numFmtId="0" xfId="0" applyAlignment="1" applyFont="1">
      <alignment horizontal="center" readingOrder="0" shrinkToFit="0" wrapText="1"/>
    </xf>
    <xf borderId="0" fillId="4" fontId="10" numFmtId="0" xfId="0" applyAlignment="1" applyFont="1">
      <alignment shrinkToFit="0" vertical="bottom" wrapText="1"/>
    </xf>
    <xf borderId="0" fillId="4" fontId="10" numFmtId="0" xfId="0" applyAlignment="1" applyFont="1">
      <alignment vertical="bottom"/>
    </xf>
    <xf borderId="0" fillId="3" fontId="10" numFmtId="0" xfId="0" applyAlignment="1" applyFont="1">
      <alignment shrinkToFit="0" vertical="bottom" wrapText="1"/>
    </xf>
    <xf borderId="0" fillId="3" fontId="10" numFmtId="0" xfId="0" applyAlignment="1" applyFont="1">
      <alignment vertical="bottom"/>
    </xf>
    <xf borderId="0" fillId="5" fontId="10" numFmtId="0" xfId="0" applyAlignment="1" applyFont="1">
      <alignment shrinkToFit="0" vertical="bottom" wrapText="1"/>
    </xf>
    <xf borderId="0" fillId="5" fontId="10" numFmtId="0" xfId="0" applyAlignment="1" applyFont="1">
      <alignment vertical="bottom"/>
    </xf>
    <xf borderId="0" fillId="0" fontId="11" numFmtId="0" xfId="0" applyAlignment="1" applyFont="1">
      <alignment horizontal="center" readingOrder="0" shrinkToFit="0" wrapText="1"/>
    </xf>
    <xf borderId="0" fillId="3" fontId="4" numFmtId="0" xfId="0" applyFont="1"/>
    <xf borderId="0" fillId="0" fontId="10" numFmtId="0" xfId="0" applyAlignment="1" applyFont="1">
      <alignment readingOrder="0" shrinkToFit="0" textRotation="30" vertical="bottom" wrapText="1"/>
    </xf>
    <xf borderId="0" fillId="0" fontId="10" numFmtId="0" xfId="0" applyAlignment="1" applyFont="1">
      <alignment shrinkToFit="0" textRotation="30" vertical="bottom" wrapText="1"/>
    </xf>
    <xf borderId="0" fillId="0" fontId="10" numFmtId="0" xfId="0" applyAlignment="1" applyFont="1">
      <alignment readingOrder="0" textRotation="30" vertical="bottom"/>
    </xf>
    <xf borderId="0" fillId="0" fontId="10" numFmtId="0" xfId="0" applyAlignment="1" applyFont="1">
      <alignment textRotation="30" vertical="bottom"/>
    </xf>
    <xf borderId="0" fillId="0" fontId="10" numFmtId="0" xfId="0" applyAlignment="1" applyFont="1">
      <alignment readingOrder="0" shrinkToFit="0" vertical="bottom" wrapText="1"/>
    </xf>
    <xf borderId="0" fillId="0" fontId="10" numFmtId="0" xfId="0" applyAlignment="1" applyFont="1">
      <alignment vertical="bottom"/>
    </xf>
    <xf borderId="0" fillId="0" fontId="10" numFmtId="0" xfId="0" applyAlignment="1" applyFont="1">
      <alignment shrinkToFit="0" vertical="bottom" wrapText="1"/>
    </xf>
    <xf borderId="0" fillId="0" fontId="10" numFmtId="0" xfId="0" applyAlignment="1" applyFont="1">
      <alignment readingOrder="0" vertical="bottom"/>
    </xf>
    <xf borderId="0" fillId="0" fontId="10" numFmtId="0" xfId="0" applyAlignment="1" applyFont="1">
      <alignment vertical="bottom"/>
    </xf>
    <xf borderId="0" fillId="0" fontId="4" numFmtId="0" xfId="0" applyAlignment="1" applyFont="1">
      <alignment readingOrder="0"/>
    </xf>
    <xf borderId="0" fillId="0" fontId="10" numFmtId="0" xfId="0" applyAlignment="1" applyFont="1">
      <alignment shrinkToFit="0" vertical="bottom" wrapText="1"/>
    </xf>
    <xf borderId="0" fillId="0" fontId="4" numFmtId="0" xfId="0" applyAlignment="1" applyFont="1">
      <alignment readingOrder="0" shrinkToFit="0" wrapText="1"/>
    </xf>
    <xf quotePrefix="1" borderId="0" fillId="0" fontId="10" numFmtId="0" xfId="0" applyAlignment="1" applyFont="1">
      <alignment readingOrder="0" shrinkToFit="0" vertical="bottom" wrapText="1"/>
    </xf>
    <xf borderId="0" fillId="0" fontId="10" numFmtId="0" xfId="0" applyAlignment="1" applyFont="1">
      <alignment readingOrder="0" shrinkToFit="0" vertical="bottom" wrapText="1"/>
    </xf>
    <xf quotePrefix="1" borderId="0" fillId="0" fontId="10" numFmtId="0" xfId="0" applyAlignment="1" applyFont="1">
      <alignment readingOrder="0" vertical="bottom"/>
    </xf>
    <xf borderId="0" fillId="0" fontId="4"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9" max="9" width="114.88"/>
    <col customWidth="1" min="10" max="10" width="17.38"/>
  </cols>
  <sheetData>
    <row r="1" ht="42.0" customHeight="1">
      <c r="A1" s="1" t="s">
        <v>0</v>
      </c>
      <c r="B1" s="1" t="s">
        <v>1</v>
      </c>
      <c r="C1" s="1" t="s">
        <v>2</v>
      </c>
      <c r="D1" s="1" t="s">
        <v>3</v>
      </c>
      <c r="E1" s="1" t="s">
        <v>4</v>
      </c>
      <c r="F1" s="1" t="s">
        <v>5</v>
      </c>
      <c r="G1" s="1" t="s">
        <v>6</v>
      </c>
      <c r="H1" s="1" t="s">
        <v>7</v>
      </c>
      <c r="I1" s="1" t="s">
        <v>8</v>
      </c>
      <c r="J1" s="1" t="s">
        <v>9</v>
      </c>
    </row>
    <row r="2">
      <c r="A2" s="2" t="s">
        <v>10</v>
      </c>
      <c r="J2" s="3"/>
    </row>
    <row r="3">
      <c r="A3" s="2" t="s">
        <v>11</v>
      </c>
      <c r="J3" s="2"/>
    </row>
    <row r="4">
      <c r="A4" s="4" t="s">
        <v>12</v>
      </c>
      <c r="E4" s="4" t="s">
        <v>13</v>
      </c>
      <c r="I4" s="4" t="s">
        <v>14</v>
      </c>
      <c r="J4" s="5"/>
    </row>
    <row r="5">
      <c r="A5" s="4" t="s">
        <v>15</v>
      </c>
      <c r="E5" s="4" t="s">
        <v>16</v>
      </c>
      <c r="I5" s="4" t="s">
        <v>17</v>
      </c>
      <c r="J5" s="5"/>
    </row>
    <row r="6">
      <c r="A6" s="4" t="s">
        <v>18</v>
      </c>
      <c r="E6" s="4" t="s">
        <v>19</v>
      </c>
      <c r="I6" s="4" t="s">
        <v>20</v>
      </c>
      <c r="J6" s="5"/>
    </row>
    <row r="7">
      <c r="A7" s="4" t="s">
        <v>21</v>
      </c>
      <c r="I7" s="4" t="s">
        <v>22</v>
      </c>
      <c r="J7" s="5"/>
    </row>
    <row r="8">
      <c r="A8" s="6" t="s">
        <v>12</v>
      </c>
      <c r="J8" s="7"/>
    </row>
    <row r="9">
      <c r="A9" s="8" t="str">
        <f>IFERROR(__xludf.DUMMYFUNCTION("FILTER(MasterList_Hidden!A:J,Search(""Simple Weapon, Melee Weapon"",MasterList_Hidden!D:D),MasterList_Hidden!C:C=""none"",Search(""Free"",MasterList_Hidden!J:J))"),"Club")</f>
        <v>Club</v>
      </c>
      <c r="B9" s="8" t="str">
        <f>IFERROR(__xludf.DUMMYFUNCTION("""COMPUTED_VALUE"""),"PHB'24")</f>
        <v>PHB'24</v>
      </c>
      <c r="C9" s="8" t="str">
        <f>IFERROR(__xludf.DUMMYFUNCTION("""COMPUTED_VALUE"""),"none")</f>
        <v>none</v>
      </c>
      <c r="D9" s="8" t="str">
        <f>IFERROR(__xludf.DUMMYFUNCTION("""COMPUTED_VALUE"""),"Simple Weapon, Melee Weapon")</f>
        <v>Simple Weapon, Melee Weapon</v>
      </c>
      <c r="E9" s="8"/>
      <c r="F9" s="8" t="str">
        <f>IFERROR(__xludf.DUMMYFUNCTION("""COMPUTED_VALUE"""),"1d4 Bludgeoning")</f>
        <v>1d4 Bludgeoning</v>
      </c>
      <c r="G9" s="8" t="str">
        <f>IFERROR(__xludf.DUMMYFUNCTION("""COMPUTED_VALUE"""),"Light")</f>
        <v>Light</v>
      </c>
      <c r="H9" s="8" t="str">
        <f>IFERROR(__xludf.DUMMYFUNCTION("""COMPUTED_VALUE"""),"Mastery: Slow")</f>
        <v>Mastery: Slow</v>
      </c>
      <c r="I9" s="8" t="str">
        <f>IFERROR(__xludf.DUMMYFUNCTION("""COMPUTED_VALUE"""),"Light. When you take the Attack action on your turn and attack with a Light weapon, you can make one extra attack as a Bonus Action later on the same turn. That extra attack must be made with a different Light weapon, and you don't add your ability modifi"&amp;"er to the extra attack's damage unless that modifier is negative. For example, you can attack with a Shortsword in one hand and a Dagger in the other using the Attack action and a Bonus Action, but you don't add your Strength or Dexterity modifier to the "&amp;"damage roll of the Bonus Action unless that modifier is negative. Mastery: Slow. If you hit a creature with this weapon and deal damage to it, you can reduce its Speed by 10 feet until the start of your next turn. If the creature is hit more than once by "&amp;"weapons that have this property, the Speed reduction doesn't exceed 10 feet.")</f>
        <v>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J9" s="9" t="str">
        <f>IFERROR(__xludf.DUMMYFUNCTION("""COMPUTED_VALUE"""),"Free to Guild Adventurers with Item Proficiency")</f>
        <v>Free to Guild Adventurers with Item Proficiency</v>
      </c>
    </row>
    <row r="10">
      <c r="A10" s="10" t="str">
        <f>IFERROR(__xludf.DUMMYFUNCTION("""COMPUTED_VALUE"""),"Dagger")</f>
        <v>Dagger</v>
      </c>
      <c r="B10" s="10" t="str">
        <f>IFERROR(__xludf.DUMMYFUNCTION("""COMPUTED_VALUE"""),"PHB'24")</f>
        <v>PHB'24</v>
      </c>
      <c r="C10" s="10" t="str">
        <f>IFERROR(__xludf.DUMMYFUNCTION("""COMPUTED_VALUE"""),"none")</f>
        <v>none</v>
      </c>
      <c r="D10" s="10" t="str">
        <f>IFERROR(__xludf.DUMMYFUNCTION("""COMPUTED_VALUE"""),"Simple Weapon, Melee Weapon")</f>
        <v>Simple Weapon, Melee Weapon</v>
      </c>
      <c r="E10" s="10"/>
      <c r="F10" s="10" t="str">
        <f>IFERROR(__xludf.DUMMYFUNCTION("""COMPUTED_VALUE"""),"1d4 Piercing")</f>
        <v>1d4 Piercing</v>
      </c>
      <c r="G10" s="10" t="str">
        <f>IFERROR(__xludf.DUMMYFUNCTION("""COMPUTED_VALUE"""),"Finesse, Light, Thrown (20/60 ft.)")</f>
        <v>Finesse, Light, Thrown (20/60 ft.)</v>
      </c>
      <c r="H10" s="10" t="str">
        <f>IFERROR(__xludf.DUMMYFUNCTION("""COMPUTED_VALUE"""),"Mastery: Nick")</f>
        <v>Mastery: Nick</v>
      </c>
      <c r="I10" s="10" t="str">
        <f>IFERROR(__xludf.DUMMYFUNCTION("""COMPUTED_VALUE"""),"Finesse. When making an attack with a Finesse weapon, use your choice of your Strength or Dexterity modifier for the attack and damage rolls. You must use the same modifier for both rolls. Light. When you take the Attack action on your turn and attack wit"&amp;"h a Light weapon, you can make one extra attack as a Bonus Action later on the same turn. That extra attack must be made with a different Light weapon, and you don't add your ability modifier to the extra attack's damage unless that modifier is negative. "&amp;"For example, you can attack with a Shortsword in one hand and a Dagger in the other using the Attack action and a Bonus Action, but you don't add your Strength or Dexterity modifier to the damage roll of the Bonus Action unless that modifier is negative. "&amp;"Thrown. If a weapon has the Thrown property, you can throw the weapon to make a ranged attack, and you can draw that weapon as part of the attack. If the weapon is a Melee weapon, use the same ability modifier for the attack and damage rolls that you use "&amp;"for a melee attack with that weapon. Mastery: Nick. When you make the extra attack of the Light property, you can make it as part of the Attack action instead of as a Bonus Action. You can make this extra attack only once per turn.")</f>
        <v>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J10" s="11" t="str">
        <f>IFERROR(__xludf.DUMMYFUNCTION("""COMPUTED_VALUE"""),"Free to Guild Adventurers with Item Proficiency")</f>
        <v>Free to Guild Adventurers with Item Proficiency</v>
      </c>
    </row>
    <row r="11">
      <c r="A11" s="8" t="str">
        <f>IFERROR(__xludf.DUMMYFUNCTION("""COMPUTED_VALUE"""),"Greatclub")</f>
        <v>Greatclub</v>
      </c>
      <c r="B11" s="8" t="str">
        <f>IFERROR(__xludf.DUMMYFUNCTION("""COMPUTED_VALUE"""),"PHB'24")</f>
        <v>PHB'24</v>
      </c>
      <c r="C11" s="8" t="str">
        <f>IFERROR(__xludf.DUMMYFUNCTION("""COMPUTED_VALUE"""),"none")</f>
        <v>none</v>
      </c>
      <c r="D11" s="8" t="str">
        <f>IFERROR(__xludf.DUMMYFUNCTION("""COMPUTED_VALUE"""),"Simple Weapon, Melee Weapon")</f>
        <v>Simple Weapon, Melee Weapon</v>
      </c>
      <c r="E11" s="8"/>
      <c r="F11" s="8" t="str">
        <f>IFERROR(__xludf.DUMMYFUNCTION("""COMPUTED_VALUE"""),"1d8 Bludgeoning")</f>
        <v>1d8 Bludgeoning</v>
      </c>
      <c r="G11" s="8" t="str">
        <f>IFERROR(__xludf.DUMMYFUNCTION("""COMPUTED_VALUE"""),"Two Handed")</f>
        <v>Two Handed</v>
      </c>
      <c r="H11" s="8" t="str">
        <f>IFERROR(__xludf.DUMMYFUNCTION("""COMPUTED_VALUE"""),"Mastery: Push")</f>
        <v>Mastery: Push</v>
      </c>
      <c r="I11" s="8" t="str">
        <f>IFERROR(__xludf.DUMMYFUNCTION("""COMPUTED_VALUE"""),"Two-Handed. A Two-Handed weapon requires two hands when you attack with it. Mastery: Push. If you hit a creature with this weapon, you can push the creature up to 10 feet straight away from yourself if it is Large or smaller.")</f>
        <v>Two-Handed. A Two-Handed weapon requires two hands when you attack with it. Mastery: Push. If you hit a creature with this weapon, you can push the creature up to 10 feet straight away from yourself if it is Large or smaller.</v>
      </c>
      <c r="J11" s="9" t="str">
        <f>IFERROR(__xludf.DUMMYFUNCTION("""COMPUTED_VALUE"""),"Free to Guild Adventurers with Item Proficiency")</f>
        <v>Free to Guild Adventurers with Item Proficiency</v>
      </c>
    </row>
    <row r="12">
      <c r="A12" s="10" t="str">
        <f>IFERROR(__xludf.DUMMYFUNCTION("""COMPUTED_VALUE"""),"Handaxe")</f>
        <v>Handaxe</v>
      </c>
      <c r="B12" s="10" t="str">
        <f>IFERROR(__xludf.DUMMYFUNCTION("""COMPUTED_VALUE"""),"PHB'24")</f>
        <v>PHB'24</v>
      </c>
      <c r="C12" s="10" t="str">
        <f>IFERROR(__xludf.DUMMYFUNCTION("""COMPUTED_VALUE"""),"none")</f>
        <v>none</v>
      </c>
      <c r="D12" s="10" t="str">
        <f>IFERROR(__xludf.DUMMYFUNCTION("""COMPUTED_VALUE"""),"Simple Weapon, Melee Weapon")</f>
        <v>Simple Weapon, Melee Weapon</v>
      </c>
      <c r="E12" s="10"/>
      <c r="F12" s="10" t="str">
        <f>IFERROR(__xludf.DUMMYFUNCTION("""COMPUTED_VALUE"""),"1d6 Slashing")</f>
        <v>1d6 Slashing</v>
      </c>
      <c r="G12" s="10" t="str">
        <f>IFERROR(__xludf.DUMMYFUNCTION("""COMPUTED_VALUE"""),"Light, Thrown (20/60 ft.)")</f>
        <v>Light, Thrown (20/60 ft.)</v>
      </c>
      <c r="H12" s="10" t="str">
        <f>IFERROR(__xludf.DUMMYFUNCTION("""COMPUTED_VALUE"""),"Mastery: Vex")</f>
        <v>Mastery: Vex</v>
      </c>
      <c r="I12" s="10" t="str">
        <f>IFERROR(__xludf.DUMMYFUNCTION("""COMPUTED_VALUE"""),"Light. When you take the Attack action on your turn and attack with a Light weapon, you can make one extra attack as a Bonus Action later on the same turn. That extra attack must be made with a different Light weapon, and you don't add your ability modifi"&amp;"er to the extra attack's damage unless that modifier is negative. For example, you can attack with a Shortsword in one hand and a Dagger in the other using the Attack action and a Bonus Action, but you don't add your Strength or Dexterity modifier to the "&amp;"damage roll of the Bonus Action unless that modifier is negative. Thrown. If a weapon has the Thrown property, you can throw the weapon to make a ranged attack, and you can draw that weapon as part of the attack. If the weapon is a Melee weapon, use the s"&amp;"ame ability modifier for the attack and damage rolls that you use for a melee attack with that weapon. Mastery: Vex. If you hit a creature with this weapon and deal damage to the creature, you have Advantage on your next attack roll against that creature "&amp;"before the end of your next turn.")</f>
        <v>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Vex. If you hit a creature with this weapon and deal damage to the creature, you have Advantage on your next attack roll against that creature before the end of your next turn.</v>
      </c>
      <c r="J12" s="10" t="str">
        <f>IFERROR(__xludf.DUMMYFUNCTION("""COMPUTED_VALUE"""),"Free to Guild Adventurers with Item Proficiency")</f>
        <v>Free to Guild Adventurers with Item Proficiency</v>
      </c>
    </row>
    <row r="13">
      <c r="A13" s="8" t="str">
        <f>IFERROR(__xludf.DUMMYFUNCTION("""COMPUTED_VALUE"""),"Javelin")</f>
        <v>Javelin</v>
      </c>
      <c r="B13" s="8" t="str">
        <f>IFERROR(__xludf.DUMMYFUNCTION("""COMPUTED_VALUE"""),"PHB'24")</f>
        <v>PHB'24</v>
      </c>
      <c r="C13" s="8" t="str">
        <f>IFERROR(__xludf.DUMMYFUNCTION("""COMPUTED_VALUE"""),"none")</f>
        <v>none</v>
      </c>
      <c r="D13" s="8" t="str">
        <f>IFERROR(__xludf.DUMMYFUNCTION("""COMPUTED_VALUE"""),"Simple Weapon, Melee Weapon")</f>
        <v>Simple Weapon, Melee Weapon</v>
      </c>
      <c r="E13" s="8"/>
      <c r="F13" s="8" t="str">
        <f>IFERROR(__xludf.DUMMYFUNCTION("""COMPUTED_VALUE"""),"1d6 Piercing")</f>
        <v>1d6 Piercing</v>
      </c>
      <c r="G13" s="8" t="str">
        <f>IFERROR(__xludf.DUMMYFUNCTION("""COMPUTED_VALUE"""),"Thrown (30/120 ft.)")</f>
        <v>Thrown (30/120 ft.)</v>
      </c>
      <c r="H13" s="8" t="str">
        <f>IFERROR(__xludf.DUMMYFUNCTION("""COMPUTED_VALUE"""),"Mastery: Slow")</f>
        <v>Mastery: Slow</v>
      </c>
      <c r="I13" s="8" t="str">
        <f>IFERROR(__xludf.DUMMYFUNCTION("""COMPUTED_VALUE"""),"Thrown. If a weapon has the Thrown property, you can throw the weapon to make a ranged attack, and you can draw that weapon as part of the attack. If the weapon is a Melee weapon, use the same ability modifier for the attack and damage rolls that you use "&amp;"for a melee attack with that weapon. Mastery: Slow. If you hit a creature with this weapon and deal damage to it, you can reduce its Speed by 10 feet until the start of your next turn. If the creature is hit more than once by weapons that have this proper"&amp;"ty, the Speed reduction doesn't exceed 10 feet.")</f>
        <v>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Slow. If you hit a creature with this weapon and deal damage to it, you can reduce its Speed by 10 feet until the start of your next turn. If the creature is hit more than once by weapons that have this property, the Speed reduction doesn't exceed 10 feet.</v>
      </c>
      <c r="J13" s="8" t="str">
        <f>IFERROR(__xludf.DUMMYFUNCTION("""COMPUTED_VALUE"""),"Free to Guild Adventurers with Item Proficiency")</f>
        <v>Free to Guild Adventurers with Item Proficiency</v>
      </c>
    </row>
    <row r="14">
      <c r="A14" s="10" t="str">
        <f>IFERROR(__xludf.DUMMYFUNCTION("""COMPUTED_VALUE"""),"Light Hammer")</f>
        <v>Light Hammer</v>
      </c>
      <c r="B14" s="10" t="str">
        <f>IFERROR(__xludf.DUMMYFUNCTION("""COMPUTED_VALUE"""),"PHB'24")</f>
        <v>PHB'24</v>
      </c>
      <c r="C14" s="10" t="str">
        <f>IFERROR(__xludf.DUMMYFUNCTION("""COMPUTED_VALUE"""),"none")</f>
        <v>none</v>
      </c>
      <c r="D14" s="10" t="str">
        <f>IFERROR(__xludf.DUMMYFUNCTION("""COMPUTED_VALUE"""),"Simple Weapon, Melee Weapon")</f>
        <v>Simple Weapon, Melee Weapon</v>
      </c>
      <c r="E14" s="10"/>
      <c r="F14" s="10" t="str">
        <f>IFERROR(__xludf.DUMMYFUNCTION("""COMPUTED_VALUE"""),"1d4 Bludgeoning")</f>
        <v>1d4 Bludgeoning</v>
      </c>
      <c r="G14" s="10" t="str">
        <f>IFERROR(__xludf.DUMMYFUNCTION("""COMPUTED_VALUE"""),"Light, Thrown (20/60 ft.)")</f>
        <v>Light, Thrown (20/60 ft.)</v>
      </c>
      <c r="H14" s="10" t="str">
        <f>IFERROR(__xludf.DUMMYFUNCTION("""COMPUTED_VALUE"""),"Mastery: Nick")</f>
        <v>Mastery: Nick</v>
      </c>
      <c r="I14" s="10" t="str">
        <f>IFERROR(__xludf.DUMMYFUNCTION("""COMPUTED_VALUE"""),"Light. When you take the Attack action on your turn and attack with a Light weapon, you can make one extra attack as a Bonus Action later on the same turn. That extra attack must be made with a different Light weapon, and you don't add your ability modifi"&amp;"er to the extra attack's damage unless that modifier is negative. For example, you can attack with a Shortsword in one hand and a Dagger in the other using the Attack action and a Bonus Action, but you don't add your Strength or Dexterity modifier to the "&amp;"damage roll of the Bonus Action unless that modifier is negative. Thrown. If a weapon has the Thrown property, you can throw the weapon to make a ranged attack, and you can draw that weapon as part of the attack. If the weapon is a Melee weapon, use the s"&amp;"ame ability modifier for the attack and damage rolls that you use for a melee attack with that weapon. Mastery: Nick. When you make the extra attack of the Light property, you can make it as part of the Attack action instead of as a Bonus Action. You can "&amp;"make this extra attack only once per turn.")</f>
        <v>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J14" s="10" t="str">
        <f>IFERROR(__xludf.DUMMYFUNCTION("""COMPUTED_VALUE"""),"Free to Guild Adventurers with Item Proficiency")</f>
        <v>Free to Guild Adventurers with Item Proficiency</v>
      </c>
    </row>
    <row r="15">
      <c r="A15" s="8" t="str">
        <f>IFERROR(__xludf.DUMMYFUNCTION("""COMPUTED_VALUE"""),"Mace")</f>
        <v>Mace</v>
      </c>
      <c r="B15" s="8" t="str">
        <f>IFERROR(__xludf.DUMMYFUNCTION("""COMPUTED_VALUE"""),"PHB'24")</f>
        <v>PHB'24</v>
      </c>
      <c r="C15" s="8" t="str">
        <f>IFERROR(__xludf.DUMMYFUNCTION("""COMPUTED_VALUE"""),"none")</f>
        <v>none</v>
      </c>
      <c r="D15" s="8" t="str">
        <f>IFERROR(__xludf.DUMMYFUNCTION("""COMPUTED_VALUE"""),"Simple Weapon, Melee Weapon")</f>
        <v>Simple Weapon, Melee Weapon</v>
      </c>
      <c r="E15" s="8"/>
      <c r="F15" s="8" t="str">
        <f>IFERROR(__xludf.DUMMYFUNCTION("""COMPUTED_VALUE"""),"1d6 Bludgeoning")</f>
        <v>1d6 Bludgeoning</v>
      </c>
      <c r="G15" s="8"/>
      <c r="H15" s="8" t="str">
        <f>IFERROR(__xludf.DUMMYFUNCTION("""COMPUTED_VALUE"""),"Mastery: Sap")</f>
        <v>Mastery: Sap</v>
      </c>
      <c r="I15" s="8" t="str">
        <f>IFERROR(__xludf.DUMMYFUNCTION("""COMPUTED_VALUE"""),"Mastery: Sap. If you hit a creature with this weapon, that creature has Disadvantage on its next attack roll before the start of your next turn.")</f>
        <v>Mastery: Sap. If you hit a creature with this weapon, that creature has Disadvantage on its next attack roll before the start of your next turn.</v>
      </c>
      <c r="J15" s="8" t="str">
        <f>IFERROR(__xludf.DUMMYFUNCTION("""COMPUTED_VALUE"""),"Free to Guild Adventurers with Item Proficiency")</f>
        <v>Free to Guild Adventurers with Item Proficiency</v>
      </c>
    </row>
    <row r="16">
      <c r="A16" s="10" t="str">
        <f>IFERROR(__xludf.DUMMYFUNCTION("""COMPUTED_VALUE"""),"Quarterstaff")</f>
        <v>Quarterstaff</v>
      </c>
      <c r="B16" s="10" t="str">
        <f>IFERROR(__xludf.DUMMYFUNCTION("""COMPUTED_VALUE"""),"PHB'24")</f>
        <v>PHB'24</v>
      </c>
      <c r="C16" s="10" t="str">
        <f>IFERROR(__xludf.DUMMYFUNCTION("""COMPUTED_VALUE"""),"none")</f>
        <v>none</v>
      </c>
      <c r="D16" s="10" t="str">
        <f>IFERROR(__xludf.DUMMYFUNCTION("""COMPUTED_VALUE"""),"Simple Weapon, Melee Weapon")</f>
        <v>Simple Weapon, Melee Weapon</v>
      </c>
      <c r="E16" s="10"/>
      <c r="F16" s="10" t="str">
        <f>IFERROR(__xludf.DUMMYFUNCTION("""COMPUTED_VALUE"""),"1d6 Bludgeoning")</f>
        <v>1d6 Bludgeoning</v>
      </c>
      <c r="G16" s="10" t="str">
        <f>IFERROR(__xludf.DUMMYFUNCTION("""COMPUTED_VALUE"""),"Versatile (1d8)")</f>
        <v>Versatile (1d8)</v>
      </c>
      <c r="H16" s="10" t="str">
        <f>IFERROR(__xludf.DUMMYFUNCTION("""COMPUTED_VALUE"""),"Mastery: Topple")</f>
        <v>Mastery: Topple</v>
      </c>
      <c r="I16" s="10" t="str">
        <f>IFERROR(__xludf.DUMMYFUNCTION("""COMPUTED_VALUE"""),"Versatile. A Versatile weapon can be used with one or two hands. A damage value in parentheses appears with the property. The weapon deals that damage when used with two hands to make a melee attack. Mastery: Topple. If you hit a creature with this weapon"&amp;", you can force the creature to make a Constitution saving throw (DC 8 plus the ability modifier used to make the attack roll and your Proficiency Bonus). On a failed save, the creature has the Prone condition.")</f>
        <v>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16" s="10" t="str">
        <f>IFERROR(__xludf.DUMMYFUNCTION("""COMPUTED_VALUE"""),"Free to Guild Adventurers with Item Proficiency")</f>
        <v>Free to Guild Adventurers with Item Proficiency</v>
      </c>
    </row>
    <row r="17">
      <c r="A17" s="8" t="str">
        <f>IFERROR(__xludf.DUMMYFUNCTION("""COMPUTED_VALUE"""),"Sickle")</f>
        <v>Sickle</v>
      </c>
      <c r="B17" s="8" t="str">
        <f>IFERROR(__xludf.DUMMYFUNCTION("""COMPUTED_VALUE"""),"PHB'24")</f>
        <v>PHB'24</v>
      </c>
      <c r="C17" s="8" t="str">
        <f>IFERROR(__xludf.DUMMYFUNCTION("""COMPUTED_VALUE"""),"none")</f>
        <v>none</v>
      </c>
      <c r="D17" s="8" t="str">
        <f>IFERROR(__xludf.DUMMYFUNCTION("""COMPUTED_VALUE"""),"Simple Weapon, Melee Weapon")</f>
        <v>Simple Weapon, Melee Weapon</v>
      </c>
      <c r="E17" s="8"/>
      <c r="F17" s="8" t="str">
        <f>IFERROR(__xludf.DUMMYFUNCTION("""COMPUTED_VALUE"""),"1d4 Slashing")</f>
        <v>1d4 Slashing</v>
      </c>
      <c r="G17" s="8" t="str">
        <f>IFERROR(__xludf.DUMMYFUNCTION("""COMPUTED_VALUE"""),"Light")</f>
        <v>Light</v>
      </c>
      <c r="H17" s="8" t="str">
        <f>IFERROR(__xludf.DUMMYFUNCTION("""COMPUTED_VALUE"""),"Mastery: Nick")</f>
        <v>Mastery: Nick</v>
      </c>
      <c r="I17" s="8" t="str">
        <f>IFERROR(__xludf.DUMMYFUNCTION("""COMPUTED_VALUE"""),"Light. When you take the Attack action on your turn and attack with a Light weapon, you can make one extra attack as a Bonus Action later on the same turn. That extra attack must be made with a different Light weapon, and you don't add your ability modifi"&amp;"er to the extra attack's damage unless that modifier is negative. For example, you can attack with a Shortsword in one hand and a Dagger in the other using the Attack action and a Bonus Action, but you don't add your Strength or Dexterity modifier to the "&amp;"damage roll of the Bonus Action unless that modifier is negative. Mastery: Nick. When you make the extra attack of the Light property, you can make it as part of the Attack action instead of as a Bonus Action. You can make this extra attack only once per "&amp;"turn.")</f>
        <v>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v>
      </c>
      <c r="J17" s="8" t="str">
        <f>IFERROR(__xludf.DUMMYFUNCTION("""COMPUTED_VALUE"""),"Free to Guild Adventurers with Item Proficiency")</f>
        <v>Free to Guild Adventurers with Item Proficiency</v>
      </c>
    </row>
    <row r="18">
      <c r="A18" s="10" t="str">
        <f>IFERROR(__xludf.DUMMYFUNCTION("""COMPUTED_VALUE"""),"Spear")</f>
        <v>Spear</v>
      </c>
      <c r="B18" s="10" t="str">
        <f>IFERROR(__xludf.DUMMYFUNCTION("""COMPUTED_VALUE"""),"PHB'24")</f>
        <v>PHB'24</v>
      </c>
      <c r="C18" s="10" t="str">
        <f>IFERROR(__xludf.DUMMYFUNCTION("""COMPUTED_VALUE"""),"none")</f>
        <v>none</v>
      </c>
      <c r="D18" s="10" t="str">
        <f>IFERROR(__xludf.DUMMYFUNCTION("""COMPUTED_VALUE"""),"Simple Weapon, Melee Weapon")</f>
        <v>Simple Weapon, Melee Weapon</v>
      </c>
      <c r="E18" s="10"/>
      <c r="F18" s="10" t="str">
        <f>IFERROR(__xludf.DUMMYFUNCTION("""COMPUTED_VALUE"""),"1d6 Piercing")</f>
        <v>1d6 Piercing</v>
      </c>
      <c r="G18" s="10" t="str">
        <f>IFERROR(__xludf.DUMMYFUNCTION("""COMPUTED_VALUE"""),"Thrown (20/60 ft.), Versatile (1d8)")</f>
        <v>Thrown (20/60 ft.), Versatile (1d8)</v>
      </c>
      <c r="H18" s="10" t="str">
        <f>IFERROR(__xludf.DUMMYFUNCTION("""COMPUTED_VALUE"""),"Mastery: Sap")</f>
        <v>Mastery: Sap</v>
      </c>
      <c r="I18" s="10" t="str">
        <f>IFERROR(__xludf.DUMMYFUNCTION("""COMPUTED_VALUE"""),"Thrown. If a weapon has the Thrown property, you can throw the weapon to make a ranged attack, and you can draw that weapon as part of the attack. If the weapon is a Melee weapon, use the same ability modifier for the attack and damage rolls that you use "&amp;"for a melee attack with that weapon. Versatile. A Versatile weapon can be used with one or two hands. A damage value in parentheses appears with the property. The weapon deals that damage when used with two hands to make a melee attack. Mastery: Sap. If y"&amp;"ou hit a creature with this weapon, that creature has Disadvantage on its next attack roll before the start of your next turn.")</f>
        <v>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Sap. If you hit a creature with this weapon, that creature has Disadvantage on its next attack roll before the start of your next turn.</v>
      </c>
      <c r="J18" s="10" t="str">
        <f>IFERROR(__xludf.DUMMYFUNCTION("""COMPUTED_VALUE"""),"Free to Guild Adventurers with Item Proficiency")</f>
        <v>Free to Guild Adventurers with Item Proficiency</v>
      </c>
    </row>
    <row r="19">
      <c r="A19" s="8" t="str">
        <f>IFERROR(__xludf.DUMMYFUNCTION("""COMPUTED_VALUE"""),"Yklwa")</f>
        <v>Yklwa</v>
      </c>
      <c r="B19" s="8" t="str">
        <f>IFERROR(__xludf.DUMMYFUNCTION("""COMPUTED_VALUE"""),"ToA")</f>
        <v>ToA</v>
      </c>
      <c r="C19" s="8" t="str">
        <f>IFERROR(__xludf.DUMMYFUNCTION("""COMPUTED_VALUE"""),"none")</f>
        <v>none</v>
      </c>
      <c r="D19" s="8" t="str">
        <f>IFERROR(__xludf.DUMMYFUNCTION("""COMPUTED_VALUE"""),"Simple Weapon, Melee Weapon")</f>
        <v>Simple Weapon, Melee Weapon</v>
      </c>
      <c r="E19" s="8"/>
      <c r="F19" s="8" t="str">
        <f>IFERROR(__xludf.DUMMYFUNCTION("""COMPUTED_VALUE"""),"1d8 Piercing")</f>
        <v>1d8 Piercing</v>
      </c>
      <c r="G19" s="8" t="str">
        <f>IFERROR(__xludf.DUMMYFUNCTION("""COMPUTED_VALUE"""),"thrown (10/30 ft.)")</f>
        <v>thrown (10/30 ft.)</v>
      </c>
      <c r="H19" s="8"/>
      <c r="I19" s="8" t="str">
        <f>IFERROR(__xludf.DUMMYFUNCTION("""COMPUTED_VALUE"""),"A yklwa (pronounced YICK-ul-wah) is a simple melee weapon that is the traditional weapon of Chultan warriors. A yklwa consists of a 3-foot wooden shaft with a steel or stone blade up to 18 inches long. Although it has the thrown weapon property, the yklwa"&amp;" is not well balanced for throwing. Thrown. If a weapon has the thrown property, you can throw the weapon to make a ranged attack. If the weapon is a melee weapon, you use the same ability modifier for that attack roll and damage roll that you would use f"&amp;"or a melee attack with the weapon. For example, if you throw a handaxe, you use your Strength, but if you throw a dagger, you can use either your Strength or your Dexterity, since the dagger has the finesse property.")</f>
        <v>A yklwa (pronounced YICK-ul-wah) is a simple melee weapon that is the traditional weapon of Chultan warriors. A yklwa consists of a 3-foot wooden shaft with a steel or stone blade up to 18 inches long. Although it has the thrown weapon property, the yklwa is not well balanced for throwing.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J19" s="8" t="str">
        <f>IFERROR(__xludf.DUMMYFUNCTION("""COMPUTED_VALUE"""),"Free to Guild Adventurers with Item Proficiency")</f>
        <v>Free to Guild Adventurers with Item Proficiency</v>
      </c>
    </row>
    <row r="20">
      <c r="A20" s="12"/>
      <c r="B20" s="12"/>
      <c r="C20" s="12"/>
      <c r="D20" s="12"/>
      <c r="E20" s="12"/>
      <c r="F20" s="12"/>
      <c r="G20" s="12"/>
      <c r="H20" s="12"/>
      <c r="I20" s="12"/>
      <c r="J20" s="12"/>
    </row>
    <row r="21">
      <c r="A21" s="6" t="s">
        <v>13</v>
      </c>
      <c r="J21" s="13"/>
    </row>
    <row r="22">
      <c r="A22" s="8" t="str">
        <f>IFERROR(__xludf.DUMMYFUNCTION("FILTER(MasterList_Hidden!A:J,Search(""Martial Weapon, Melee Weapon"",MasterList_Hidden!D:D),MasterList_Hidden!C:C=""none"",Search(""Free"",MasterList_Hidden!J:J))"),"Battleaxe")</f>
        <v>Battleaxe</v>
      </c>
      <c r="B22" s="8" t="str">
        <f>IFERROR(__xludf.DUMMYFUNCTION("""COMPUTED_VALUE"""),"PHB'24")</f>
        <v>PHB'24</v>
      </c>
      <c r="C22" s="8" t="str">
        <f>IFERROR(__xludf.DUMMYFUNCTION("""COMPUTED_VALUE"""),"none")</f>
        <v>none</v>
      </c>
      <c r="D22" s="8" t="str">
        <f>IFERROR(__xludf.DUMMYFUNCTION("""COMPUTED_VALUE"""),"Martial Weapon, Melee Weapon")</f>
        <v>Martial Weapon, Melee Weapon</v>
      </c>
      <c r="E22" s="8"/>
      <c r="F22" s="8" t="str">
        <f>IFERROR(__xludf.DUMMYFUNCTION("""COMPUTED_VALUE"""),"1d8 Slashing")</f>
        <v>1d8 Slashing</v>
      </c>
      <c r="G22" s="8" t="str">
        <f>IFERROR(__xludf.DUMMYFUNCTION("""COMPUTED_VALUE"""),"Versatile (1d10)")</f>
        <v>Versatile (1d10)</v>
      </c>
      <c r="H22" s="8" t="str">
        <f>IFERROR(__xludf.DUMMYFUNCTION("""COMPUTED_VALUE"""),"Mastery: Topple")</f>
        <v>Mastery: Topple</v>
      </c>
      <c r="I22" s="8" t="str">
        <f>IFERROR(__xludf.DUMMYFUNCTION("""COMPUTED_VALUE"""),"Versatile. A Versatile weapon can be used with one or two hands. A damage value in parentheses appears with the property. The weapon deals that damage when used with two hands to make a melee attack. Mastery: Topple. If you hit a creature with this weapon"&amp;", you can force the creature to make a Constitution saving throw (DC 8 plus the ability modifier used to make the attack roll and your Proficiency Bonus). On a failed save, the creature has the Prone condition.")</f>
        <v>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22" s="8" t="str">
        <f>IFERROR(__xludf.DUMMYFUNCTION("""COMPUTED_VALUE"""),"Free to Guild Adventurers with Item Proficiency")</f>
        <v>Free to Guild Adventurers with Item Proficiency</v>
      </c>
    </row>
    <row r="23">
      <c r="A23" s="10" t="str">
        <f>IFERROR(__xludf.DUMMYFUNCTION("""COMPUTED_VALUE"""),"Double-Bladed Scimitar")</f>
        <v>Double-Bladed Scimitar</v>
      </c>
      <c r="B23" s="10" t="str">
        <f>IFERROR(__xludf.DUMMYFUNCTION("""COMPUTED_VALUE"""),"ERLW")</f>
        <v>ERLW</v>
      </c>
      <c r="C23" s="10" t="str">
        <f>IFERROR(__xludf.DUMMYFUNCTION("""COMPUTED_VALUE"""),"none")</f>
        <v>none</v>
      </c>
      <c r="D23" s="10" t="str">
        <f>IFERROR(__xludf.DUMMYFUNCTION("""COMPUTED_VALUE"""),"Martial Weapon, Melee Weapon")</f>
        <v>Martial Weapon, Melee Weapon</v>
      </c>
      <c r="E23" s="10"/>
      <c r="F23" s="10" t="str">
        <f>IFERROR(__xludf.DUMMYFUNCTION("""COMPUTED_VALUE"""),"2d4 Slashing")</f>
        <v>2d4 Slashing</v>
      </c>
      <c r="G23" s="10" t="str">
        <f>IFERROR(__xludf.DUMMYFUNCTION("""COMPUTED_VALUE"""),"Two Handed, special")</f>
        <v>Two Handed, special</v>
      </c>
      <c r="H23" s="10"/>
      <c r="I23" s="10" t="str">
        <f>IFERROR(__xludf.DUMMYFUNCTION("""COMPUTED_VALUE"""),"Special. If you attack with a double-bladed scimitar as part of the Attack action on your turn, you can use a bonus action immediately after to make a melee attack with it. This attack deals 1d4 slashing damage on a hit, instead of 2d4. Two-Handed. This w"&amp;"eapon requires two hands to use. This property is relevant only when you attack with the weapon, not when you simply hold it.")</f>
        <v>Special. If you attack with a double-bladed scimitar as part of the Attack action on your turn, you can use a bonus action immediately after to make a melee attack with it. This attack deals 1d4 slashing damage on a hit, instead of 2d4. Two-Handed. This weapon requires two hands to use. This property is relevant only when you attack with the weapon, not when you simply hold it.</v>
      </c>
      <c r="J23" s="10" t="str">
        <f>IFERROR(__xludf.DUMMYFUNCTION("""COMPUTED_VALUE"""),"Free to Guild Adventurers with Item Proficiency")</f>
        <v>Free to Guild Adventurers with Item Proficiency</v>
      </c>
    </row>
    <row r="24">
      <c r="A24" s="8" t="str">
        <f>IFERROR(__xludf.DUMMYFUNCTION("""COMPUTED_VALUE"""),"Flail")</f>
        <v>Flail</v>
      </c>
      <c r="B24" s="8" t="str">
        <f>IFERROR(__xludf.DUMMYFUNCTION("""COMPUTED_VALUE"""),"PHB'24")</f>
        <v>PHB'24</v>
      </c>
      <c r="C24" s="8" t="str">
        <f>IFERROR(__xludf.DUMMYFUNCTION("""COMPUTED_VALUE"""),"none")</f>
        <v>none</v>
      </c>
      <c r="D24" s="8" t="str">
        <f>IFERROR(__xludf.DUMMYFUNCTION("""COMPUTED_VALUE"""),"Martial Weapon, Melee Weapon")</f>
        <v>Martial Weapon, Melee Weapon</v>
      </c>
      <c r="E24" s="8"/>
      <c r="F24" s="8" t="str">
        <f>IFERROR(__xludf.DUMMYFUNCTION("""COMPUTED_VALUE"""),"1d8 Bludgeoning")</f>
        <v>1d8 Bludgeoning</v>
      </c>
      <c r="G24" s="8"/>
      <c r="H24" s="8" t="str">
        <f>IFERROR(__xludf.DUMMYFUNCTION("""COMPUTED_VALUE"""),"Mastery: Sap")</f>
        <v>Mastery: Sap</v>
      </c>
      <c r="I24" s="8" t="str">
        <f>IFERROR(__xludf.DUMMYFUNCTION("""COMPUTED_VALUE"""),"Mastery: Sap. If you hit a creature with this weapon, that creature has Disadvantage on its next attack roll before the start of your next turn.")</f>
        <v>Mastery: Sap. If you hit a creature with this weapon, that creature has Disadvantage on its next attack roll before the start of your next turn.</v>
      </c>
      <c r="J24" s="8" t="str">
        <f>IFERROR(__xludf.DUMMYFUNCTION("""COMPUTED_VALUE"""),"Free to Guild Adventurers with Item Proficiency")</f>
        <v>Free to Guild Adventurers with Item Proficiency</v>
      </c>
    </row>
    <row r="25">
      <c r="A25" s="10" t="str">
        <f>IFERROR(__xludf.DUMMYFUNCTION("""COMPUTED_VALUE"""),"Glaive")</f>
        <v>Glaive</v>
      </c>
      <c r="B25" s="10" t="str">
        <f>IFERROR(__xludf.DUMMYFUNCTION("""COMPUTED_VALUE"""),"PHB'24")</f>
        <v>PHB'24</v>
      </c>
      <c r="C25" s="10" t="str">
        <f>IFERROR(__xludf.DUMMYFUNCTION("""COMPUTED_VALUE"""),"none")</f>
        <v>none</v>
      </c>
      <c r="D25" s="10" t="str">
        <f>IFERROR(__xludf.DUMMYFUNCTION("""COMPUTED_VALUE"""),"Martial Weapon, Melee Weapon")</f>
        <v>Martial Weapon, Melee Weapon</v>
      </c>
      <c r="E25" s="10"/>
      <c r="F25" s="10" t="str">
        <f>IFERROR(__xludf.DUMMYFUNCTION("""COMPUTED_VALUE"""),"1d10 Slashing")</f>
        <v>1d10 Slashing</v>
      </c>
      <c r="G25" s="10" t="str">
        <f>IFERROR(__xludf.DUMMYFUNCTION("""COMPUTED_VALUE"""),"Heavy, Reach, Two Handed")</f>
        <v>Heavy, Reach, Two Handed</v>
      </c>
      <c r="H25" s="10" t="str">
        <f>IFERROR(__xludf.DUMMYFUNCTION("""COMPUTED_VALUE"""),"Mastery: Graze")</f>
        <v>Mastery: Graze</v>
      </c>
      <c r="I25" s="10" t="str">
        <f>IFERROR(__xludf.DUMMYFUNCTION("""COMPUTED_VALUE"""),"Heavy. You have Disadvantage on attack rolls with a Heavy weapon if it's a Melee weapon and your Strength score isn't at least 13 or if it's a Ranged weapon and your Dexterity score isn't at least 13. Reach. A Reach weapon adds 5 feet to your reach when y"&amp;"ou attack with it, as well as when determining your reach for Opportunity Attacks with it. Two-Handed. A Two-Handed weapon requires two hands when you attack with it. Mastery: Graze. If your attack roll with this weapon misses a creature, you can deal dam"&amp;"age to that creature equal to the ability modifier you used to make the attack roll. This damage is the same type dealt by the weapon, and the damage can be increased only by increasing the ability modifier.")</f>
        <v>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v>
      </c>
      <c r="J25" s="11" t="str">
        <f>IFERROR(__xludf.DUMMYFUNCTION("""COMPUTED_VALUE"""),"Free to Guild Adventurers with Item Proficiency")</f>
        <v>Free to Guild Adventurers with Item Proficiency</v>
      </c>
    </row>
    <row r="26">
      <c r="A26" s="8" t="str">
        <f>IFERROR(__xludf.DUMMYFUNCTION("""COMPUTED_VALUE"""),"Greataxe")</f>
        <v>Greataxe</v>
      </c>
      <c r="B26" s="8" t="str">
        <f>IFERROR(__xludf.DUMMYFUNCTION("""COMPUTED_VALUE"""),"PHB'24")</f>
        <v>PHB'24</v>
      </c>
      <c r="C26" s="8" t="str">
        <f>IFERROR(__xludf.DUMMYFUNCTION("""COMPUTED_VALUE"""),"none")</f>
        <v>none</v>
      </c>
      <c r="D26" s="8" t="str">
        <f>IFERROR(__xludf.DUMMYFUNCTION("""COMPUTED_VALUE"""),"Martial Weapon, Melee Weapon")</f>
        <v>Martial Weapon, Melee Weapon</v>
      </c>
      <c r="E26" s="8"/>
      <c r="F26" s="8" t="str">
        <f>IFERROR(__xludf.DUMMYFUNCTION("""COMPUTED_VALUE"""),"1d12 Slashing")</f>
        <v>1d12 Slashing</v>
      </c>
      <c r="G26" s="8" t="str">
        <f>IFERROR(__xludf.DUMMYFUNCTION("""COMPUTED_VALUE"""),"Heavy, Two Handed")</f>
        <v>Heavy, Two Handed</v>
      </c>
      <c r="H26" s="8" t="str">
        <f>IFERROR(__xludf.DUMMYFUNCTION("""COMPUTED_VALUE"""),"Mastery: Cleave")</f>
        <v>Mastery: Cleave</v>
      </c>
      <c r="I26" s="8" t="str">
        <f>IFERROR(__xludf.DUMMYFUNCTION("""COMPUTED_VALUE"""),"Heavy. You have Disadvantage on attack rolls with a Heavy weapon if it's a Melee weapon and your Strength score isn't at least 13 or if it's a Ranged weapon and your Dexterity score isn't at least 13. Two-Handed. A Two-Handed weapon requires two hands whe"&amp;"n you attack with it. Mastery: Cleave. If you hit a creature with a melee attack roll using this weapon, you can make a melee attack roll with the weapon against a second creature within 5 feet of the first that is also within your reach. On a hit, the se"&amp;"cond creature takes the weapon's damage, but don't add your ability modifier to that damage unless that modifier is negative. You can make this extra attack only once per turn.")</f>
        <v>Heavy. You have Disadvantage on attack rolls with a Heavy weapon if it's a Melee weapon and your Strength score isn't at least 13 or if it's a Ranged weapon and your Dexterity score isn't at least 13. Two-Handed. A Two-Handed weapon requires two hands when you attack with it. Mastery: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v>
      </c>
      <c r="J26" s="8" t="str">
        <f>IFERROR(__xludf.DUMMYFUNCTION("""COMPUTED_VALUE"""),"Free to Guild Adventurers with Item Proficiency")</f>
        <v>Free to Guild Adventurers with Item Proficiency</v>
      </c>
    </row>
    <row r="27">
      <c r="A27" s="10" t="str">
        <f>IFERROR(__xludf.DUMMYFUNCTION("""COMPUTED_VALUE"""),"Greatsword")</f>
        <v>Greatsword</v>
      </c>
      <c r="B27" s="10" t="str">
        <f>IFERROR(__xludf.DUMMYFUNCTION("""COMPUTED_VALUE"""),"PHB'24")</f>
        <v>PHB'24</v>
      </c>
      <c r="C27" s="10" t="str">
        <f>IFERROR(__xludf.DUMMYFUNCTION("""COMPUTED_VALUE"""),"none")</f>
        <v>none</v>
      </c>
      <c r="D27" s="10" t="str">
        <f>IFERROR(__xludf.DUMMYFUNCTION("""COMPUTED_VALUE"""),"Martial Weapon, Melee Weapon")</f>
        <v>Martial Weapon, Melee Weapon</v>
      </c>
      <c r="E27" s="10"/>
      <c r="F27" s="10" t="str">
        <f>IFERROR(__xludf.DUMMYFUNCTION("""COMPUTED_VALUE"""),"2d6 Slashing")</f>
        <v>2d6 Slashing</v>
      </c>
      <c r="G27" s="10" t="str">
        <f>IFERROR(__xludf.DUMMYFUNCTION("""COMPUTED_VALUE"""),"Heavy, Two Handed")</f>
        <v>Heavy, Two Handed</v>
      </c>
      <c r="H27" s="10" t="str">
        <f>IFERROR(__xludf.DUMMYFUNCTION("""COMPUTED_VALUE"""),"Mastery: Graze")</f>
        <v>Mastery: Graze</v>
      </c>
      <c r="I27" s="10" t="str">
        <f>IFERROR(__xludf.DUMMYFUNCTION("""COMPUTED_VALUE"""),"Heavy. You have Disadvantage on attack rolls with a Heavy weapon if it's a Melee weapon and your Strength score isn't at least 13 or if it's a Ranged weapon and your Dexterity score isn't at least 13. Two-Handed. A Two-Handed weapon requires two hands whe"&amp;"n you attack with it. Mastery: Graze. If your attack roll with this weapon misses a creature, you can deal damage to that creature equal to the ability modifier you used to make the attack roll. This damage is the same type dealt by the weapon, and the da"&amp;"mage can be increased only by increasing the ability modifier.")</f>
        <v>Heavy. You have Disadvantage on attack rolls with a Heavy weapon if it's a Melee weapon and your Strength score isn't at least 13 or if it's a Ranged weapon and your Dexterity score isn't at least 13. Two-Handed. A Two-Handed weapon requires two hands when you attack with it. Mastery: Graze. If your attack roll with this weapon misses a creature, you can deal damage to that creature equal to the ability modifier you used to make the attack roll. This damage is the same type dealt by the weapon, and the damage can be increased only by increasing the ability modifier.</v>
      </c>
      <c r="J27" s="10" t="str">
        <f>IFERROR(__xludf.DUMMYFUNCTION("""COMPUTED_VALUE"""),"Free to Guild Adventurers with Item Proficiency")</f>
        <v>Free to Guild Adventurers with Item Proficiency</v>
      </c>
    </row>
    <row r="28">
      <c r="A28" s="8" t="str">
        <f>IFERROR(__xludf.DUMMYFUNCTION("""COMPUTED_VALUE"""),"Halberd")</f>
        <v>Halberd</v>
      </c>
      <c r="B28" s="8" t="str">
        <f>IFERROR(__xludf.DUMMYFUNCTION("""COMPUTED_VALUE"""),"PHB'24")</f>
        <v>PHB'24</v>
      </c>
      <c r="C28" s="8" t="str">
        <f>IFERROR(__xludf.DUMMYFUNCTION("""COMPUTED_VALUE"""),"none")</f>
        <v>none</v>
      </c>
      <c r="D28" s="8" t="str">
        <f>IFERROR(__xludf.DUMMYFUNCTION("""COMPUTED_VALUE"""),"Martial Weapon, Melee Weapon")</f>
        <v>Martial Weapon, Melee Weapon</v>
      </c>
      <c r="E28" s="8"/>
      <c r="F28" s="8" t="str">
        <f>IFERROR(__xludf.DUMMYFUNCTION("""COMPUTED_VALUE"""),"1d10 Slashing")</f>
        <v>1d10 Slashing</v>
      </c>
      <c r="G28" s="8" t="str">
        <f>IFERROR(__xludf.DUMMYFUNCTION("""COMPUTED_VALUE"""),"Heavy, Reach, Two Handed")</f>
        <v>Heavy, Reach, Two Handed</v>
      </c>
      <c r="H28" s="8" t="str">
        <f>IFERROR(__xludf.DUMMYFUNCTION("""COMPUTED_VALUE"""),"Mastery: Cleave")</f>
        <v>Mastery: Cleave</v>
      </c>
      <c r="I28" s="8" t="str">
        <f>IFERROR(__xludf.DUMMYFUNCTION("""COMPUTED_VALUE"""),"Heavy. You have Disadvantage on attack rolls with a Heavy weapon if it's a Melee weapon and your Strength score isn't at least 13 or if it's a Ranged weapon and your Dexterity score isn't at least 13. Reach. A Reach weapon adds 5 feet to your reach when y"&amp;"ou attack with it, as well as when determining your reach for Opportunity Attacks with it. Two-Handed. A Two-Handed weapon requires two hands when you attack with it. Mastery: Cleave. If you hit a creature with a melee attack roll using this weapon, you c"&amp;"an make a melee attack roll with the weapon against a second creature within 5 feet of the first that is also within your reach. On a hit, the second creature takes the weapon's damage, but don't add your ability modifier to that damage unless that modifi"&amp;"er is negative. You can make this extra attack only once per turn.")</f>
        <v>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Cleave. If you hit a creature with a melee attack roll using this weapon, you can make a melee attack roll with the weapon against a second creature within 5 feet of the first that is also within your reach. On a hit, the second creature takes the weapon's damage, but don't add your ability modifier to that damage unless that modifier is negative. You can make this extra attack only once per turn.</v>
      </c>
      <c r="J28" s="8" t="str">
        <f>IFERROR(__xludf.DUMMYFUNCTION("""COMPUTED_VALUE"""),"Free to Guild Adventurers with Item Proficiency")</f>
        <v>Free to Guild Adventurers with Item Proficiency</v>
      </c>
    </row>
    <row r="29">
      <c r="A29" s="10" t="str">
        <f>IFERROR(__xludf.DUMMYFUNCTION("""COMPUTED_VALUE"""),"Hooked Shortspear")</f>
        <v>Hooked Shortspear</v>
      </c>
      <c r="B29" s="10" t="str">
        <f>IFERROR(__xludf.DUMMYFUNCTION("""COMPUTED_VALUE"""),"OotA")</f>
        <v>OotA</v>
      </c>
      <c r="C29" s="10" t="str">
        <f>IFERROR(__xludf.DUMMYFUNCTION("""COMPUTED_VALUE"""),"none")</f>
        <v>none</v>
      </c>
      <c r="D29" s="10" t="str">
        <f>IFERROR(__xludf.DUMMYFUNCTION("""COMPUTED_VALUE"""),"Martial Weapon, Melee Weapon")</f>
        <v>Martial Weapon, Melee Weapon</v>
      </c>
      <c r="E29" s="10"/>
      <c r="F29" s="10" t="str">
        <f>IFERROR(__xludf.DUMMYFUNCTION("""COMPUTED_VALUE"""),"1d4 Piercing")</f>
        <v>1d4 Piercing</v>
      </c>
      <c r="G29" s="10" t="str">
        <f>IFERROR(__xludf.DUMMYFUNCTION("""COMPUTED_VALUE"""),"light")</f>
        <v>light</v>
      </c>
      <c r="H29" s="10"/>
      <c r="I29" s="10" t="str">
        <f>IFERROR(__xludf.DUMMYFUNCTION("""COMPUTED_VALUE"""),"On a hit with this weapon, the wielder can forgo dealing damage and attempt to trip the target, in which case the target must succeed on a Strength saving throw or fall prone. The DC is 8 + the wielder's Strength modifier + the wielder's proficiency bonus"&amp;". Light. A light weapon is small and easy to handle, making it ideal for use when fighting with two weapons.")</f>
        <v>On a hit with this weapon, the wielder can forgo dealing damage and attempt to trip the target, in which case the target must succeed on a Strength saving throw or fall prone. The DC is 8 + the wielder's Strength modifier + the wielder's proficiency bonus. Light. A light weapon is small and easy to handle, making it ideal for use when fighting with two weapons.</v>
      </c>
      <c r="J29" s="10" t="str">
        <f>IFERROR(__xludf.DUMMYFUNCTION("""COMPUTED_VALUE"""),"Free to Guild Adventurers with Item Proficiency")</f>
        <v>Free to Guild Adventurers with Item Proficiency</v>
      </c>
    </row>
    <row r="30">
      <c r="A30" s="8" t="str">
        <f>IFERROR(__xludf.DUMMYFUNCTION("""COMPUTED_VALUE"""),"Hoopak")</f>
        <v>Hoopak</v>
      </c>
      <c r="B30" s="8" t="str">
        <f>IFERROR(__xludf.DUMMYFUNCTION("""COMPUTED_VALUE"""),"DSotDQ")</f>
        <v>DSotDQ</v>
      </c>
      <c r="C30" s="8" t="str">
        <f>IFERROR(__xludf.DUMMYFUNCTION("""COMPUTED_VALUE"""),"none")</f>
        <v>none</v>
      </c>
      <c r="D30" s="8" t="str">
        <f>IFERROR(__xludf.DUMMYFUNCTION("""COMPUTED_VALUE"""),"Martial Weapon, Melee Weapon")</f>
        <v>Martial Weapon, Melee Weapon</v>
      </c>
      <c r="E30" s="8"/>
      <c r="F30" s="8" t="str">
        <f>IFERROR(__xludf.DUMMYFUNCTION("""COMPUTED_VALUE"""),"1d6 Piercing")</f>
        <v>1d6 Piercing</v>
      </c>
      <c r="G30" s="8" t="str">
        <f>IFERROR(__xludf.DUMMYFUNCTION("""COMPUTED_VALUE"""),"ammunition (40/160 ft.), finesse, Two Handed, special")</f>
        <v>ammunition (40/160 ft.), finesse, Two Handed, special</v>
      </c>
      <c r="H30" s="8"/>
      <c r="I30" s="8" t="str">
        <f>IFERROR(__xludf.DUMMYFUNCTION("""COMPUTED_VALUE"""),"A hoopak is a sturdy stick with a sling at one end and a pointed tip at the other. Special. When you make a melee attack with this weapon, you ignore its ammunition property. You can use the hoopak as a martial ranged weapon. If you do, it uses the ammuni"&amp;"tion property, uses sling bullets, and deals 1d4 bludgeoning damage on a hit. Ammunition. You can use a weapon that has the ammunition property to make a ranged attack only if you have ammunition to fire from the weapon. Each time you attack with the weap"&amp;"on, you expend one piece of ammunition. Drawing the ammunition from a quiver, case, or other container is part of the attack. Loading a one-handed weapon requires a free hand. At the end of the battle, you can recover half your expended ammunition by taki"&amp;"ng a minute to search the battlefield.If you use a weapon that has the ammunition property to make a melee attack, you treat the weapon as an improvised weapon. A sling must be loaded to deal any damage when used in this way. Finesse. When making an attac"&amp;"k with a finesse weapon, you use your choice of your Strength or Dexterity modifier for the attack and damage rolls. You must use the same modifier for both rolls. Two-Handed. This weapon requires two hands to use. This property is relevant only when you "&amp;"attack with the weapon, not when you simply hold it.")</f>
        <v>A hoopak is a sturdy stick with a sling at one end and a pointed tip at the other. Special. When you make a melee attack with this weapon, you ignore its ammunition property. You can use the hoopak as a martial ranged weapon. If you do, it uses the ammunition property, uses sling bullets, and deals 1d4 bludgeoning damage on a hit.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battlefield.If you use a weapon that has the ammunition property to make a melee attack, you treat the weapon as an improvised weapon. A sling must be loaded to deal any damage when used in this way. Finesse. When making an attack with a finesse weapon, you use your choice of your Strength or Dexterity modifier for the attack and damage rolls. You must use the same modifier for both rolls. Two-Handed. This weapon requires two hands to use. This property is relevant only when you attack with the weapon, not when you simply hold it.</v>
      </c>
      <c r="J30" s="8" t="str">
        <f>IFERROR(__xludf.DUMMYFUNCTION("""COMPUTED_VALUE"""),"Free to Guild Adventurers with Item Proficiency")</f>
        <v>Free to Guild Adventurers with Item Proficiency</v>
      </c>
    </row>
    <row r="31">
      <c r="A31" s="10" t="str">
        <f>IFERROR(__xludf.DUMMYFUNCTION("""COMPUTED_VALUE"""),"Lance")</f>
        <v>Lance</v>
      </c>
      <c r="B31" s="10" t="str">
        <f>IFERROR(__xludf.DUMMYFUNCTION("""COMPUTED_VALUE"""),"PHB'24")</f>
        <v>PHB'24</v>
      </c>
      <c r="C31" s="10" t="str">
        <f>IFERROR(__xludf.DUMMYFUNCTION("""COMPUTED_VALUE"""),"none")</f>
        <v>none</v>
      </c>
      <c r="D31" s="10" t="str">
        <f>IFERROR(__xludf.DUMMYFUNCTION("""COMPUTED_VALUE"""),"Martial Weapon, Melee Weapon")</f>
        <v>Martial Weapon, Melee Weapon</v>
      </c>
      <c r="E31" s="10"/>
      <c r="F31" s="10" t="str">
        <f>IFERROR(__xludf.DUMMYFUNCTION("""COMPUTED_VALUE"""),"1d10 Piercing")</f>
        <v>1d10 Piercing</v>
      </c>
      <c r="G31" s="10" t="str">
        <f>IFERROR(__xludf.DUMMYFUNCTION("""COMPUTED_VALUE"""),"Heavy, Reach, Two Handed (unless mounted)")</f>
        <v>Heavy, Reach, Two Handed (unless mounted)</v>
      </c>
      <c r="H31" s="10" t="str">
        <f>IFERROR(__xludf.DUMMYFUNCTION("""COMPUTED_VALUE"""),"Mastery: Topple")</f>
        <v>Mastery: Topple</v>
      </c>
      <c r="I31" s="10" t="str">
        <f>IFERROR(__xludf.DUMMYFUNCTION("""COMPUTED_VALUE"""),"A Lance requires two hands to wield when you aren't mounted. Heavy. You have Disadvantage on attack rolls with a Heavy weapon if it's a Melee weapon and your Strength score isn't at least 13 or if it's a Ranged weapon and your Dexterity score isn't at lea"&amp;"st 13. Reach. A Reach weapon adds 5 feet to your reach when you attack with it, as well as when determining your reach for Opportunity Attacks with it. Two-Handed. A Two-Handed weapon requires two hands when you attack with it. Mastery: Topple. If you hit"&amp;" a creature with this weapon, you can force the creature to make a Constitution saving throw (DC 8 plus the ability modifier used to make the attack roll and your Proficiency Bonus). On a failed save, the creature has the Prone condition.")</f>
        <v>A Lance requires two hands to wield when you aren't mounted.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Topple. If you hit a creature with this weapon, you can force the creature to make a Constitution saving throw (DC 8 plus the ability modifier used to make the attack roll and your Proficiency Bonus). On a failed save, the creature has the Prone condition.</v>
      </c>
      <c r="J31" s="10" t="str">
        <f>IFERROR(__xludf.DUMMYFUNCTION("""COMPUTED_VALUE"""),"Free to Guild Adventurers with Item Proficiency")</f>
        <v>Free to Guild Adventurers with Item Proficiency</v>
      </c>
    </row>
    <row r="32">
      <c r="A32" s="8" t="str">
        <f>IFERROR(__xludf.DUMMYFUNCTION("""COMPUTED_VALUE"""),"Longsword")</f>
        <v>Longsword</v>
      </c>
      <c r="B32" s="8" t="str">
        <f>IFERROR(__xludf.DUMMYFUNCTION("""COMPUTED_VALUE"""),"PHB'24")</f>
        <v>PHB'24</v>
      </c>
      <c r="C32" s="8" t="str">
        <f>IFERROR(__xludf.DUMMYFUNCTION("""COMPUTED_VALUE"""),"none")</f>
        <v>none</v>
      </c>
      <c r="D32" s="8" t="str">
        <f>IFERROR(__xludf.DUMMYFUNCTION("""COMPUTED_VALUE"""),"Martial Weapon, Melee Weapon")</f>
        <v>Martial Weapon, Melee Weapon</v>
      </c>
      <c r="E32" s="8"/>
      <c r="F32" s="8" t="str">
        <f>IFERROR(__xludf.DUMMYFUNCTION("""COMPUTED_VALUE"""),"1d8 Slashing")</f>
        <v>1d8 Slashing</v>
      </c>
      <c r="G32" s="8" t="str">
        <f>IFERROR(__xludf.DUMMYFUNCTION("""COMPUTED_VALUE"""),"Versatile (1d10)")</f>
        <v>Versatile (1d10)</v>
      </c>
      <c r="H32" s="8" t="str">
        <f>IFERROR(__xludf.DUMMYFUNCTION("""COMPUTED_VALUE"""),"Mastery: Sap")</f>
        <v>Mastery: Sap</v>
      </c>
      <c r="I32" s="8" t="str">
        <f>IFERROR(__xludf.DUMMYFUNCTION("""COMPUTED_VALUE"""),"Versatile. A Versatile weapon can be used with one or two hands. A damage value in parentheses appears with the property. The weapon deals that damage when used with two hands to make a melee attack. Mastery: Sap. If you hit a creature with this weapon, t"&amp;"hat creature has Disadvantage on its next attack roll before the start of your next turn.")</f>
        <v>Versatile. A Versatile weapon can be used with one or two hands. A damage value in parentheses appears with the property. The weapon deals that damage when used with two hands to make a melee attack. Mastery: Sap. If you hit a creature with this weapon, that creature has Disadvantage on its next attack roll before the start of your next turn.</v>
      </c>
      <c r="J32" s="8" t="str">
        <f>IFERROR(__xludf.DUMMYFUNCTION("""COMPUTED_VALUE"""),"Free to Guild Adventurers with Item Proficiency")</f>
        <v>Free to Guild Adventurers with Item Proficiency</v>
      </c>
    </row>
    <row r="33">
      <c r="A33" s="10" t="str">
        <f>IFERROR(__xludf.DUMMYFUNCTION("""COMPUTED_VALUE"""),"Maul")</f>
        <v>Maul</v>
      </c>
      <c r="B33" s="10" t="str">
        <f>IFERROR(__xludf.DUMMYFUNCTION("""COMPUTED_VALUE"""),"PHB'24")</f>
        <v>PHB'24</v>
      </c>
      <c r="C33" s="10" t="str">
        <f>IFERROR(__xludf.DUMMYFUNCTION("""COMPUTED_VALUE"""),"none")</f>
        <v>none</v>
      </c>
      <c r="D33" s="10" t="str">
        <f>IFERROR(__xludf.DUMMYFUNCTION("""COMPUTED_VALUE"""),"Martial Weapon, Melee Weapon")</f>
        <v>Martial Weapon, Melee Weapon</v>
      </c>
      <c r="E33" s="10"/>
      <c r="F33" s="10" t="str">
        <f>IFERROR(__xludf.DUMMYFUNCTION("""COMPUTED_VALUE"""),"2d6 Bludgeoning")</f>
        <v>2d6 Bludgeoning</v>
      </c>
      <c r="G33" s="10" t="str">
        <f>IFERROR(__xludf.DUMMYFUNCTION("""COMPUTED_VALUE"""),"Heavy, Two Handed")</f>
        <v>Heavy, Two Handed</v>
      </c>
      <c r="H33" s="10" t="str">
        <f>IFERROR(__xludf.DUMMYFUNCTION("""COMPUTED_VALUE"""),"Mastery: Topple")</f>
        <v>Mastery: Topple</v>
      </c>
      <c r="I33" s="10" t="str">
        <f>IFERROR(__xludf.DUMMYFUNCTION("""COMPUTED_VALUE"""),"Heavy. You have Disadvantage on attack rolls with a Heavy weapon if it's a Melee weapon and your Strength score isn't at least 13 or if it's a Ranged weapon and your Dexterity score isn't at least 13. Two-Handed. A Two-Handed weapon requires two hands whe"&amp;"n you attack with it. Mastery: Topple. If you hit a creature with this weapon, you can force the creature to make a Constitution saving throw (DC 8 plus the ability modifier used to make the attack roll and your Proficiency Bonus). On a failed save, the c"&amp;"reature has the Prone condition.")</f>
        <v>Heavy. You have Disadvantage on attack rolls with a Heavy weapon if it's a Melee weapon and your Strength score isn't at least 13 or if it's a Ranged weapon and your Dexterity score isn't at least 13. Two-Handed. A Two-Handed weapon requires two hands when you attack with it. Mastery: Topple. If you hit a creature with this weapon, you can force the creature to make a Constitution saving throw (DC 8 plus the ability modifier used to make the attack roll and your Proficiency Bonus). On a failed save, the creature has the Prone condition.</v>
      </c>
      <c r="J33" s="10" t="str">
        <f>IFERROR(__xludf.DUMMYFUNCTION("""COMPUTED_VALUE"""),"Free to Guild Adventurers with Item Proficiency")</f>
        <v>Free to Guild Adventurers with Item Proficiency</v>
      </c>
    </row>
    <row r="34">
      <c r="A34" s="8" t="str">
        <f>IFERROR(__xludf.DUMMYFUNCTION("""COMPUTED_VALUE"""),"Morningstar")</f>
        <v>Morningstar</v>
      </c>
      <c r="B34" s="8" t="str">
        <f>IFERROR(__xludf.DUMMYFUNCTION("""COMPUTED_VALUE"""),"PHB'24")</f>
        <v>PHB'24</v>
      </c>
      <c r="C34" s="8" t="str">
        <f>IFERROR(__xludf.DUMMYFUNCTION("""COMPUTED_VALUE"""),"none")</f>
        <v>none</v>
      </c>
      <c r="D34" s="8" t="str">
        <f>IFERROR(__xludf.DUMMYFUNCTION("""COMPUTED_VALUE"""),"Martial Weapon, Melee Weapon")</f>
        <v>Martial Weapon, Melee Weapon</v>
      </c>
      <c r="E34" s="8"/>
      <c r="F34" s="8" t="str">
        <f>IFERROR(__xludf.DUMMYFUNCTION("""COMPUTED_VALUE"""),"1d8 Piercing")</f>
        <v>1d8 Piercing</v>
      </c>
      <c r="G34" s="8"/>
      <c r="H34" s="8" t="str">
        <f>IFERROR(__xludf.DUMMYFUNCTION("""COMPUTED_VALUE"""),"Mastery: Sap")</f>
        <v>Mastery: Sap</v>
      </c>
      <c r="I34" s="8" t="str">
        <f>IFERROR(__xludf.DUMMYFUNCTION("""COMPUTED_VALUE"""),"Mastery: Sap. If you hit a creature with this weapon, that creature has Disadvantage on its next attack roll before the start of your next turn.")</f>
        <v>Mastery: Sap. If you hit a creature with this weapon, that creature has Disadvantage on its next attack roll before the start of your next turn.</v>
      </c>
      <c r="J34" s="8" t="str">
        <f>IFERROR(__xludf.DUMMYFUNCTION("""COMPUTED_VALUE"""),"Free to Guild Adventurers with Item Proficiency")</f>
        <v>Free to Guild Adventurers with Item Proficiency</v>
      </c>
    </row>
    <row r="35">
      <c r="A35" s="10" t="str">
        <f>IFERROR(__xludf.DUMMYFUNCTION("""COMPUTED_VALUE"""),"Pike")</f>
        <v>Pike</v>
      </c>
      <c r="B35" s="10" t="str">
        <f>IFERROR(__xludf.DUMMYFUNCTION("""COMPUTED_VALUE"""),"PHB'24")</f>
        <v>PHB'24</v>
      </c>
      <c r="C35" s="10" t="str">
        <f>IFERROR(__xludf.DUMMYFUNCTION("""COMPUTED_VALUE"""),"none")</f>
        <v>none</v>
      </c>
      <c r="D35" s="10" t="str">
        <f>IFERROR(__xludf.DUMMYFUNCTION("""COMPUTED_VALUE"""),"Martial Weapon, Melee Weapon")</f>
        <v>Martial Weapon, Melee Weapon</v>
      </c>
      <c r="E35" s="10"/>
      <c r="F35" s="10" t="str">
        <f>IFERROR(__xludf.DUMMYFUNCTION("""COMPUTED_VALUE"""),"1d10 Piercing")</f>
        <v>1d10 Piercing</v>
      </c>
      <c r="G35" s="10" t="str">
        <f>IFERROR(__xludf.DUMMYFUNCTION("""COMPUTED_VALUE"""),"Heavy, Reach, Two Handed")</f>
        <v>Heavy, Reach, Two Handed</v>
      </c>
      <c r="H35" s="10" t="str">
        <f>IFERROR(__xludf.DUMMYFUNCTION("""COMPUTED_VALUE"""),"Mastery: Push")</f>
        <v>Mastery: Push</v>
      </c>
      <c r="I35" s="10" t="str">
        <f>IFERROR(__xludf.DUMMYFUNCTION("""COMPUTED_VALUE"""),"Heavy. You have Disadvantage on attack rolls with a Heavy weapon if it's a Melee weapon and your Strength score isn't at least 13 or if it's a Ranged weapon and your Dexterity score isn't at least 13. Reach. A Reach weapon adds 5 feet to your reach when y"&amp;"ou attack with it, as well as when determining your reach for Opportunity Attacks with it. Two-Handed. A Two-Handed weapon requires two hands when you attack with it. Mastery: Push. If you hit a creature with this weapon, you can push the creature up to 1"&amp;"0 feet straight away from yourself if it is Large or smaller.")</f>
        <v>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 Mastery: Push. If you hit a creature with this weapon, you can push the creature up to 10 feet straight away from yourself if it is Large or smaller.</v>
      </c>
      <c r="J35" s="10" t="str">
        <f>IFERROR(__xludf.DUMMYFUNCTION("""COMPUTED_VALUE"""),"Free to Guild Adventurers with Item Proficiency")</f>
        <v>Free to Guild Adventurers with Item Proficiency</v>
      </c>
    </row>
    <row r="36">
      <c r="A36" s="8" t="str">
        <f>IFERROR(__xludf.DUMMYFUNCTION("""COMPUTED_VALUE"""),"Rapier")</f>
        <v>Rapier</v>
      </c>
      <c r="B36" s="8" t="str">
        <f>IFERROR(__xludf.DUMMYFUNCTION("""COMPUTED_VALUE"""),"PHB'24")</f>
        <v>PHB'24</v>
      </c>
      <c r="C36" s="8" t="str">
        <f>IFERROR(__xludf.DUMMYFUNCTION("""COMPUTED_VALUE"""),"none")</f>
        <v>none</v>
      </c>
      <c r="D36" s="8" t="str">
        <f>IFERROR(__xludf.DUMMYFUNCTION("""COMPUTED_VALUE"""),"Martial Weapon, Melee Weapon")</f>
        <v>Martial Weapon, Melee Weapon</v>
      </c>
      <c r="E36" s="8"/>
      <c r="F36" s="8" t="str">
        <f>IFERROR(__xludf.DUMMYFUNCTION("""COMPUTED_VALUE"""),"1d8 Piercing")</f>
        <v>1d8 Piercing</v>
      </c>
      <c r="G36" s="8" t="str">
        <f>IFERROR(__xludf.DUMMYFUNCTION("""COMPUTED_VALUE"""),"Finesse")</f>
        <v>Finesse</v>
      </c>
      <c r="H36" s="8" t="str">
        <f>IFERROR(__xludf.DUMMYFUNCTION("""COMPUTED_VALUE"""),"Mastery: Vex")</f>
        <v>Mastery: Vex</v>
      </c>
      <c r="I36" s="8" t="str">
        <f>IFERROR(__xludf.DUMMYFUNCTION("""COMPUTED_VALUE"""),"Finesse. When making an attack with a Finesse weapon, use your choice of your Strength or Dexterity modifier for the attack and damage rolls. You must use the same modifier for both rolls. Mastery: Vex. If you hit a creature with this weapon and deal dama"&amp;"ge to the creature, you have Advantage on your next attack roll against that creature before the end of your next turn.")</f>
        <v>Finesse. When making an attack with a Finesse weapon, use your choice of your Strength or Dexterity modifier for the attack and damage rolls. You must use the same modifier for both rolls. Mastery: Vex. If you hit a creature with this weapon and deal damage to the creature, you have Advantage on your next attack roll against that creature before the end of your next turn.</v>
      </c>
      <c r="J36" s="8" t="str">
        <f>IFERROR(__xludf.DUMMYFUNCTION("""COMPUTED_VALUE"""),"Free to Guild Adventurers with Item Proficiency")</f>
        <v>Free to Guild Adventurers with Item Proficiency</v>
      </c>
    </row>
    <row r="37">
      <c r="A37" s="10" t="str">
        <f>IFERROR(__xludf.DUMMYFUNCTION("""COMPUTED_VALUE"""),"Scimitar")</f>
        <v>Scimitar</v>
      </c>
      <c r="B37" s="10" t="str">
        <f>IFERROR(__xludf.DUMMYFUNCTION("""COMPUTED_VALUE"""),"PHB'24")</f>
        <v>PHB'24</v>
      </c>
      <c r="C37" s="10" t="str">
        <f>IFERROR(__xludf.DUMMYFUNCTION("""COMPUTED_VALUE"""),"none")</f>
        <v>none</v>
      </c>
      <c r="D37" s="10" t="str">
        <f>IFERROR(__xludf.DUMMYFUNCTION("""COMPUTED_VALUE"""),"Martial Weapon, Melee Weapon")</f>
        <v>Martial Weapon, Melee Weapon</v>
      </c>
      <c r="E37" s="10"/>
      <c r="F37" s="10" t="str">
        <f>IFERROR(__xludf.DUMMYFUNCTION("""COMPUTED_VALUE"""),"1d6 Slashing")</f>
        <v>1d6 Slashing</v>
      </c>
      <c r="G37" s="10" t="str">
        <f>IFERROR(__xludf.DUMMYFUNCTION("""COMPUTED_VALUE"""),"Finesse, Light")</f>
        <v>Finesse, Light</v>
      </c>
      <c r="H37" s="10" t="str">
        <f>IFERROR(__xludf.DUMMYFUNCTION("""COMPUTED_VALUE"""),"Mastery: Nick")</f>
        <v>Mastery: Nick</v>
      </c>
      <c r="I37" s="10" t="str">
        <f>IFERROR(__xludf.DUMMYFUNCTION("""COMPUTED_VALUE"""),"Finesse. When making an attack with a Finesse weapon, use your choice of your Strength or Dexterity modifier for the attack and damage rolls. You must use the same modifier for both rolls. Light. When you take the Attack action on your turn and attack wit"&amp;"h a Light weapon, you can make one extra attack as a Bonus Action later on the same turn. That extra attack must be made with a different Light weapon, and you don't add your ability modifier to the extra attack's damage unless that modifier is negative. "&amp;"For example, you can attack with a Shortsword in one hand and a Dagger in the other using the Attack action and a Bonus Action, but you don't add your Strength or Dexterity modifier to the damage roll of the Bonus Action unless that modifier is negative. "&amp;"Mastery: Nick. When you make the extra attack of the Light property, you can make it as part of the Attack action instead of as a Bonus Action. You can make this extra attack only once per turn.")</f>
        <v>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v>
      </c>
      <c r="J37" s="10" t="str">
        <f>IFERROR(__xludf.DUMMYFUNCTION("""COMPUTED_VALUE"""),"Free to Guild Adventurers with Item Proficiency")</f>
        <v>Free to Guild Adventurers with Item Proficiency</v>
      </c>
    </row>
    <row r="38">
      <c r="A38" s="8" t="str">
        <f>IFERROR(__xludf.DUMMYFUNCTION("""COMPUTED_VALUE"""),"Shortsword")</f>
        <v>Shortsword</v>
      </c>
      <c r="B38" s="8" t="str">
        <f>IFERROR(__xludf.DUMMYFUNCTION("""COMPUTED_VALUE"""),"PHB'24")</f>
        <v>PHB'24</v>
      </c>
      <c r="C38" s="8" t="str">
        <f>IFERROR(__xludf.DUMMYFUNCTION("""COMPUTED_VALUE"""),"none")</f>
        <v>none</v>
      </c>
      <c r="D38" s="8" t="str">
        <f>IFERROR(__xludf.DUMMYFUNCTION("""COMPUTED_VALUE"""),"Martial Weapon, Melee Weapon")</f>
        <v>Martial Weapon, Melee Weapon</v>
      </c>
      <c r="E38" s="8"/>
      <c r="F38" s="8" t="str">
        <f>IFERROR(__xludf.DUMMYFUNCTION("""COMPUTED_VALUE"""),"1d6 Piercing")</f>
        <v>1d6 Piercing</v>
      </c>
      <c r="G38" s="8" t="str">
        <f>IFERROR(__xludf.DUMMYFUNCTION("""COMPUTED_VALUE"""),"Finesse, Light")</f>
        <v>Finesse, Light</v>
      </c>
      <c r="H38" s="8" t="str">
        <f>IFERROR(__xludf.DUMMYFUNCTION("""COMPUTED_VALUE"""),"Mastery: Vex")</f>
        <v>Mastery: Vex</v>
      </c>
      <c r="I38" s="8" t="str">
        <f>IFERROR(__xludf.DUMMYFUNCTION("""COMPUTED_VALUE"""),"Finesse. When making an attack with a Finesse weapon, use your choice of your Strength or Dexterity modifier for the attack and damage rolls. You must use the same modifier for both rolls. Light. When you take the Attack action on your turn and attack wit"&amp;"h a Light weapon, you can make one extra attack as a Bonus Action later on the same turn. That extra attack must be made with a different Light weapon, and you don't add your ability modifier to the extra attack's damage unless that modifier is negative. "&amp;"For example, you can attack with a Shortsword in one hand and a Dagger in the other using the Attack action and a Bonus Action, but you don't add your Strength or Dexterity modifier to the damage roll of the Bonus Action unless that modifier is negative. "&amp;"Mastery: Vex. If you hit a creature with this weapon and deal damage to the creature, you have Advantage on your next attack roll against that creature before the end of your next turn.")</f>
        <v>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Vex. If you hit a creature with this weapon and deal damage to the creature, you have Advantage on your next attack roll against that creature before the end of your next turn.</v>
      </c>
      <c r="J38" s="8" t="str">
        <f>IFERROR(__xludf.DUMMYFUNCTION("""COMPUTED_VALUE"""),"Free to Guild Adventurers with Item Proficiency")</f>
        <v>Free to Guild Adventurers with Item Proficiency</v>
      </c>
    </row>
    <row r="39">
      <c r="A39" s="10" t="str">
        <f>IFERROR(__xludf.DUMMYFUNCTION("""COMPUTED_VALUE"""),"Trident")</f>
        <v>Trident</v>
      </c>
      <c r="B39" s="10" t="str">
        <f>IFERROR(__xludf.DUMMYFUNCTION("""COMPUTED_VALUE"""),"PHB'24")</f>
        <v>PHB'24</v>
      </c>
      <c r="C39" s="10" t="str">
        <f>IFERROR(__xludf.DUMMYFUNCTION("""COMPUTED_VALUE"""),"none")</f>
        <v>none</v>
      </c>
      <c r="D39" s="10" t="str">
        <f>IFERROR(__xludf.DUMMYFUNCTION("""COMPUTED_VALUE"""),"Martial Weapon, Melee Weapon")</f>
        <v>Martial Weapon, Melee Weapon</v>
      </c>
      <c r="E39" s="10"/>
      <c r="F39" s="10" t="str">
        <f>IFERROR(__xludf.DUMMYFUNCTION("""COMPUTED_VALUE"""),"1d8 Piercing")</f>
        <v>1d8 Piercing</v>
      </c>
      <c r="G39" s="10" t="str">
        <f>IFERROR(__xludf.DUMMYFUNCTION("""COMPUTED_VALUE"""),"Thrown (20/60 ft.), Versatile (1d10)")</f>
        <v>Thrown (20/60 ft.), Versatile (1d10)</v>
      </c>
      <c r="H39" s="10" t="str">
        <f>IFERROR(__xludf.DUMMYFUNCTION("""COMPUTED_VALUE"""),"Mastery: Topple")</f>
        <v>Mastery: Topple</v>
      </c>
      <c r="I39" s="10" t="str">
        <f>IFERROR(__xludf.DUMMYFUNCTION("""COMPUTED_VALUE"""),"Thrown. If a weapon has the Thrown property, you can throw the weapon to make a ranged attack, and you can draw that weapon as part of the attack. If the weapon is a Melee weapon, use the same ability modifier for the attack and damage rolls that you use "&amp;"for a melee attack with that weapon. Versatile. A Versatile weapon can be used with one or two hands. A damage value in parentheses appears with the property. The weapon deals that damage when used with two hands to make a melee attack. Mastery: Topple. I"&amp;"f you hit a creature with this weapon, you can force the creature to make a Constitution saving throw (DC 8 plus the ability modifier used to make the attack roll and your Proficiency Bonus). On a failed save, the creature has the Prone condition.")</f>
        <v>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39" s="10" t="str">
        <f>IFERROR(__xludf.DUMMYFUNCTION("""COMPUTED_VALUE"""),"Free to Guild Adventurers with Item Proficiency")</f>
        <v>Free to Guild Adventurers with Item Proficiency</v>
      </c>
    </row>
    <row r="40">
      <c r="A40" s="8" t="str">
        <f>IFERROR(__xludf.DUMMYFUNCTION("""COMPUTED_VALUE"""),"War Pick")</f>
        <v>War Pick</v>
      </c>
      <c r="B40" s="8" t="str">
        <f>IFERROR(__xludf.DUMMYFUNCTION("""COMPUTED_VALUE"""),"PHB'24")</f>
        <v>PHB'24</v>
      </c>
      <c r="C40" s="8" t="str">
        <f>IFERROR(__xludf.DUMMYFUNCTION("""COMPUTED_VALUE"""),"none")</f>
        <v>none</v>
      </c>
      <c r="D40" s="8" t="str">
        <f>IFERROR(__xludf.DUMMYFUNCTION("""COMPUTED_VALUE"""),"Martial Weapon, Melee Weapon")</f>
        <v>Martial Weapon, Melee Weapon</v>
      </c>
      <c r="E40" s="8"/>
      <c r="F40" s="8" t="str">
        <f>IFERROR(__xludf.DUMMYFUNCTION("""COMPUTED_VALUE"""),"1d8 Piercing")</f>
        <v>1d8 Piercing</v>
      </c>
      <c r="G40" s="8" t="str">
        <f>IFERROR(__xludf.DUMMYFUNCTION("""COMPUTED_VALUE"""),"Versatile (1d10)")</f>
        <v>Versatile (1d10)</v>
      </c>
      <c r="H40" s="8" t="str">
        <f>IFERROR(__xludf.DUMMYFUNCTION("""COMPUTED_VALUE"""),"Mastery: Sap")</f>
        <v>Mastery: Sap</v>
      </c>
      <c r="I40" s="8" t="str">
        <f>IFERROR(__xludf.DUMMYFUNCTION("""COMPUTED_VALUE"""),"Versatile. A Versatile weapon can be used with one or two hands. A damage value in parentheses appears with the property. The weapon deals that damage when used with two hands to make a melee attack. Mastery: Sap. If you hit a creature with this weapon, t"&amp;"hat creature has Disadvantage on its next attack roll before the start of your next turn.")</f>
        <v>Versatile. A Versatile weapon can be used with one or two hands. A damage value in parentheses appears with the property. The weapon deals that damage when used with two hands to make a melee attack. Mastery: Sap. If you hit a creature with this weapon, that creature has Disadvantage on its next attack roll before the start of your next turn.</v>
      </c>
      <c r="J40" s="8" t="str">
        <f>IFERROR(__xludf.DUMMYFUNCTION("""COMPUTED_VALUE"""),"Free to Guild Adventurers with Item Proficiency")</f>
        <v>Free to Guild Adventurers with Item Proficiency</v>
      </c>
    </row>
    <row r="41">
      <c r="A41" s="10" t="str">
        <f>IFERROR(__xludf.DUMMYFUNCTION("""COMPUTED_VALUE"""),"Warhammer")</f>
        <v>Warhammer</v>
      </c>
      <c r="B41" s="10" t="str">
        <f>IFERROR(__xludf.DUMMYFUNCTION("""COMPUTED_VALUE"""),"PHB'24")</f>
        <v>PHB'24</v>
      </c>
      <c r="C41" s="10" t="str">
        <f>IFERROR(__xludf.DUMMYFUNCTION("""COMPUTED_VALUE"""),"none")</f>
        <v>none</v>
      </c>
      <c r="D41" s="10" t="str">
        <f>IFERROR(__xludf.DUMMYFUNCTION("""COMPUTED_VALUE"""),"Martial Weapon, Melee Weapon")</f>
        <v>Martial Weapon, Melee Weapon</v>
      </c>
      <c r="E41" s="10"/>
      <c r="F41" s="10" t="str">
        <f>IFERROR(__xludf.DUMMYFUNCTION("""COMPUTED_VALUE"""),"1d8 Bludgeoning")</f>
        <v>1d8 Bludgeoning</v>
      </c>
      <c r="G41" s="10" t="str">
        <f>IFERROR(__xludf.DUMMYFUNCTION("""COMPUTED_VALUE"""),"Versatile (1d10)")</f>
        <v>Versatile (1d10)</v>
      </c>
      <c r="H41" s="10" t="str">
        <f>IFERROR(__xludf.DUMMYFUNCTION("""COMPUTED_VALUE"""),"Mastery: Push")</f>
        <v>Mastery: Push</v>
      </c>
      <c r="I41" s="10" t="str">
        <f>IFERROR(__xludf.DUMMYFUNCTION("""COMPUTED_VALUE"""),"Versatile. A Versatile weapon can be used with one or two hands. A damage value in parentheses appears with the property. The weapon deals that damage when used with two hands to make a melee attack. Mastery: Push. If you hit a creature with this weapon, "&amp;"you can push the creature up to 10 feet straight away from yourself if it is Large or smaller.")</f>
        <v>Versatile. A Versatile weapon can be used with one or two hands. A damage value in parentheses appears with the property. The weapon deals that damage when used with two hands to make a melee attack. Mastery: Push. If you hit a creature with this weapon, you can push the creature up to 10 feet straight away from yourself if it is Large or smaller.</v>
      </c>
      <c r="J41" s="10" t="str">
        <f>IFERROR(__xludf.DUMMYFUNCTION("""COMPUTED_VALUE"""),"Free to Guild Adventurers with Item Proficiency")</f>
        <v>Free to Guild Adventurers with Item Proficiency</v>
      </c>
    </row>
    <row r="42">
      <c r="A42" s="8" t="str">
        <f>IFERROR(__xludf.DUMMYFUNCTION("""COMPUTED_VALUE"""),"Whip")</f>
        <v>Whip</v>
      </c>
      <c r="B42" s="8" t="str">
        <f>IFERROR(__xludf.DUMMYFUNCTION("""COMPUTED_VALUE"""),"PHB'24")</f>
        <v>PHB'24</v>
      </c>
      <c r="C42" s="8" t="str">
        <f>IFERROR(__xludf.DUMMYFUNCTION("""COMPUTED_VALUE"""),"none")</f>
        <v>none</v>
      </c>
      <c r="D42" s="8" t="str">
        <f>IFERROR(__xludf.DUMMYFUNCTION("""COMPUTED_VALUE"""),"Martial Weapon, Melee Weapon")</f>
        <v>Martial Weapon, Melee Weapon</v>
      </c>
      <c r="E42" s="8"/>
      <c r="F42" s="8" t="str">
        <f>IFERROR(__xludf.DUMMYFUNCTION("""COMPUTED_VALUE"""),"1d4 Slashing")</f>
        <v>1d4 Slashing</v>
      </c>
      <c r="G42" s="8" t="str">
        <f>IFERROR(__xludf.DUMMYFUNCTION("""COMPUTED_VALUE"""),"Finesse, Reach")</f>
        <v>Finesse, Reach</v>
      </c>
      <c r="H42" s="8" t="str">
        <f>IFERROR(__xludf.DUMMYFUNCTION("""COMPUTED_VALUE"""),"Mastery: Slow")</f>
        <v>Mastery: Slow</v>
      </c>
      <c r="I42" s="8" t="str">
        <f>IFERROR(__xludf.DUMMYFUNCTION("""COMPUTED_VALUE"""),"Finesse. When making an attack with a Finesse weapon, use your choice of your Strength or Dexterity modifier for the attack and damage rolls. You must use the same modifier for both rolls. Reach. A Reach weapon adds 5 feet to your reach when you attack wi"&amp;"th it, as well as when determining your reach for Opportunity Attacks with it. Mastery: Slow. If you hit a creature with this weapon and deal damage to it, you can reduce its Speed by 10 feet until the start of your next turn. If the creature is hit more "&amp;"than once by weapons that have this property, the Speed reduction doesn't exceed 10 feet.")</f>
        <v>Finesse. When making an attack with a Finesse weapon, use your choice of your Strength or Dexterity modifier for the attack and damage rolls. You must use the same modifier for both rolls. Reach. A Reach weapon adds 5 feet to your reach when you attack with it, as well as when determining your reach for Opportunity Attacks with it. Mastery: Slow. If you hit a creature with this weapon and deal damage to it, you can reduce its Speed by 10 feet until the start of your next turn. If the creature is hit more than once by weapons that have this property, the Speed reduction doesn't exceed 10 feet.</v>
      </c>
      <c r="J42" s="8" t="str">
        <f>IFERROR(__xludf.DUMMYFUNCTION("""COMPUTED_VALUE"""),"Free to Guild Adventurers with Item Proficiency")</f>
        <v>Free to Guild Adventurers with Item Proficiency</v>
      </c>
    </row>
    <row r="43">
      <c r="A43" s="12"/>
      <c r="B43" s="12"/>
      <c r="C43" s="12"/>
      <c r="D43" s="12"/>
      <c r="E43" s="12"/>
      <c r="F43" s="12"/>
      <c r="G43" s="12"/>
      <c r="H43" s="12"/>
      <c r="I43" s="12"/>
      <c r="J43" s="12"/>
    </row>
    <row r="44">
      <c r="A44" s="6" t="s">
        <v>15</v>
      </c>
      <c r="J44" s="13"/>
    </row>
    <row r="45">
      <c r="A45" s="8" t="str">
        <f>IFERROR(__xludf.DUMMYFUNCTION("FILTER(MasterList_Hidden!A:J,Search(""Simple Weapon, Ranged Weapon"",MasterList_Hidden!D:D),MasterList_Hidden!C:C=""none"",Search(""Free"",MasterList_Hidden!J:J))"),"Dart")</f>
        <v>Dart</v>
      </c>
      <c r="B45" s="8" t="str">
        <f>IFERROR(__xludf.DUMMYFUNCTION("""COMPUTED_VALUE"""),"PHB'24")</f>
        <v>PHB'24</v>
      </c>
      <c r="C45" s="8" t="str">
        <f>IFERROR(__xludf.DUMMYFUNCTION("""COMPUTED_VALUE"""),"none")</f>
        <v>none</v>
      </c>
      <c r="D45" s="8" t="str">
        <f>IFERROR(__xludf.DUMMYFUNCTION("""COMPUTED_VALUE"""),"Simple Weapon, Ranged Weapon")</f>
        <v>Simple Weapon, Ranged Weapon</v>
      </c>
      <c r="E45" s="8"/>
      <c r="F45" s="8" t="str">
        <f>IFERROR(__xludf.DUMMYFUNCTION("""COMPUTED_VALUE"""),"1d4 Piercing")</f>
        <v>1d4 Piercing</v>
      </c>
      <c r="G45" s="8" t="str">
        <f>IFERROR(__xludf.DUMMYFUNCTION("""COMPUTED_VALUE"""),"Finesse, Thrown (20/60 ft.)")</f>
        <v>Finesse, Thrown (20/60 ft.)</v>
      </c>
      <c r="H45" s="8" t="str">
        <f>IFERROR(__xludf.DUMMYFUNCTION("""COMPUTED_VALUE"""),"Mastery: Vex")</f>
        <v>Mastery: Vex</v>
      </c>
      <c r="I45" s="8"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Finesse. When making an attack with a Finesse weapon, use your choice of your Strength or Dexterity modifier for the attack and damage rolls. You must use the same "&amp;"modifier for both rolls. Thrown. If a weapon has the Thrown property, you can throw the weapon to make a ranged attack, and you can draw that weapon as part of the attack. If the weapon is a Melee weapon, use the same ability modifier for the attack and d"&amp;"amage rolls that you use for a melee attack with that weapon. Mastery: Vex. If you hit a creature with this weapon and deal damage to the creature, you have Advantage on your next attack roll against that creature before the end of your next turn.")</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Finesse. When making an attack with a Finesse weapon, use your choice of your Strength or Dexterity modifier for the attack and damage rolls. You must use the same modifier for both rolls.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Vex. If you hit a creature with this weapon and deal damage to the creature, you have Advantage on your next attack roll against that creature before the end of your next turn.</v>
      </c>
      <c r="J45" s="8" t="str">
        <f>IFERROR(__xludf.DUMMYFUNCTION("""COMPUTED_VALUE"""),"Free to Guild Adventurers with Item Proficiency")</f>
        <v>Free to Guild Adventurers with Item Proficiency</v>
      </c>
    </row>
    <row r="46">
      <c r="A46" s="10" t="str">
        <f>IFERROR(__xludf.DUMMYFUNCTION("""COMPUTED_VALUE"""),"Light Crossbow")</f>
        <v>Light Crossbow</v>
      </c>
      <c r="B46" s="10" t="str">
        <f>IFERROR(__xludf.DUMMYFUNCTION("""COMPUTED_VALUE"""),"PHB'24")</f>
        <v>PHB'24</v>
      </c>
      <c r="C46" s="10" t="str">
        <f>IFERROR(__xludf.DUMMYFUNCTION("""COMPUTED_VALUE"""),"none")</f>
        <v>none</v>
      </c>
      <c r="D46" s="10" t="str">
        <f>IFERROR(__xludf.DUMMYFUNCTION("""COMPUTED_VALUE"""),"Simple Weapon, Ranged Weapon")</f>
        <v>Simple Weapon, Ranged Weapon</v>
      </c>
      <c r="E46" s="10"/>
      <c r="F46" s="10" t="str">
        <f>IFERROR(__xludf.DUMMYFUNCTION("""COMPUTED_VALUE"""),"1d8 Piercing")</f>
        <v>1d8 Piercing</v>
      </c>
      <c r="G46" s="10" t="str">
        <f>IFERROR(__xludf.DUMMYFUNCTION("""COMPUTED_VALUE"""),"Ammunition (Range 80/320 ft.; Bolt), Loading, Two Handed")</f>
        <v>Ammunition (Range 80/320 ft.; Bolt), Loading, Two Handed</v>
      </c>
      <c r="H46" s="10" t="str">
        <f>IFERROR(__xludf.DUMMYFUNCTION("""COMPUTED_VALUE"""),"Mastery: Slow")</f>
        <v>Mastery: Slow</v>
      </c>
      <c r="I46" s="10"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Loading. You can fire only one piece of ammunition from a Loading weapon when you use an action, a Bonus Action, or a Reaction to fire it, regardless of the number of attacks you can normally make. Two-Ha"&amp;"nded. A Two-Handed weapon requires two hands when you attack with it. Mastery: Slow. If you hit a creature with this weapon and deal damage to it, you can reduce its Speed by 10 feet until the start of your next turn. If the creature is hit more than once"&amp;" by weapons that have this property, the Speed reduction doesn't exceed 10 feet.")</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Two-Handed. A Two-Handed weapon requires two hands when you attack with it. Mastery: Slow. If you hit a creature with this weapon and deal damage to it, you can reduce its Speed by 10 feet until the start of your next turn. If the creature is hit more than once by weapons that have this property, the Speed reduction doesn't exceed 10 feet.</v>
      </c>
      <c r="J46" s="10" t="str">
        <f>IFERROR(__xludf.DUMMYFUNCTION("""COMPUTED_VALUE"""),"Free to Guild Adventurers with Item Proficiency")</f>
        <v>Free to Guild Adventurers with Item Proficiency</v>
      </c>
    </row>
    <row r="47">
      <c r="A47" s="8" t="str">
        <f>IFERROR(__xludf.DUMMYFUNCTION("""COMPUTED_VALUE"""),"Shortbow")</f>
        <v>Shortbow</v>
      </c>
      <c r="B47" s="8" t="str">
        <f>IFERROR(__xludf.DUMMYFUNCTION("""COMPUTED_VALUE"""),"PHB'24")</f>
        <v>PHB'24</v>
      </c>
      <c r="C47" s="8" t="str">
        <f>IFERROR(__xludf.DUMMYFUNCTION("""COMPUTED_VALUE"""),"none")</f>
        <v>none</v>
      </c>
      <c r="D47" s="8" t="str">
        <f>IFERROR(__xludf.DUMMYFUNCTION("""COMPUTED_VALUE"""),"Simple Weapon, Ranged Weapon")</f>
        <v>Simple Weapon, Ranged Weapon</v>
      </c>
      <c r="E47" s="8"/>
      <c r="F47" s="8" t="str">
        <f>IFERROR(__xludf.DUMMYFUNCTION("""COMPUTED_VALUE"""),"1d6 Piercing")</f>
        <v>1d6 Piercing</v>
      </c>
      <c r="G47" s="8" t="str">
        <f>IFERROR(__xludf.DUMMYFUNCTION("""COMPUTED_VALUE"""),"Ammunition (Range 80/320 ft.; Arrow), Two Handed")</f>
        <v>Ammunition (Range 80/320 ft.; Arrow), Two Handed</v>
      </c>
      <c r="H47" s="8" t="str">
        <f>IFERROR(__xludf.DUMMYFUNCTION("""COMPUTED_VALUE"""),"Mastery: Vex")</f>
        <v>Mastery: Vex</v>
      </c>
      <c r="I47" s="8"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Two-Handed. A Two-Handed weapon requires two hands when you attack with it. Mastery: Vex. If you hit a creature with this weapon and deal damage to the creature, you have Advantage on your next attack rol"&amp;"l against that creature before the end of your next turn.")</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Two-Handed. A Two-Handed weapon requires two hands when you attack with it. Mastery: Vex. If you hit a creature with this weapon and deal damage to the creature, you have Advantage on your next attack roll against that creature before the end of your next turn.</v>
      </c>
      <c r="J47" s="8" t="str">
        <f>IFERROR(__xludf.DUMMYFUNCTION("""COMPUTED_VALUE"""),"Free to Guild Adventurers with Item Proficiency")</f>
        <v>Free to Guild Adventurers with Item Proficiency</v>
      </c>
    </row>
    <row r="48">
      <c r="A48" s="10" t="str">
        <f>IFERROR(__xludf.DUMMYFUNCTION("""COMPUTED_VALUE"""),"Sling")</f>
        <v>Sling</v>
      </c>
      <c r="B48" s="10" t="str">
        <f>IFERROR(__xludf.DUMMYFUNCTION("""COMPUTED_VALUE"""),"PHB'24")</f>
        <v>PHB'24</v>
      </c>
      <c r="C48" s="10" t="str">
        <f>IFERROR(__xludf.DUMMYFUNCTION("""COMPUTED_VALUE"""),"none")</f>
        <v>none</v>
      </c>
      <c r="D48" s="10" t="str">
        <f>IFERROR(__xludf.DUMMYFUNCTION("""COMPUTED_VALUE"""),"Simple Weapon, Ranged Weapon")</f>
        <v>Simple Weapon, Ranged Weapon</v>
      </c>
      <c r="E48" s="10"/>
      <c r="F48" s="10" t="str">
        <f>IFERROR(__xludf.DUMMYFUNCTION("""COMPUTED_VALUE"""),"1d4 Bludgeoning")</f>
        <v>1d4 Bludgeoning</v>
      </c>
      <c r="G48" s="10" t="str">
        <f>IFERROR(__xludf.DUMMYFUNCTION("""COMPUTED_VALUE"""),"Ammunition (Range 30/120 ft.; Sling Bullet)")</f>
        <v>Ammunition (Range 30/120 ft.; Sling Bullet)</v>
      </c>
      <c r="H48" s="10" t="str">
        <f>IFERROR(__xludf.DUMMYFUNCTION("""COMPUTED_VALUE"""),"Mastery: Slow")</f>
        <v>Mastery: Slow</v>
      </c>
      <c r="I48" s="10"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Mastery: Slow. If you hit a creature with this weapon and deal damage to it, you can reduce its Speed by 10 feet until the start of your next turn. If the creature is hit more than once by weapons that ha"&amp;"ve this property, the Speed reduction doesn't exceed 10 feet.")</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Mastery: Slow. If you hit a creature with this weapon and deal damage to it, you can reduce its Speed by 10 feet until the start of your next turn. If the creature is hit more than once by weapons that have this property, the Speed reduction doesn't exceed 10 feet.</v>
      </c>
      <c r="J48" s="10" t="str">
        <f>IFERROR(__xludf.DUMMYFUNCTION("""COMPUTED_VALUE"""),"Free to Guild Adventurers with Item Proficiency")</f>
        <v>Free to Guild Adventurers with Item Proficiency</v>
      </c>
    </row>
    <row r="49">
      <c r="A49" s="12"/>
      <c r="B49" s="12"/>
      <c r="C49" s="12"/>
      <c r="D49" s="12"/>
      <c r="E49" s="12"/>
      <c r="F49" s="12"/>
      <c r="G49" s="12"/>
      <c r="H49" s="12"/>
      <c r="I49" s="12"/>
      <c r="J49" s="12"/>
    </row>
    <row r="50">
      <c r="A50" s="6" t="s">
        <v>16</v>
      </c>
      <c r="J50" s="13"/>
    </row>
    <row r="51">
      <c r="A51" s="8" t="str">
        <f>IFERROR(__xludf.DUMMYFUNCTION("FILTER(MasterList_Hidden!A:J,Search(""Martial Weapon, Ranged Weapon"",MasterList_Hidden!D:D),MasterList_Hidden!C:C=""none"",Search(""Free"",MasterList_Hidden!J:J))"),"Blowgun")</f>
        <v>Blowgun</v>
      </c>
      <c r="B51" s="8" t="str">
        <f>IFERROR(__xludf.DUMMYFUNCTION("""COMPUTED_VALUE"""),"PHB'24")</f>
        <v>PHB'24</v>
      </c>
      <c r="C51" s="8" t="str">
        <f>IFERROR(__xludf.DUMMYFUNCTION("""COMPUTED_VALUE"""),"none")</f>
        <v>none</v>
      </c>
      <c r="D51" s="8" t="str">
        <f>IFERROR(__xludf.DUMMYFUNCTION("""COMPUTED_VALUE"""),"Martial Weapon, Ranged Weapon")</f>
        <v>Martial Weapon, Ranged Weapon</v>
      </c>
      <c r="E51" s="8"/>
      <c r="F51" s="8" t="str">
        <f>IFERROR(__xludf.DUMMYFUNCTION("""COMPUTED_VALUE"""),"1 Piercing")</f>
        <v>1 Piercing</v>
      </c>
      <c r="G51" s="8" t="str">
        <f>IFERROR(__xludf.DUMMYFUNCTION("""COMPUTED_VALUE"""),"Ammunition (Range 25/100 ft.; Needle), Loading")</f>
        <v>Ammunition (Range 25/100 ft.; Needle), Loading</v>
      </c>
      <c r="H51" s="8" t="str">
        <f>IFERROR(__xludf.DUMMYFUNCTION("""COMPUTED_VALUE"""),"Mastery: Vex")</f>
        <v>Mastery: Vex</v>
      </c>
      <c r="I51" s="8"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Loading. You can fire only one piece of ammunition from a Loading weapon when you use an action, a Bonus Action, or a Reaction to fire it, regardless of the number of attacks you can normally make. Master"&amp;"y: Vex. If you hit a creature with this weapon and deal damage to the creature, you have Advantage on your next attack roll against that creature before the end of your next turn.")</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Mastery: Vex. If you hit a creature with this weapon and deal damage to the creature, you have Advantage on your next attack roll against that creature before the end of your next turn.</v>
      </c>
      <c r="J51" s="8" t="str">
        <f>IFERROR(__xludf.DUMMYFUNCTION("""COMPUTED_VALUE"""),"Free to Guild Adventurers with Item Proficiency")</f>
        <v>Free to Guild Adventurers with Item Proficiency</v>
      </c>
    </row>
    <row r="52">
      <c r="A52" s="10" t="str">
        <f>IFERROR(__xludf.DUMMYFUNCTION("""COMPUTED_VALUE"""),"Hand Crossbow")</f>
        <v>Hand Crossbow</v>
      </c>
      <c r="B52" s="10" t="str">
        <f>IFERROR(__xludf.DUMMYFUNCTION("""COMPUTED_VALUE"""),"PHB'24")</f>
        <v>PHB'24</v>
      </c>
      <c r="C52" s="10" t="str">
        <f>IFERROR(__xludf.DUMMYFUNCTION("""COMPUTED_VALUE"""),"none")</f>
        <v>none</v>
      </c>
      <c r="D52" s="10" t="str">
        <f>IFERROR(__xludf.DUMMYFUNCTION("""COMPUTED_VALUE"""),"Martial Weapon, Ranged Weapon")</f>
        <v>Martial Weapon, Ranged Weapon</v>
      </c>
      <c r="E52" s="10"/>
      <c r="F52" s="10" t="str">
        <f>IFERROR(__xludf.DUMMYFUNCTION("""COMPUTED_VALUE"""),"1d6 Piercing")</f>
        <v>1d6 Piercing</v>
      </c>
      <c r="G52" s="10" t="str">
        <f>IFERROR(__xludf.DUMMYFUNCTION("""COMPUTED_VALUE"""),"Ammunition (Range 30/120 ft.; Bolt), Light, Loading")</f>
        <v>Ammunition (Range 30/120 ft.; Bolt), Light, Loading</v>
      </c>
      <c r="H52" s="10" t="str">
        <f>IFERROR(__xludf.DUMMYFUNCTION("""COMPUTED_VALUE"""),"Mastery: Vex")</f>
        <v>Mastery: Vex</v>
      </c>
      <c r="I52" s="10"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Light. When you take the Attack action on your turn and attack with a Light weapon, you can make one extra attack as a Bonus Action later on the same turn. That extra attack must be made with a different "&amp;"Light weapon, and you don't add your ability modifier to the extra attack's damage unless that modifier is negative. For example, you can attack with a Shortsword in one hand and a Dagger in the other using the Attack action and a Bonus Action, but you do"&amp;"n't add your Strength or Dexterity modifier to the damage roll of the Bonus Action unless that modifier is negative. Loading. You can fire only one piece of ammunition from a Loading weapon when you use an action, a Bonus Action, or a Reaction to fire it,"&amp;" regardless of the number of attacks you can normally make. Mastery: Vex. If you hit a creature with this weapon and deal damage to the creature, you have Advantage on your next attack roll against that creature before the end of your next turn.")</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Loading. You can fire only one piece of ammunition from a Loading weapon when you use an action, a Bonus Action, or a Reaction to fire it, regardless of the number of attacks you can normally make. Mastery: Vex. If you hit a creature with this weapon and deal damage to the creature, you have Advantage on your next attack roll against that creature before the end of your next turn.</v>
      </c>
      <c r="J52" s="10" t="str">
        <f>IFERROR(__xludf.DUMMYFUNCTION("""COMPUTED_VALUE"""),"Free to Guild Adventurers with Item Proficiency")</f>
        <v>Free to Guild Adventurers with Item Proficiency</v>
      </c>
    </row>
    <row r="53">
      <c r="A53" s="8" t="str">
        <f>IFERROR(__xludf.DUMMYFUNCTION("""COMPUTED_VALUE"""),"Heavy Crossbow")</f>
        <v>Heavy Crossbow</v>
      </c>
      <c r="B53" s="8" t="str">
        <f>IFERROR(__xludf.DUMMYFUNCTION("""COMPUTED_VALUE"""),"PHB'24")</f>
        <v>PHB'24</v>
      </c>
      <c r="C53" s="8" t="str">
        <f>IFERROR(__xludf.DUMMYFUNCTION("""COMPUTED_VALUE"""),"none")</f>
        <v>none</v>
      </c>
      <c r="D53" s="8" t="str">
        <f>IFERROR(__xludf.DUMMYFUNCTION("""COMPUTED_VALUE"""),"Martial Weapon, Ranged Weapon")</f>
        <v>Martial Weapon, Ranged Weapon</v>
      </c>
      <c r="E53" s="8"/>
      <c r="F53" s="8" t="str">
        <f>IFERROR(__xludf.DUMMYFUNCTION("""COMPUTED_VALUE"""),"1d10 Piercing")</f>
        <v>1d10 Piercing</v>
      </c>
      <c r="G53" s="8" t="str">
        <f>IFERROR(__xludf.DUMMYFUNCTION("""COMPUTED_VALUE"""),"Ammunition (Range 100/400 ft.; Bolt), Heavy, Loading, Two Handed")</f>
        <v>Ammunition (Range 100/400 ft.; Bolt), Heavy, Loading, Two Handed</v>
      </c>
      <c r="H53" s="8" t="str">
        <f>IFERROR(__xludf.DUMMYFUNCTION("""COMPUTED_VALUE"""),"Mastery: Push")</f>
        <v>Mastery: Push</v>
      </c>
      <c r="I53" s="8"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Heavy. You have Disadvantage on attack rolls with a Heavy weapon if it's a Melee weapon and your Strength score isn't at least 13 or if it's a Ranged weapon and your Dexterity score isn't at least 13. Loa"&amp;"ding. You can fire only one piece of ammunition from a Loading weapon when you use an action, a Bonus Action, or a Reaction to fire it, regardless of the number of attacks you can normally make. Two-Handed. A Two-Handed weapon requires two hands when you "&amp;"attack with it. Mastery: Push. If you hit a creature with this weapon, you can push the creature up to 10 feet straight away from yourself if it is Large or smaller.")</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Loading. You can fire only one piece of ammunition from a Loading weapon when you use an action, a Bonus Action, or a Reaction to fire it, regardless of the number of attacks you can normally make. Two-Handed. A Two-Handed weapon requires two hands when you attack with it. Mastery: Push. If you hit a creature with this weapon, you can push the creature up to 10 feet straight away from yourself if it is Large or smaller.</v>
      </c>
      <c r="J53" s="8" t="str">
        <f>IFERROR(__xludf.DUMMYFUNCTION("""COMPUTED_VALUE"""),"Free to Guild Adventurers with Item Proficiency")</f>
        <v>Free to Guild Adventurers with Item Proficiency</v>
      </c>
    </row>
    <row r="54">
      <c r="A54" s="10" t="str">
        <f>IFERROR(__xludf.DUMMYFUNCTION("""COMPUTED_VALUE"""),"Longbow")</f>
        <v>Longbow</v>
      </c>
      <c r="B54" s="10" t="str">
        <f>IFERROR(__xludf.DUMMYFUNCTION("""COMPUTED_VALUE"""),"PHB'24")</f>
        <v>PHB'24</v>
      </c>
      <c r="C54" s="10" t="str">
        <f>IFERROR(__xludf.DUMMYFUNCTION("""COMPUTED_VALUE"""),"none")</f>
        <v>none</v>
      </c>
      <c r="D54" s="10" t="str">
        <f>IFERROR(__xludf.DUMMYFUNCTION("""COMPUTED_VALUE"""),"Martial Weapon, Ranged Weapon")</f>
        <v>Martial Weapon, Ranged Weapon</v>
      </c>
      <c r="E54" s="10"/>
      <c r="F54" s="10" t="str">
        <f>IFERROR(__xludf.DUMMYFUNCTION("""COMPUTED_VALUE"""),"1d8 Piercing")</f>
        <v>1d8 Piercing</v>
      </c>
      <c r="G54" s="10" t="str">
        <f>IFERROR(__xludf.DUMMYFUNCTION("""COMPUTED_VALUE"""),"Ammunition (Range 150/600 ft.; Arrow), Heavy, Two Handed")</f>
        <v>Ammunition (Range 150/600 ft.; Arrow), Heavy, Two Handed</v>
      </c>
      <c r="H54" s="10" t="str">
        <f>IFERROR(__xludf.DUMMYFUNCTION("""COMPUTED_VALUE"""),"Mastery: Slow")</f>
        <v>Mastery: Slow</v>
      </c>
      <c r="I54" s="10" t="str">
        <f>IFERROR(__xludf.DUMMYFUNCTION("""COMPUTED_VALUE"""),"Range. A Range weapon has a range in parentheses after the Ammunition or Thrown property. The range lists two numbers. The first is the weapon's normal range in feet, and the second is the weapon's long range. When attacking a target beyond normal range, "&amp;"you have Disadvantage on the attack roll. You can't attack a target beyond the long range. Ammunition. You can use a weapon that has the Ammunition property to make a ranged attack only if you have ammunition to fire from it. The type of ammunition requir"&amp;"ed is specified with the weapon's range. Each attack expends one piece of ammunition. Drawing the ammunition is part of the attack (you need a free hand to load a one-handed weapon). After a fight, you can spend 1 minute to recover half the ammunition (ro"&amp;"und down) you used in the fight; the rest is lost. Heavy. You have Disadvantage on attack rolls with a Heavy weapon if it's a Melee weapon and your Strength score isn't at least 13 or if it's a Ranged weapon and your Dexterity score isn't at least 13. Two"&amp;"-Handed. A Two-Handed weapon requires two hands when you attack with it. Mastery: Slow. If you hit a creature with this weapon and deal damage to it, you can reduce its Speed by 10 feet until the start of your next turn. If the creature is hit more than o"&amp;"nce by weapons that have this property, the Speed reduction doesn't exceed 10 feet.")</f>
        <v>Range. 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Two-Handed. A Two-Handed weapon requires two hands when you attack with it. Mastery: Slow. If you hit a creature with this weapon and deal damage to it, you can reduce its Speed by 10 feet until the start of your next turn. If the creature is hit more than once by weapons that have this property, the Speed reduction doesn't exceed 10 feet.</v>
      </c>
      <c r="J54" s="10" t="str">
        <f>IFERROR(__xludf.DUMMYFUNCTION("""COMPUTED_VALUE"""),"Free to Guild Adventurers with Item Proficiency")</f>
        <v>Free to Guild Adventurers with Item Proficiency</v>
      </c>
    </row>
    <row r="55">
      <c r="A55" s="12"/>
      <c r="B55" s="12"/>
      <c r="C55" s="12"/>
      <c r="D55" s="12"/>
      <c r="E55" s="12"/>
      <c r="F55" s="12"/>
      <c r="G55" s="12"/>
      <c r="H55" s="12"/>
      <c r="I55" s="12"/>
      <c r="J55" s="12"/>
    </row>
    <row r="56">
      <c r="A56" s="6" t="s">
        <v>14</v>
      </c>
      <c r="J56" s="13"/>
    </row>
    <row r="57">
      <c r="A57" s="8" t="str">
        <f>IFERROR(__xludf.DUMMYFUNCTION("FILTER(MasterList_Hidden!A:J,Search(A56,MasterList_Hidden!D:D),MasterList_Hidden!C:C=""none"")"),"Leather Armor")</f>
        <v>Leather Armor</v>
      </c>
      <c r="B57" s="8" t="str">
        <f>IFERROR(__xludf.DUMMYFUNCTION("""COMPUTED_VALUE"""),"PHB'24")</f>
        <v>PHB'24</v>
      </c>
      <c r="C57" s="8" t="str">
        <f>IFERROR(__xludf.DUMMYFUNCTION("""COMPUTED_VALUE"""),"none")</f>
        <v>none</v>
      </c>
      <c r="D57" s="8" t="str">
        <f>IFERROR(__xludf.DUMMYFUNCTION("""COMPUTED_VALUE"""),"Light Armor")</f>
        <v>Light Armor</v>
      </c>
      <c r="E57" s="8"/>
      <c r="F57" s="8" t="str">
        <f>IFERROR(__xludf.DUMMYFUNCTION("""COMPUTED_VALUE"""),"AC 11 + Dex")</f>
        <v>AC 11 + Dex</v>
      </c>
      <c r="G57" s="8"/>
      <c r="H57" s="8"/>
      <c r="I57" s="8" t="str">
        <f>IFERROR(__xludf.DUMMYFUNCTION("""COMPUTED_VALUE"""),"The breastplate and shoulder protectors of this armor are made of leather that has been stiffened by being boiled in oil. The rest of the armor is made of softer and more flexible materials.")</f>
        <v>The breastplate and shoulder protectors of this armor are made of leather that has been stiffened by being boiled in oil. The rest of the armor is made of softer and more flexible materials.</v>
      </c>
      <c r="J57" s="8" t="str">
        <f>IFERROR(__xludf.DUMMYFUNCTION("""COMPUTED_VALUE"""),"Free to Guild Adventurers with Item Proficiency")</f>
        <v>Free to Guild Adventurers with Item Proficiency</v>
      </c>
    </row>
    <row r="58">
      <c r="A58" s="10" t="str">
        <f>IFERROR(__xludf.DUMMYFUNCTION("""COMPUTED_VALUE"""),"Padded Armor")</f>
        <v>Padded Armor</v>
      </c>
      <c r="B58" s="10" t="str">
        <f>IFERROR(__xludf.DUMMYFUNCTION("""COMPUTED_VALUE"""),"PHB'24")</f>
        <v>PHB'24</v>
      </c>
      <c r="C58" s="10" t="str">
        <f>IFERROR(__xludf.DUMMYFUNCTION("""COMPUTED_VALUE"""),"none")</f>
        <v>none</v>
      </c>
      <c r="D58" s="10" t="str">
        <f>IFERROR(__xludf.DUMMYFUNCTION("""COMPUTED_VALUE"""),"Light Armor")</f>
        <v>Light Armor</v>
      </c>
      <c r="E58" s="10"/>
      <c r="F58" s="10" t="str">
        <f>IFERROR(__xludf.DUMMYFUNCTION("""COMPUTED_VALUE"""),"AC 11 + Dex")</f>
        <v>AC 11 + Dex</v>
      </c>
      <c r="G58" s="10"/>
      <c r="H58" s="10"/>
      <c r="I58" s="10" t="str">
        <f>IFERROR(__xludf.DUMMYFUNCTION("""COMPUTED_VALUE"""),"The wearer has Disadvantage on Dexterity (Stealth) checks.")</f>
        <v>The wearer has Disadvantage on Dexterity (Stealth) checks.</v>
      </c>
      <c r="J58" s="10" t="str">
        <f>IFERROR(__xludf.DUMMYFUNCTION("""COMPUTED_VALUE"""),"Free to Guild Adventurers with Item Proficiency")</f>
        <v>Free to Guild Adventurers with Item Proficiency</v>
      </c>
    </row>
    <row r="59">
      <c r="A59" s="8" t="str">
        <f>IFERROR(__xludf.DUMMYFUNCTION("""COMPUTED_VALUE"""),"Studded Leather Armor")</f>
        <v>Studded Leather Armor</v>
      </c>
      <c r="B59" s="8" t="str">
        <f>IFERROR(__xludf.DUMMYFUNCTION("""COMPUTED_VALUE"""),"PHB'24")</f>
        <v>PHB'24</v>
      </c>
      <c r="C59" s="8" t="str">
        <f>IFERROR(__xludf.DUMMYFUNCTION("""COMPUTED_VALUE"""),"none")</f>
        <v>none</v>
      </c>
      <c r="D59" s="8" t="str">
        <f>IFERROR(__xludf.DUMMYFUNCTION("""COMPUTED_VALUE"""),"Light Armor")</f>
        <v>Light Armor</v>
      </c>
      <c r="E59" s="8"/>
      <c r="F59" s="8" t="str">
        <f>IFERROR(__xludf.DUMMYFUNCTION("""COMPUTED_VALUE"""),"AC 12 + Dex")</f>
        <v>AC 12 + Dex</v>
      </c>
      <c r="G59" s="8"/>
      <c r="H59" s="8"/>
      <c r="I59" s="8" t="str">
        <f>IFERROR(__xludf.DUMMYFUNCTION("""COMPUTED_VALUE"""),"Made from tough but flexible leather, studded leather is reinforced with close-set rivets or spikes.")</f>
        <v>Made from tough but flexible leather, studded leather is reinforced with close-set rivets or spikes.</v>
      </c>
      <c r="J59" s="8">
        <f>IFERROR(__xludf.DUMMYFUNCTION("""COMPUTED_VALUE"""),100.0)</f>
        <v>100</v>
      </c>
    </row>
    <row r="60">
      <c r="A60" s="12"/>
      <c r="B60" s="12"/>
      <c r="C60" s="12"/>
      <c r="D60" s="12"/>
      <c r="E60" s="12"/>
      <c r="F60" s="12"/>
      <c r="G60" s="12"/>
      <c r="H60" s="12"/>
      <c r="I60" s="12"/>
      <c r="J60" s="14"/>
    </row>
    <row r="61">
      <c r="A61" s="6" t="s">
        <v>17</v>
      </c>
      <c r="J61" s="13"/>
    </row>
    <row r="62">
      <c r="A62" s="8" t="str">
        <f>IFERROR(__xludf.DUMMYFUNCTION("FILTER(MasterList_Hidden!A:J,Search(A61,MasterList_Hidden!D:D),MasterList_Hidden!C:C=""none"")"),"Chain Shirt")</f>
        <v>Chain Shirt</v>
      </c>
      <c r="B62" s="8" t="str">
        <f>IFERROR(__xludf.DUMMYFUNCTION("""COMPUTED_VALUE"""),"PHB'24")</f>
        <v>PHB'24</v>
      </c>
      <c r="C62" s="8" t="str">
        <f>IFERROR(__xludf.DUMMYFUNCTION("""COMPUTED_VALUE"""),"none")</f>
        <v>none</v>
      </c>
      <c r="D62" s="8" t="str">
        <f>IFERROR(__xludf.DUMMYFUNCTION("""COMPUTED_VALUE"""),"Medium Armor")</f>
        <v>Medium Armor</v>
      </c>
      <c r="E62" s="8"/>
      <c r="F62" s="8" t="str">
        <f>IFERROR(__xludf.DUMMYFUNCTION("""COMPUTED_VALUE"""),"AC 13 + Dex (max 2)")</f>
        <v>AC 13 + Dex (max 2)</v>
      </c>
      <c r="G62" s="8"/>
      <c r="H62" s="8"/>
      <c r="I62" s="8" t="str">
        <f>IFERROR(__xludf.DUMMYFUNCTION("""COMPUTED_VALUE"""),"Made of interlocking metal rings, a chain shirt is worn between layers of clothing or leather. This armor offers modest protection to the wearer's upper body and allows the sound of the rings rubbing against one another to be muffled by outer layers.")</f>
        <v>Made of interlocking metal rings, a chain shirt is worn between layers of clothing or leather. This armor offers modest protection to the wearer's upper body and allows the sound of the rings rubbing against one another to be muffled by outer layers.</v>
      </c>
      <c r="J62" s="8" t="str">
        <f>IFERROR(__xludf.DUMMYFUNCTION("""COMPUTED_VALUE"""),"Free to Guild Adventurers with Item Proficiency")</f>
        <v>Free to Guild Adventurers with Item Proficiency</v>
      </c>
    </row>
    <row r="63">
      <c r="A63" s="10" t="str">
        <f>IFERROR(__xludf.DUMMYFUNCTION("""COMPUTED_VALUE"""),"Hide Armor")</f>
        <v>Hide Armor</v>
      </c>
      <c r="B63" s="10" t="str">
        <f>IFERROR(__xludf.DUMMYFUNCTION("""COMPUTED_VALUE"""),"PHB'24")</f>
        <v>PHB'24</v>
      </c>
      <c r="C63" s="10" t="str">
        <f>IFERROR(__xludf.DUMMYFUNCTION("""COMPUTED_VALUE"""),"none")</f>
        <v>none</v>
      </c>
      <c r="D63" s="10" t="str">
        <f>IFERROR(__xludf.DUMMYFUNCTION("""COMPUTED_VALUE"""),"Medium Armor")</f>
        <v>Medium Armor</v>
      </c>
      <c r="E63" s="10"/>
      <c r="F63" s="10" t="str">
        <f>IFERROR(__xludf.DUMMYFUNCTION("""COMPUTED_VALUE"""),"AC 12 + Dex (max 2)")</f>
        <v>AC 12 + Dex (max 2)</v>
      </c>
      <c r="G63" s="10"/>
      <c r="H63" s="10"/>
      <c r="I63" s="10" t="str">
        <f>IFERROR(__xludf.DUMMYFUNCTION("""COMPUTED_VALUE"""),"This crude armor consists of thick furs and pelts. It is commonly worn by barbarian tribes, evil humanoids, and other folk who lack access to the tools and materials needed to create better armor.")</f>
        <v>This crude armor consists of thick furs and pelts. It is commonly worn by barbarian tribes, evil humanoids, and other folk who lack access to the tools and materials needed to create better armor.</v>
      </c>
      <c r="J63" s="10" t="str">
        <f>IFERROR(__xludf.DUMMYFUNCTION("""COMPUTED_VALUE"""),"Free to Guild Adventurers with Item Proficiency")</f>
        <v>Free to Guild Adventurers with Item Proficiency</v>
      </c>
    </row>
    <row r="64">
      <c r="A64" s="8" t="str">
        <f>IFERROR(__xludf.DUMMYFUNCTION("""COMPUTED_VALUE"""),"Scale Mail")</f>
        <v>Scale Mail</v>
      </c>
      <c r="B64" s="8" t="str">
        <f>IFERROR(__xludf.DUMMYFUNCTION("""COMPUTED_VALUE"""),"PHB'24")</f>
        <v>PHB'24</v>
      </c>
      <c r="C64" s="8" t="str">
        <f>IFERROR(__xludf.DUMMYFUNCTION("""COMPUTED_VALUE"""),"none")</f>
        <v>none</v>
      </c>
      <c r="D64" s="8" t="str">
        <f>IFERROR(__xludf.DUMMYFUNCTION("""COMPUTED_VALUE"""),"Medium Armor")</f>
        <v>Medium Armor</v>
      </c>
      <c r="E64" s="8"/>
      <c r="F64" s="8" t="str">
        <f>IFERROR(__xludf.DUMMYFUNCTION("""COMPUTED_VALUE"""),"AC 14 + Dex (max 2)")</f>
        <v>AC 14 + Dex (max 2)</v>
      </c>
      <c r="G64" s="8"/>
      <c r="H64" s="8"/>
      <c r="I64" s="8" t="str">
        <f>IFERROR(__xludf.DUMMYFUNCTION("""COMPUTED_VALUE"""),"The wearer has Disadvantage on Dexterity (Stealth) checks.")</f>
        <v>The wearer has Disadvantage on Dexterity (Stealth) checks.</v>
      </c>
      <c r="J64" s="8">
        <f>IFERROR(__xludf.DUMMYFUNCTION("""COMPUTED_VALUE"""),100.0)</f>
        <v>100</v>
      </c>
    </row>
    <row r="65">
      <c r="A65" s="10" t="str">
        <f>IFERROR(__xludf.DUMMYFUNCTION("""COMPUTED_VALUE"""),"Breastplate")</f>
        <v>Breastplate</v>
      </c>
      <c r="B65" s="10" t="str">
        <f>IFERROR(__xludf.DUMMYFUNCTION("""COMPUTED_VALUE"""),"PHB'24")</f>
        <v>PHB'24</v>
      </c>
      <c r="C65" s="10" t="str">
        <f>IFERROR(__xludf.DUMMYFUNCTION("""COMPUTED_VALUE"""),"none")</f>
        <v>none</v>
      </c>
      <c r="D65" s="10" t="str">
        <f>IFERROR(__xludf.DUMMYFUNCTION("""COMPUTED_VALUE"""),"Medium Armor")</f>
        <v>Medium Armor</v>
      </c>
      <c r="E65" s="10"/>
      <c r="F65" s="10" t="str">
        <f>IFERROR(__xludf.DUMMYFUNCTION("""COMPUTED_VALUE"""),"AC 14 + Dex (max 2)")</f>
        <v>AC 14 + Dex (max 2)</v>
      </c>
      <c r="G65" s="10"/>
      <c r="H65" s="10"/>
      <c r="I65" s="10" t="str">
        <f>IFERROR(__xludf.DUMMYFUNCTION("""COMPUTED_VALUE"""),"This armor consists of a fitted metal chest piece worn with supple leather. Although it leaves the legs and arms relatively unprotected, this armor provides good protection for the wearer's vital organs while leaving the wearer relatively unencumbered.")</f>
        <v>This armor consists of a fitted metal chest piece worn with supple leather. Although it leaves the legs and arms relatively unprotected, this armor provides good protection for the wearer's vital organs while leaving the wearer relatively unencumbered.</v>
      </c>
      <c r="J65" s="10">
        <f>IFERROR(__xludf.DUMMYFUNCTION("""COMPUTED_VALUE"""),300.0)</f>
        <v>300</v>
      </c>
    </row>
    <row r="66">
      <c r="A66" s="8" t="str">
        <f>IFERROR(__xludf.DUMMYFUNCTION("""COMPUTED_VALUE"""),"Half Plate Armor")</f>
        <v>Half Plate Armor</v>
      </c>
      <c r="B66" s="8" t="str">
        <f>IFERROR(__xludf.DUMMYFUNCTION("""COMPUTED_VALUE"""),"PHB'24")</f>
        <v>PHB'24</v>
      </c>
      <c r="C66" s="8" t="str">
        <f>IFERROR(__xludf.DUMMYFUNCTION("""COMPUTED_VALUE"""),"none")</f>
        <v>none</v>
      </c>
      <c r="D66" s="8" t="str">
        <f>IFERROR(__xludf.DUMMYFUNCTION("""COMPUTED_VALUE"""),"Medium Armor")</f>
        <v>Medium Armor</v>
      </c>
      <c r="E66" s="8"/>
      <c r="F66" s="8" t="str">
        <f>IFERROR(__xludf.DUMMYFUNCTION("""COMPUTED_VALUE"""),"AC 15 + Dex (max 2)")</f>
        <v>AC 15 + Dex (max 2)</v>
      </c>
      <c r="G66" s="8"/>
      <c r="H66" s="8"/>
      <c r="I66" s="8" t="str">
        <f>IFERROR(__xludf.DUMMYFUNCTION("""COMPUTED_VALUE"""),"The wearer has Disadvantage on Dexterity (Stealth) checks.")</f>
        <v>The wearer has Disadvantage on Dexterity (Stealth) checks.</v>
      </c>
      <c r="J66" s="8">
        <f>IFERROR(__xludf.DUMMYFUNCTION("""COMPUTED_VALUE"""),300.0)</f>
        <v>300</v>
      </c>
    </row>
    <row r="67">
      <c r="A67" s="12"/>
      <c r="B67" s="12"/>
      <c r="C67" s="12"/>
      <c r="D67" s="12"/>
      <c r="E67" s="12"/>
      <c r="F67" s="12"/>
      <c r="G67" s="12"/>
      <c r="H67" s="12"/>
      <c r="I67" s="12"/>
      <c r="J67" s="12"/>
    </row>
    <row r="68">
      <c r="A68" s="6" t="s">
        <v>20</v>
      </c>
      <c r="J68" s="13"/>
    </row>
    <row r="69">
      <c r="A69" s="8" t="str">
        <f>IFERROR(__xludf.DUMMYFUNCTION("FILTER(MasterList_Hidden!A:J,Search(A68,MasterList_Hidden!D:D),MasterList_Hidden!C:C=""none"")"),"Chain Mail")</f>
        <v>Chain Mail</v>
      </c>
      <c r="B69" s="8" t="str">
        <f>IFERROR(__xludf.DUMMYFUNCTION("""COMPUTED_VALUE"""),"PHB'24")</f>
        <v>PHB'24</v>
      </c>
      <c r="C69" s="8" t="str">
        <f>IFERROR(__xludf.DUMMYFUNCTION("""COMPUTED_VALUE"""),"none")</f>
        <v>none</v>
      </c>
      <c r="D69" s="8" t="str">
        <f>IFERROR(__xludf.DUMMYFUNCTION("""COMPUTED_VALUE"""),"Heavy Armor")</f>
        <v>Heavy Armor</v>
      </c>
      <c r="E69" s="8"/>
      <c r="F69" s="8" t="str">
        <f>IFERROR(__xludf.DUMMYFUNCTION("""COMPUTED_VALUE"""),"AC 16")</f>
        <v>AC 16</v>
      </c>
      <c r="G69" s="8"/>
      <c r="H69" s="8"/>
      <c r="I69" s="8" t="str">
        <f>IFERROR(__xludf.DUMMYFUNCTION("""COMPUTED_VALUE"""),"The wearer has Disadvantage on Dexterity (Stealth) checks.If the wearer has a Strength score lower than 13, their speed is reduced by 10 feet.")</f>
        <v>The wearer has Disadvantage on Dexterity (Stealth) checks.If the wearer has a Strength score lower than 13, their speed is reduced by 10 feet.</v>
      </c>
      <c r="J69" s="8" t="str">
        <f>IFERROR(__xludf.DUMMYFUNCTION("""COMPUTED_VALUE"""),"Free to Guild Adventurers with Item Proficiency")</f>
        <v>Free to Guild Adventurers with Item Proficiency</v>
      </c>
    </row>
    <row r="70">
      <c r="A70" s="11" t="str">
        <f>IFERROR(__xludf.DUMMYFUNCTION("""COMPUTED_VALUE"""),"Ring Mail")</f>
        <v>Ring Mail</v>
      </c>
      <c r="B70" s="11" t="str">
        <f>IFERROR(__xludf.DUMMYFUNCTION("""COMPUTED_VALUE"""),"PHB'24")</f>
        <v>PHB'24</v>
      </c>
      <c r="C70" s="11" t="str">
        <f>IFERROR(__xludf.DUMMYFUNCTION("""COMPUTED_VALUE"""),"none")</f>
        <v>none</v>
      </c>
      <c r="D70" s="11" t="str">
        <f>IFERROR(__xludf.DUMMYFUNCTION("""COMPUTED_VALUE"""),"Heavy Armor")</f>
        <v>Heavy Armor</v>
      </c>
      <c r="E70" s="11"/>
      <c r="F70" s="11" t="str">
        <f>IFERROR(__xludf.DUMMYFUNCTION("""COMPUTED_VALUE"""),"AC 14")</f>
        <v>AC 14</v>
      </c>
      <c r="G70" s="11"/>
      <c r="H70" s="11"/>
      <c r="I70" s="11" t="str">
        <f>IFERROR(__xludf.DUMMYFUNCTION("""COMPUTED_VALUE"""),"The wearer has Disadvantage on Dexterity (Stealth) checks.")</f>
        <v>The wearer has Disadvantage on Dexterity (Stealth) checks.</v>
      </c>
      <c r="J70" s="10" t="str">
        <f>IFERROR(__xludf.DUMMYFUNCTION("""COMPUTED_VALUE"""),"Free to Guild Adventurers with Item Proficiency")</f>
        <v>Free to Guild Adventurers with Item Proficiency</v>
      </c>
    </row>
    <row r="71">
      <c r="A71" s="8" t="str">
        <f>IFERROR(__xludf.DUMMYFUNCTION("""COMPUTED_VALUE"""),"Splint Armor")</f>
        <v>Splint Armor</v>
      </c>
      <c r="B71" s="8" t="str">
        <f>IFERROR(__xludf.DUMMYFUNCTION("""COMPUTED_VALUE"""),"PHB'24")</f>
        <v>PHB'24</v>
      </c>
      <c r="C71" s="8" t="str">
        <f>IFERROR(__xludf.DUMMYFUNCTION("""COMPUTED_VALUE"""),"none")</f>
        <v>none</v>
      </c>
      <c r="D71" s="8" t="str">
        <f>IFERROR(__xludf.DUMMYFUNCTION("""COMPUTED_VALUE"""),"Heavy Armor")</f>
        <v>Heavy Armor</v>
      </c>
      <c r="E71" s="8"/>
      <c r="F71" s="8" t="str">
        <f>IFERROR(__xludf.DUMMYFUNCTION("""COMPUTED_VALUE"""),"AC 17")</f>
        <v>AC 17</v>
      </c>
      <c r="G71" s="8"/>
      <c r="H71" s="8"/>
      <c r="I71" s="8" t="str">
        <f>IFERROR(__xludf.DUMMYFUNCTION("""COMPUTED_VALUE"""),"The wearer has Disadvantage on Dexterity (Stealth) checks.If the wearer has a Strength score lower than 15, their speed is reduced by 10 feet.")</f>
        <v>The wearer has Disadvantage on Dexterity (Stealth) checks.If the wearer has a Strength score lower than 15, their speed is reduced by 10 feet.</v>
      </c>
      <c r="J71" s="8">
        <f>IFERROR(__xludf.DUMMYFUNCTION("""COMPUTED_VALUE"""),100.0)</f>
        <v>100</v>
      </c>
    </row>
    <row r="72">
      <c r="A72" s="10" t="str">
        <f>IFERROR(__xludf.DUMMYFUNCTION("""COMPUTED_VALUE"""),"Plate Armor")</f>
        <v>Plate Armor</v>
      </c>
      <c r="B72" s="10" t="str">
        <f>IFERROR(__xludf.DUMMYFUNCTION("""COMPUTED_VALUE"""),"PHB'24")</f>
        <v>PHB'24</v>
      </c>
      <c r="C72" s="10" t="str">
        <f>IFERROR(__xludf.DUMMYFUNCTION("""COMPUTED_VALUE"""),"none")</f>
        <v>none</v>
      </c>
      <c r="D72" s="10" t="str">
        <f>IFERROR(__xludf.DUMMYFUNCTION("""COMPUTED_VALUE"""),"Heavy Armor")</f>
        <v>Heavy Armor</v>
      </c>
      <c r="E72" s="10"/>
      <c r="F72" s="10" t="str">
        <f>IFERROR(__xludf.DUMMYFUNCTION("""COMPUTED_VALUE"""),"AC 18")</f>
        <v>AC 18</v>
      </c>
      <c r="G72" s="10"/>
      <c r="H72" s="10"/>
      <c r="I72" s="10" t="str">
        <f>IFERROR(__xludf.DUMMYFUNCTION("""COMPUTED_VALUE"""),"The wearer has Disadvantage on Dexterity (Stealth) checks.If the wearer has a Strength score lower than 15, their speed is reduced by 10 feet.")</f>
        <v>The wearer has Disadvantage on Dexterity (Stealth) checks.If the wearer has a Strength score lower than 15, their speed is reduced by 10 feet.</v>
      </c>
      <c r="J72" s="10">
        <f>IFERROR(__xludf.DUMMYFUNCTION("""COMPUTED_VALUE"""),300.0)</f>
        <v>300</v>
      </c>
    </row>
    <row r="73">
      <c r="A73" s="12"/>
      <c r="B73" s="12"/>
      <c r="C73" s="12"/>
      <c r="D73" s="12"/>
      <c r="E73" s="12"/>
      <c r="F73" s="12"/>
      <c r="G73" s="12"/>
      <c r="H73" s="12"/>
      <c r="I73" s="12"/>
      <c r="J73" s="14"/>
    </row>
    <row r="74">
      <c r="A74" s="6" t="s">
        <v>23</v>
      </c>
      <c r="J74" s="13"/>
    </row>
    <row r="75">
      <c r="A75" s="8" t="str">
        <f>IFERROR(__xludf.DUMMYFUNCTION("FILTER(MasterList_Hidden!A:J,Search(A74,MasterList_Hidden!D:D),MasterList_Hidden!C:C=""none"",Search(""Free"",MasterList_Hidden!J:J))"),"Shield")</f>
        <v>Shield</v>
      </c>
      <c r="B75" s="8" t="str">
        <f>IFERROR(__xludf.DUMMYFUNCTION("""COMPUTED_VALUE"""),"PHB'24")</f>
        <v>PHB'24</v>
      </c>
      <c r="C75" s="8" t="str">
        <f>IFERROR(__xludf.DUMMYFUNCTION("""COMPUTED_VALUE"""),"none")</f>
        <v>none</v>
      </c>
      <c r="D75" s="8" t="str">
        <f>IFERROR(__xludf.DUMMYFUNCTION("""COMPUTED_VALUE"""),"Shield")</f>
        <v>Shield</v>
      </c>
      <c r="E75" s="8"/>
      <c r="F75" s="8" t="str">
        <f>IFERROR(__xludf.DUMMYFUNCTION("""COMPUTED_VALUE"""),"AC +2")</f>
        <v>AC +2</v>
      </c>
      <c r="G75" s="8"/>
      <c r="H75" s="8"/>
      <c r="I75" s="8" t="str">
        <f>IFERROR(__xludf.DUMMYFUNCTION("""COMPUTED_VALUE"""),"A shield is made from wood or metal and is carried in one hand. Wielding a shield increases your Armor Class by 2. You can benefit from only one shield at a time.")</f>
        <v>A shield is made from wood or metal and is carried in one hand. Wielding a shield increases your Armor Class by 2. You can benefit from only one shield at a time.</v>
      </c>
      <c r="J75" s="8" t="str">
        <f>IFERROR(__xludf.DUMMYFUNCTION("""COMPUTED_VALUE"""),"Free to Guild Adventurers with Item Proficiency")</f>
        <v>Free to Guild Adventurers with Item Proficiency</v>
      </c>
    </row>
    <row r="76">
      <c r="A76" s="12"/>
      <c r="B76" s="12"/>
      <c r="C76" s="12"/>
      <c r="D76" s="12"/>
      <c r="E76" s="12"/>
      <c r="F76" s="12"/>
      <c r="G76" s="12"/>
      <c r="H76" s="12"/>
      <c r="I76" s="12"/>
      <c r="J76" s="12"/>
    </row>
    <row r="77">
      <c r="A77" s="6" t="s">
        <v>24</v>
      </c>
      <c r="J77" s="13"/>
    </row>
    <row r="78">
      <c r="A78" s="8" t="str">
        <f>IFERROR(__xludf.DUMMYFUNCTION("FILTER(MasterList_Hidden!A:J,Search(A77,MasterList_Hidden!D:D),MasterList_Hidden!C:C=""none"",Search(""Free"",MasterList_Hidden!J:J))"),"Arcane Focus")</f>
        <v>Arcane Focus</v>
      </c>
      <c r="B78" s="8" t="str">
        <f>IFERROR(__xludf.DUMMYFUNCTION("""COMPUTED_VALUE"""),"PHB'24")</f>
        <v>PHB'24</v>
      </c>
      <c r="C78" s="8" t="str">
        <f>IFERROR(__xludf.DUMMYFUNCTION("""COMPUTED_VALUE"""),"none")</f>
        <v>none</v>
      </c>
      <c r="D78" s="8" t="str">
        <f>IFERROR(__xludf.DUMMYFUNCTION("""COMPUTED_VALUE"""),"Spellcasting Focus")</f>
        <v>Spellcasting Focus</v>
      </c>
      <c r="E78" s="8"/>
      <c r="F78" s="8"/>
      <c r="G78" s="8"/>
      <c r="H78" s="8"/>
      <c r="I78" s="8" t="str">
        <f>IFERROR(__xludf.DUMMYFUNCTION("""COMPUTED_VALUE"""),"An Arcane Focus takes a specific form and is bejeweled or carved to channel arcane magic. A Sorcerer, Warlock, or Wizard can use such an item as a Spellcasting Focus. Multiple variations of this item exist, as listed below:Crystal Orb Rod Staff Wand")</f>
        <v>An Arcane Focus takes a specific form and is bejeweled or carved to channel arcane magic. A Sorcerer, Warlock, or Wizard can use such an item as a Spellcasting Focus. Multiple variations of this item exist, as listed below:Crystal Orb Rod Staff Wand</v>
      </c>
      <c r="J78" s="8" t="str">
        <f>IFERROR(__xludf.DUMMYFUNCTION("""COMPUTED_VALUE"""),"Free to Guild Adventurers in Good Standing")</f>
        <v>Free to Guild Adventurers in Good Standing</v>
      </c>
    </row>
    <row r="79">
      <c r="A79" s="10" t="str">
        <f>IFERROR(__xludf.DUMMYFUNCTION("""COMPUTED_VALUE"""),"Druidic Focus")</f>
        <v>Druidic Focus</v>
      </c>
      <c r="B79" s="10" t="str">
        <f>IFERROR(__xludf.DUMMYFUNCTION("""COMPUTED_VALUE"""),"PHB'24")</f>
        <v>PHB'24</v>
      </c>
      <c r="C79" s="10" t="str">
        <f>IFERROR(__xludf.DUMMYFUNCTION("""COMPUTED_VALUE"""),"none")</f>
        <v>none</v>
      </c>
      <c r="D79" s="10" t="str">
        <f>IFERROR(__xludf.DUMMYFUNCTION("""COMPUTED_VALUE"""),"Spellcasting Focus")</f>
        <v>Spellcasting Focus</v>
      </c>
      <c r="E79" s="10"/>
      <c r="F79" s="10"/>
      <c r="G79" s="10"/>
      <c r="H79" s="10"/>
      <c r="I79" s="10" t="str">
        <f>IFERROR(__xludf.DUMMYFUNCTION("""COMPUTED_VALUE"""),"A Druidic Focus takes a specific form and is carved, tied with ribbon, or painted to channel primal magic. A Druid or Ranger can use such an object as a Spellcasting Focus. Multiple variations of this item exist, as listed below:Sprig of mistletoe Wooden "&amp;"staff Yew wand")</f>
        <v>A Druidic Focus takes a specific form and is carved, tied with ribbon, or painted to channel primal magic. A Druid or Ranger can use such an object as a Spellcasting Focus. Multiple variations of this item exist, as listed below:Sprig of mistletoe Wooden staff Yew wand</v>
      </c>
      <c r="J79" s="10" t="str">
        <f>IFERROR(__xludf.DUMMYFUNCTION("""COMPUTED_VALUE"""),"Free to Guild Adventurers in Good Standing")</f>
        <v>Free to Guild Adventurers in Good Standing</v>
      </c>
    </row>
    <row r="80">
      <c r="A80" s="8" t="str">
        <f>IFERROR(__xludf.DUMMYFUNCTION("""COMPUTED_VALUE"""),"Holy Symbol")</f>
        <v>Holy Symbol</v>
      </c>
      <c r="B80" s="8" t="str">
        <f>IFERROR(__xludf.DUMMYFUNCTION("""COMPUTED_VALUE"""),"PHB'24")</f>
        <v>PHB'24</v>
      </c>
      <c r="C80" s="8" t="str">
        <f>IFERROR(__xludf.DUMMYFUNCTION("""COMPUTED_VALUE"""),"none")</f>
        <v>none</v>
      </c>
      <c r="D80" s="8" t="str">
        <f>IFERROR(__xludf.DUMMYFUNCTION("""COMPUTED_VALUE"""),"Spellcasting Focus")</f>
        <v>Spellcasting Focus</v>
      </c>
      <c r="E80" s="8"/>
      <c r="F80" s="8"/>
      <c r="G80" s="8"/>
      <c r="H80" s="8"/>
      <c r="I80" s="8" t="str">
        <f>IFERROR(__xludf.DUMMYFUNCTION("""COMPUTED_VALUE"""),"A Holy Symbol takes a specific form and is bejeweled or painted to channel divine magic. A Cleric or Paladin can use a Holy Symbol as a Spellcasting Focus. Multiple variations of this item exist, as listed below:Amulet Emblem Reliquary")</f>
        <v>A Holy Symbol takes a specific form and is bejeweled or painted to channel divine magic. A Cleric or Paladin can use a Holy Symbol as a Spellcasting Focus. Multiple variations of this item exist, as listed below:Amulet Emblem Reliquary</v>
      </c>
      <c r="J80" s="8" t="str">
        <f>IFERROR(__xludf.DUMMYFUNCTION("""COMPUTED_VALUE"""),"Free to Guild Adventurers in Good Standing")</f>
        <v>Free to Guild Adventurers in Good Standing</v>
      </c>
    </row>
    <row r="81">
      <c r="A81" s="12"/>
      <c r="B81" s="12"/>
      <c r="C81" s="12"/>
      <c r="D81" s="12"/>
      <c r="E81" s="12"/>
      <c r="F81" s="12"/>
      <c r="G81" s="12"/>
      <c r="H81" s="12"/>
      <c r="I81" s="12"/>
      <c r="J81" s="12"/>
    </row>
    <row r="82">
      <c r="A82" s="6" t="s">
        <v>19</v>
      </c>
      <c r="J82" s="13"/>
    </row>
    <row r="83">
      <c r="A83" s="8" t="str">
        <f>IFERROR(__xludf.DUMMYFUNCTION("FILTER(MasterList_Hidden!A:J,Search(A82,MasterList_Hidden!K:K),MasterList_Hidden!C:C=""none"")"),"Alchemist's Supplies")</f>
        <v>Alchemist's Supplies</v>
      </c>
      <c r="B83" s="8" t="str">
        <f>IFERROR(__xludf.DUMMYFUNCTION("""COMPUTED_VALUE"""),"PHB'24")</f>
        <v>PHB'24</v>
      </c>
      <c r="C83" s="8" t="str">
        <f>IFERROR(__xludf.DUMMYFUNCTION("""COMPUTED_VALUE"""),"none")</f>
        <v>none</v>
      </c>
      <c r="D83" s="8" t="str">
        <f>IFERROR(__xludf.DUMMYFUNCTION("""COMPUTED_VALUE"""),"Artisan's Tools")</f>
        <v>Artisan's Tools</v>
      </c>
      <c r="E83" s="8"/>
      <c r="F83" s="8"/>
      <c r="G83" s="8"/>
      <c r="H83" s="8"/>
      <c r="I83" s="8" t="str">
        <f>IFERROR(__xludf.DUMMYFUNCTION("""COMPUTED_VALUE"""),"Ability: Intelligence Utilize: Identify a substance (DC 15), or start a fire (DC 15)Craft: Acid, Alchemist's Fire, Component Pouch, Oil, Paper, Perfume Artisan's Tools are each focused on crafting items and pursuing a trade. Each type of Artisan's Tools t"&amp;"ools requires a separate proficiency. If you have proficiency with a tool, add your Proficiency Bonus to any ability check you make that uses the tool. If you have proficiency in a skill that's used with that check, you have Advantage on the check too.")</f>
        <v>Ability: Intelligence Utilize: Identify a substance (DC 15), or start a fire (DC 15)Craft: Acid, Alchemist's Fire, Component Pouch, Oil, Paper, Perfume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3" s="8" t="str">
        <f>IFERROR(__xludf.DUMMYFUNCTION("""COMPUTED_VALUE"""),"Free to Guild Adventurers with Item Proficiency")</f>
        <v>Free to Guild Adventurers with Item Proficiency</v>
      </c>
    </row>
    <row r="84">
      <c r="A84" s="10" t="str">
        <f>IFERROR(__xludf.DUMMYFUNCTION("""COMPUTED_VALUE"""),"Brewer's Supplies")</f>
        <v>Brewer's Supplies</v>
      </c>
      <c r="B84" s="10" t="str">
        <f>IFERROR(__xludf.DUMMYFUNCTION("""COMPUTED_VALUE"""),"PHB'24")</f>
        <v>PHB'24</v>
      </c>
      <c r="C84" s="10" t="str">
        <f>IFERROR(__xludf.DUMMYFUNCTION("""COMPUTED_VALUE"""),"none")</f>
        <v>none</v>
      </c>
      <c r="D84" s="10" t="str">
        <f>IFERROR(__xludf.DUMMYFUNCTION("""COMPUTED_VALUE"""),"Artisan's Tools")</f>
        <v>Artisan's Tools</v>
      </c>
      <c r="E84" s="10"/>
      <c r="F84" s="10"/>
      <c r="G84" s="10"/>
      <c r="H84" s="10"/>
      <c r="I84" s="10" t="str">
        <f>IFERROR(__xludf.DUMMYFUNCTION("""COMPUTED_VALUE"""),"Ability: Intelligence Utilize: Detect poisoned drink (DC 15), or identify alcohol (DC 10)Craft: Antitoxin Artisan's Tools are each focused on crafting items and pursuing a trade. Each type of Artisan's Tools tools requires a separate proficiency. If you h"&amp;"ave proficiency with a tool, add your Proficiency Bonus to any ability check you make that uses the tool. If you have proficiency in a skill that's used with that check, you have Advantage on the check too.")</f>
        <v>Ability: Intelligence Utilize: Detect poisoned drink (DC 15), or identify alcohol (DC 10)Craft: Antitoxin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4" s="10" t="str">
        <f>IFERROR(__xludf.DUMMYFUNCTION("""COMPUTED_VALUE"""),"Free to Guild Adventurers with Item Proficiency")</f>
        <v>Free to Guild Adventurers with Item Proficiency</v>
      </c>
    </row>
    <row r="85">
      <c r="A85" s="8" t="str">
        <f>IFERROR(__xludf.DUMMYFUNCTION("""COMPUTED_VALUE"""),"Calligrapher's Supplies")</f>
        <v>Calligrapher's Supplies</v>
      </c>
      <c r="B85" s="8" t="str">
        <f>IFERROR(__xludf.DUMMYFUNCTION("""COMPUTED_VALUE"""),"PHB'24")</f>
        <v>PHB'24</v>
      </c>
      <c r="C85" s="8" t="str">
        <f>IFERROR(__xludf.DUMMYFUNCTION("""COMPUTED_VALUE"""),"none")</f>
        <v>none</v>
      </c>
      <c r="D85" s="8" t="str">
        <f>IFERROR(__xludf.DUMMYFUNCTION("""COMPUTED_VALUE"""),"Artisan's Tools")</f>
        <v>Artisan's Tools</v>
      </c>
      <c r="E85" s="8"/>
      <c r="F85" s="8"/>
      <c r="G85" s="8"/>
      <c r="H85" s="8"/>
      <c r="I85" s="8" t="str">
        <f>IFERROR(__xludf.DUMMYFUNCTION("""COMPUTED_VALUE"""),"Ability: Dexterity Utilize: Write text with impressive flourishes that guard against forgery (DC 15)Craft: Ink, Spell Scroll Artisan's Tools are each focused on crafting items and pursuing a trade. Each type of Artisan's Tools tools requires a separate pr"&amp;"oficiency. If you have proficiency with a tool, add your Proficiency Bonus to any ability check you make that uses the tool. If you have proficiency in a skill that's used with that check, you have Advantage on the check too.")</f>
        <v>Ability: Dexterity Utilize: Write text with impressive flourishes that guard against forgery (DC 15)Craft: Ink, Spell Scroll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5" s="8" t="str">
        <f>IFERROR(__xludf.DUMMYFUNCTION("""COMPUTED_VALUE"""),"Free to Guild Adventurers with Item Proficiency")</f>
        <v>Free to Guild Adventurers with Item Proficiency</v>
      </c>
    </row>
    <row r="86">
      <c r="A86" s="10" t="str">
        <f>IFERROR(__xludf.DUMMYFUNCTION("""COMPUTED_VALUE"""),"Carpenter's Tools")</f>
        <v>Carpenter's Tools</v>
      </c>
      <c r="B86" s="10" t="str">
        <f>IFERROR(__xludf.DUMMYFUNCTION("""COMPUTED_VALUE"""),"PHB'24")</f>
        <v>PHB'24</v>
      </c>
      <c r="C86" s="10" t="str">
        <f>IFERROR(__xludf.DUMMYFUNCTION("""COMPUTED_VALUE"""),"none")</f>
        <v>none</v>
      </c>
      <c r="D86" s="10" t="str">
        <f>IFERROR(__xludf.DUMMYFUNCTION("""COMPUTED_VALUE"""),"Artisan's Tools")</f>
        <v>Artisan's Tools</v>
      </c>
      <c r="E86" s="10"/>
      <c r="F86" s="10"/>
      <c r="G86" s="10"/>
      <c r="H86" s="10"/>
      <c r="I86" s="10" t="str">
        <f>IFERROR(__xludf.DUMMYFUNCTION("""COMPUTED_VALUE"""),"Ability: Strength Utilize: Seal or pry open a door or container (DC 20)Craft: Club, Greatclub, Quarterstaff, Barrel, Chest, Ladder, Pole, Portable Ram, Torch Artisan's Tools are each focused on crafting items and pursuing a trade. Each type of Artisan's T"&amp;"ools tools requires a separate proficiency. If you have proficiency with a tool, add your Proficiency Bonus to any ability check you make that uses the tool. If you have proficiency in a skill that's used with that check, you have Advantage on the check t"&amp;"oo.")</f>
        <v>Ability: Strength Utilize: Seal or pry open a door or container (DC 20)Craft: Club, Greatclub, Quarterstaff, Barrel, Chest, Ladder, Pole, Portable Ram, Torch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6" s="10" t="str">
        <f>IFERROR(__xludf.DUMMYFUNCTION("""COMPUTED_VALUE"""),"Free to Guild Adventurers with Item Proficiency")</f>
        <v>Free to Guild Adventurers with Item Proficiency</v>
      </c>
    </row>
    <row r="87">
      <c r="A87" s="8" t="str">
        <f>IFERROR(__xludf.DUMMYFUNCTION("""COMPUTED_VALUE"""),"Cartographer's Tools")</f>
        <v>Cartographer's Tools</v>
      </c>
      <c r="B87" s="8" t="str">
        <f>IFERROR(__xludf.DUMMYFUNCTION("""COMPUTED_VALUE"""),"PHB'24")</f>
        <v>PHB'24</v>
      </c>
      <c r="C87" s="8" t="str">
        <f>IFERROR(__xludf.DUMMYFUNCTION("""COMPUTED_VALUE"""),"none")</f>
        <v>none</v>
      </c>
      <c r="D87" s="8" t="str">
        <f>IFERROR(__xludf.DUMMYFUNCTION("""COMPUTED_VALUE"""),"Artisan's Tools")</f>
        <v>Artisan's Tools</v>
      </c>
      <c r="E87" s="8"/>
      <c r="F87" s="8"/>
      <c r="G87" s="8"/>
      <c r="H87" s="8"/>
      <c r="I87" s="8" t="str">
        <f>IFERROR(__xludf.DUMMYFUNCTION("""COMPUTED_VALUE"""),"Ability: Wisdom Utilize: Draft a map of a small area (DC 15)Craft: Map Artisan's Tools are each focused on crafting items and pursuing a trade. Each type of Artisan's Tools tools requires a separate proficiency. If you have proficiency with a tool, add yo"&amp;"ur Proficiency Bonus to any ability check you make that uses the tool. If you have proficiency in a skill that's used with that check, you have Advantage on the check too.")</f>
        <v>Ability: Wisdom Utilize: Draft a map of a small area (DC 15)Craft: Map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7" s="9" t="str">
        <f>IFERROR(__xludf.DUMMYFUNCTION("""COMPUTED_VALUE"""),"Free to Guild Adventurers with Item Proficiency")</f>
        <v>Free to Guild Adventurers with Item Proficiency</v>
      </c>
    </row>
    <row r="88">
      <c r="A88" s="10" t="str">
        <f>IFERROR(__xludf.DUMMYFUNCTION("""COMPUTED_VALUE"""),"Cobbler's Tools")</f>
        <v>Cobbler's Tools</v>
      </c>
      <c r="B88" s="10" t="str">
        <f>IFERROR(__xludf.DUMMYFUNCTION("""COMPUTED_VALUE"""),"PHB'24")</f>
        <v>PHB'24</v>
      </c>
      <c r="C88" s="10" t="str">
        <f>IFERROR(__xludf.DUMMYFUNCTION("""COMPUTED_VALUE"""),"none")</f>
        <v>none</v>
      </c>
      <c r="D88" s="10" t="str">
        <f>IFERROR(__xludf.DUMMYFUNCTION("""COMPUTED_VALUE"""),"Artisan's Tools")</f>
        <v>Artisan's Tools</v>
      </c>
      <c r="E88" s="10"/>
      <c r="F88" s="10"/>
      <c r="G88" s="10"/>
      <c r="H88" s="10"/>
      <c r="I88" s="10" t="str">
        <f>IFERROR(__xludf.DUMMYFUNCTION("""COMPUTED_VALUE"""),"Ability: Dexterity Utilize: Modify footwear to give Advantage on the wearer's next Dexterity (Acrobatics) check (DC 10)Craft: Climber's Kit Artisan's Tools are each focused on crafting items and pursuing a trade. Each type of Artisan's Tools tools require"&amp;"s a separate proficiency. If you have proficiency with a tool, add your Proficiency Bonus to any ability check you make that uses the tool. If you have proficiency in a skill that's used with that check, you have Advantage on the check too.")</f>
        <v>Ability: Dexterity Utilize: Modify footwear to give Advantage on the wearer's next Dexterity (Acrobatics) check (DC 10)Craft: Climber's Kit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8" s="10" t="str">
        <f>IFERROR(__xludf.DUMMYFUNCTION("""COMPUTED_VALUE"""),"Free to Guild Adventurers with Item Proficiency")</f>
        <v>Free to Guild Adventurers with Item Proficiency</v>
      </c>
    </row>
    <row r="89">
      <c r="A89" s="9" t="str">
        <f>IFERROR(__xludf.DUMMYFUNCTION("""COMPUTED_VALUE"""),"Cook's Utensils")</f>
        <v>Cook's Utensils</v>
      </c>
      <c r="B89" s="9" t="str">
        <f>IFERROR(__xludf.DUMMYFUNCTION("""COMPUTED_VALUE"""),"PHB'24")</f>
        <v>PHB'24</v>
      </c>
      <c r="C89" s="9" t="str">
        <f>IFERROR(__xludf.DUMMYFUNCTION("""COMPUTED_VALUE"""),"none")</f>
        <v>none</v>
      </c>
      <c r="D89" s="9" t="str">
        <f>IFERROR(__xludf.DUMMYFUNCTION("""COMPUTED_VALUE"""),"Artisan's Tools")</f>
        <v>Artisan's Tools</v>
      </c>
      <c r="E89" s="9"/>
      <c r="F89" s="9"/>
      <c r="G89" s="9"/>
      <c r="H89" s="9"/>
      <c r="I89" s="9" t="str">
        <f>IFERROR(__xludf.DUMMYFUNCTION("""COMPUTED_VALUE"""),"Ability: Wisdom Utilize: Improve food's flavor (DC 10), or detect spoiled or poisoned food (DC 15)Craft: Rations Artisan's Tools are each focused on crafting items and pursuing a trade. Each type of Artisan's Tools tools requires a separate proficiency. I"&amp;"f you have proficiency with a tool, add your Proficiency Bonus to any ability check you make that uses the tool. If you have proficiency in a skill that's used with that check, you have Advantage on the check too.")</f>
        <v>Ability: Wisdom Utilize: Improve food's flavor (DC 10), or detect spoiled or poisoned food (DC 15)Craft: Rations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89" s="8" t="str">
        <f>IFERROR(__xludf.DUMMYFUNCTION("""COMPUTED_VALUE"""),"Free to Guild Adventurers with Item Proficiency")</f>
        <v>Free to Guild Adventurers with Item Proficiency</v>
      </c>
    </row>
    <row r="90">
      <c r="A90" s="11" t="str">
        <f>IFERROR(__xludf.DUMMYFUNCTION("""COMPUTED_VALUE"""),"Dice Set")</f>
        <v>Dice Set</v>
      </c>
      <c r="B90" s="11" t="str">
        <f>IFERROR(__xludf.DUMMYFUNCTION("""COMPUTED_VALUE"""),"PHB'24")</f>
        <v>PHB'24</v>
      </c>
      <c r="C90" s="11" t="str">
        <f>IFERROR(__xludf.DUMMYFUNCTION("""COMPUTED_VALUE"""),"none")</f>
        <v>none</v>
      </c>
      <c r="D90" s="11" t="str">
        <f>IFERROR(__xludf.DUMMYFUNCTION("""COMPUTED_VALUE"""),"Gaming Set")</f>
        <v>Gaming Set</v>
      </c>
      <c r="E90" s="11"/>
      <c r="F90" s="11"/>
      <c r="G90" s="11"/>
      <c r="H90" s="11"/>
      <c r="I90" s="11" t="str">
        <f>IFERROR(__xludf.DUMMYFUNCTION("""COMPUTED_VALUE"""),"Ability: WisdomUtilize: Discern whether someone is cheating (DC 10), or win the game (DC 20)If you have proficiency with a tool, add your Proficiency Bonus to any ability check you make that uses the tool. If you have proficiency in a skill that's used wi"&amp;"th that check, you have Advantage on the check too.")</f>
        <v>Ability: WisdomUtilize: Discern whether someone is cheating (DC 10), or win the game (DC 20)If you have proficiency with a tool, add your Proficiency Bonus to any ability check you make that uses the tool. If you have proficiency in a skill that's used with that check, you have Advantage on the check too.</v>
      </c>
      <c r="J90" s="11" t="str">
        <f>IFERROR(__xludf.DUMMYFUNCTION("""COMPUTED_VALUE"""),"Free to Guild Adventurers with Item Proficiency")</f>
        <v>Free to Guild Adventurers with Item Proficiency</v>
      </c>
    </row>
    <row r="91">
      <c r="A91" s="8" t="str">
        <f>IFERROR(__xludf.DUMMYFUNCTION("""COMPUTED_VALUE"""),"Disguise Kit")</f>
        <v>Disguise Kit</v>
      </c>
      <c r="B91" s="8" t="str">
        <f>IFERROR(__xludf.DUMMYFUNCTION("""COMPUTED_VALUE"""),"PHB'24")</f>
        <v>PHB'24</v>
      </c>
      <c r="C91" s="8" t="str">
        <f>IFERROR(__xludf.DUMMYFUNCTION("""COMPUTED_VALUE"""),"none")</f>
        <v>none</v>
      </c>
      <c r="D91" s="8" t="str">
        <f>IFERROR(__xludf.DUMMYFUNCTION("""COMPUTED_VALUE"""),"Tool")</f>
        <v>Tool</v>
      </c>
      <c r="E91" s="8"/>
      <c r="F91" s="8"/>
      <c r="G91" s="8"/>
      <c r="H91" s="8"/>
      <c r="I91" s="8" t="str">
        <f>IFERROR(__xludf.DUMMYFUNCTION("""COMPUTED_VALUE"""),"Ability: CharismaUtilize: Apply makeup (DC 10)Craft: CostumeIf you have proficiency with a tool, add your Proficiency Bonus to any ability check you make that uses the tool. If you have proficiency in a skill that's used with that check, you have Advantag"&amp;"e on the check too.")</f>
        <v>Ability: CharismaUtilize: Apply makeup (DC 10)Craft: CostumeIf you have proficiency with a tool, add your Proficiency Bonus to any ability check you make that uses the tool. If you have proficiency in a skill that's used with that check, you have Advantage on the check too.</v>
      </c>
      <c r="J91" s="8" t="str">
        <f>IFERROR(__xludf.DUMMYFUNCTION("""COMPUTED_VALUE"""),"Free to Guild Adventurers with Item Proficiency")</f>
        <v>Free to Guild Adventurers with Item Proficiency</v>
      </c>
    </row>
    <row r="92">
      <c r="A92" s="10" t="str">
        <f>IFERROR(__xludf.DUMMYFUNCTION("""COMPUTED_VALUE"""),"Dragonchess Set")</f>
        <v>Dragonchess Set</v>
      </c>
      <c r="B92" s="10" t="str">
        <f>IFERROR(__xludf.DUMMYFUNCTION("""COMPUTED_VALUE"""),"PHB'24")</f>
        <v>PHB'24</v>
      </c>
      <c r="C92" s="10" t="str">
        <f>IFERROR(__xludf.DUMMYFUNCTION("""COMPUTED_VALUE"""),"none")</f>
        <v>none</v>
      </c>
      <c r="D92" s="10" t="str">
        <f>IFERROR(__xludf.DUMMYFUNCTION("""COMPUTED_VALUE"""),"Gaming Set")</f>
        <v>Gaming Set</v>
      </c>
      <c r="E92" s="10"/>
      <c r="F92" s="10"/>
      <c r="G92" s="10"/>
      <c r="H92" s="10"/>
      <c r="I92" s="10" t="str">
        <f>IFERROR(__xludf.DUMMYFUNCTION("""COMPUTED_VALUE"""),"Ability: WisdomUtilize: Discern whether someone is cheating (DC 10), or win the game (DC 20)If you have proficiency with a tool, add your Proficiency Bonus to any ability check you make that uses the tool. If you have proficiency in a skill that's used wi"&amp;"th that check, you have Advantage on the check too.")</f>
        <v>Ability: WisdomUtilize: Discern whether someone is cheating (DC 10), or win the game (DC 20)If you have proficiency with a tool, add your Proficiency Bonus to any ability check you make that uses the tool. If you have proficiency in a skill that's used with that check, you have Advantage on the check too.</v>
      </c>
      <c r="J92" s="10" t="str">
        <f>IFERROR(__xludf.DUMMYFUNCTION("""COMPUTED_VALUE"""),"Free to Guild Adventurers with Item Proficiency")</f>
        <v>Free to Guild Adventurers with Item Proficiency</v>
      </c>
    </row>
    <row r="93">
      <c r="A93" s="8" t="str">
        <f>IFERROR(__xludf.DUMMYFUNCTION("""COMPUTED_VALUE"""),"Forgery Kit")</f>
        <v>Forgery Kit</v>
      </c>
      <c r="B93" s="8" t="str">
        <f>IFERROR(__xludf.DUMMYFUNCTION("""COMPUTED_VALUE"""),"PHB'24")</f>
        <v>PHB'24</v>
      </c>
      <c r="C93" s="8" t="str">
        <f>IFERROR(__xludf.DUMMYFUNCTION("""COMPUTED_VALUE"""),"none")</f>
        <v>none</v>
      </c>
      <c r="D93" s="8" t="str">
        <f>IFERROR(__xludf.DUMMYFUNCTION("""COMPUTED_VALUE"""),"Tool")</f>
        <v>Tool</v>
      </c>
      <c r="E93" s="8"/>
      <c r="F93" s="8"/>
      <c r="G93" s="8"/>
      <c r="H93" s="8"/>
      <c r="I93" s="8" t="str">
        <f>IFERROR(__xludf.DUMMYFUNCTION("""COMPUTED_VALUE"""),"Ability: DexterityUtilize: Mimic 10 or fewer words of someone else's handwriting (DC 15), or duplicate a wax seal (DC 20)If you have proficiency with a tool, add your Proficiency Bonus to any ability check you make that uses the tool. If you have proficie"&amp;"ncy in a skill that's used with that check, you have Advantage on the check too.")</f>
        <v>Ability: DexterityUtilize: Mimic 10 or fewer words of someone else's handwriting (DC 15), or duplicate a wax seal (DC 20)If you have proficiency with a tool, add your Proficiency Bonus to any ability check you make that uses the tool. If you have proficiency in a skill that's used with that check, you have Advantage on the check too.</v>
      </c>
      <c r="J93" s="8" t="str">
        <f>IFERROR(__xludf.DUMMYFUNCTION("""COMPUTED_VALUE"""),"Free to Guild Adventurers with Item Proficiency")</f>
        <v>Free to Guild Adventurers with Item Proficiency</v>
      </c>
    </row>
    <row r="94">
      <c r="A94" s="10" t="str">
        <f>IFERROR(__xludf.DUMMYFUNCTION("""COMPUTED_VALUE"""),"Gaming Set")</f>
        <v>Gaming Set</v>
      </c>
      <c r="B94" s="10" t="str">
        <f>IFERROR(__xludf.DUMMYFUNCTION("""COMPUTED_VALUE"""),"PHB'24")</f>
        <v>PHB'24</v>
      </c>
      <c r="C94" s="10" t="str">
        <f>IFERROR(__xludf.DUMMYFUNCTION("""COMPUTED_VALUE"""),"none")</f>
        <v>none</v>
      </c>
      <c r="D94" s="10" t="str">
        <f>IFERROR(__xludf.DUMMYFUNCTION("""COMPUTED_VALUE"""),"Gaming Set")</f>
        <v>Gaming Set</v>
      </c>
      <c r="E94" s="10"/>
      <c r="F94" s="10"/>
      <c r="G94" s="10"/>
      <c r="H94" s="10"/>
      <c r="I94" s="10" t="str">
        <f>IFERROR(__xludf.DUMMYFUNCTION("""COMPUTED_VALUE"""),"If you have proficiency with a tool, add your Proficiency Bonus to any ability check you make that uses the tool. If you have proficiency in a skill that's used with that check, you have Advantage on the check too.Multiple variations of this item exist, a"&amp;"s listed below:Dice SetDragonchess SetPlaying CardsThree-Dragon Ante Set")</f>
        <v>If you have proficiency with a tool, add your Proficiency Bonus to any ability check you make that uses the tool. If you have proficiency in a skill that's used with that check, you have Advantage on the check too.Multiple variations of this item exist, as listed below:Dice SetDragonchess SetPlaying CardsThree-Dragon Ante Set</v>
      </c>
      <c r="J94" s="10" t="str">
        <f>IFERROR(__xludf.DUMMYFUNCTION("""COMPUTED_VALUE"""),"Free to Guild Adventurers with Item Proficiency")</f>
        <v>Free to Guild Adventurers with Item Proficiency</v>
      </c>
    </row>
    <row r="95">
      <c r="A95" s="8" t="str">
        <f>IFERROR(__xludf.DUMMYFUNCTION("""COMPUTED_VALUE"""),"Glassblower's Tools")</f>
        <v>Glassblower's Tools</v>
      </c>
      <c r="B95" s="8" t="str">
        <f>IFERROR(__xludf.DUMMYFUNCTION("""COMPUTED_VALUE"""),"PHB'24")</f>
        <v>PHB'24</v>
      </c>
      <c r="C95" s="8" t="str">
        <f>IFERROR(__xludf.DUMMYFUNCTION("""COMPUTED_VALUE"""),"none")</f>
        <v>none</v>
      </c>
      <c r="D95" s="8" t="str">
        <f>IFERROR(__xludf.DUMMYFUNCTION("""COMPUTED_VALUE"""),"Artisan's Tools")</f>
        <v>Artisan's Tools</v>
      </c>
      <c r="E95" s="8"/>
      <c r="F95" s="8"/>
      <c r="G95" s="8"/>
      <c r="H95" s="8"/>
      <c r="I95" s="8" t="str">
        <f>IFERROR(__xludf.DUMMYFUNCTION("""COMPUTED_VALUE"""),"Ability: Intelligence Utilize: Discern what a glass object held in the past 24 hours (DC 15)Craft: Glass Bottle, Magnifying Glass, Spyglass, Vial Artisan's Tools are each focused on crafting items and pursuing a trade. Each type of Artisan's Tools tools r"&amp;"equires a separate proficiency. If you have proficiency with a tool, add your Proficiency Bonus to any ability check you make that uses the tool. If you have proficiency in a skill that's used with that check, you have Advantage on the check too.")</f>
        <v>Ability: Intelligence Utilize: Discern what a glass object held in the past 24 hours (DC 15)Craft: Glass Bottle, Magnifying Glass, Spyglass, Vial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95" s="8" t="str">
        <f>IFERROR(__xludf.DUMMYFUNCTION("""COMPUTED_VALUE"""),"Free to Guild Adventurers with Item Proficiency")</f>
        <v>Free to Guild Adventurers with Item Proficiency</v>
      </c>
    </row>
    <row r="96">
      <c r="A96" s="10" t="str">
        <f>IFERROR(__xludf.DUMMYFUNCTION("""COMPUTED_VALUE"""),"Herbalism Kit")</f>
        <v>Herbalism Kit</v>
      </c>
      <c r="B96" s="10" t="str">
        <f>IFERROR(__xludf.DUMMYFUNCTION("""COMPUTED_VALUE"""),"PHB'24")</f>
        <v>PHB'24</v>
      </c>
      <c r="C96" s="10" t="str">
        <f>IFERROR(__xludf.DUMMYFUNCTION("""COMPUTED_VALUE"""),"none")</f>
        <v>none</v>
      </c>
      <c r="D96" s="10" t="str">
        <f>IFERROR(__xludf.DUMMYFUNCTION("""COMPUTED_VALUE"""),"Tool")</f>
        <v>Tool</v>
      </c>
      <c r="E96" s="10"/>
      <c r="F96" s="10"/>
      <c r="G96" s="10"/>
      <c r="H96" s="10"/>
      <c r="I96" s="10" t="str">
        <f>IFERROR(__xludf.DUMMYFUNCTION("""COMPUTED_VALUE"""),"Ability: IntelligenceUtilize: Identify a plant (DC 10)Craft: Antitoxin, Candle, Healer's Kit, Potion of HealingIf you have proficiency with a tool, add your Proficiency Bonus to any ability check you make that uses the tool. If you have proficiency in a s"&amp;"kill that's used with that check, you have Advantage on the check too.")</f>
        <v>Ability: IntelligenceUtilize: Identify a plant (DC 10)Craft: Antitoxin, Candle, Healer's Kit, Potion of HealingIf you have proficiency with a tool, add your Proficiency Bonus to any ability check you make that uses the tool. If you have proficiency in a skill that's used with that check, you have Advantage on the check too.</v>
      </c>
      <c r="J96" s="10" t="str">
        <f>IFERROR(__xludf.DUMMYFUNCTION("""COMPUTED_VALUE"""),"Free to Guild Adventurers with Item Proficiency")</f>
        <v>Free to Guild Adventurers with Item Proficiency</v>
      </c>
    </row>
    <row r="97">
      <c r="A97" s="8" t="str">
        <f>IFERROR(__xludf.DUMMYFUNCTION("""COMPUTED_VALUE"""),"Jeweler's Tools")</f>
        <v>Jeweler's Tools</v>
      </c>
      <c r="B97" s="8" t="str">
        <f>IFERROR(__xludf.DUMMYFUNCTION("""COMPUTED_VALUE"""),"PHB'24")</f>
        <v>PHB'24</v>
      </c>
      <c r="C97" s="8" t="str">
        <f>IFERROR(__xludf.DUMMYFUNCTION("""COMPUTED_VALUE"""),"none")</f>
        <v>none</v>
      </c>
      <c r="D97" s="8" t="str">
        <f>IFERROR(__xludf.DUMMYFUNCTION("""COMPUTED_VALUE"""),"Artisan's Tools")</f>
        <v>Artisan's Tools</v>
      </c>
      <c r="E97" s="8"/>
      <c r="F97" s="8"/>
      <c r="G97" s="8"/>
      <c r="H97" s="8"/>
      <c r="I97" s="8" t="str">
        <f>IFERROR(__xludf.DUMMYFUNCTION("""COMPUTED_VALUE"""),"Ability: Intelligence Utilize: Discern a gem's value (DC 15)Craft: Arcane Focus, Holy Symbol Artisan's Tools are each focused on crafting items and pursuing a trade. Each type of Artisan's Tools tools requires a separate proficiency. If you have proficien"&amp;"cy with a tool, add your Proficiency Bonus to any ability check you make that uses the tool. If you have proficiency in a skill that's used with that check, you have Advantage on the check too.")</f>
        <v>Ability: Intelligence Utilize: Discern a gem's value (DC 15)Craft: Arcane Focus, Holy Symbol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97" s="9" t="str">
        <f>IFERROR(__xludf.DUMMYFUNCTION("""COMPUTED_VALUE"""),"Free to Guild Adventurers with Item Proficiency")</f>
        <v>Free to Guild Adventurers with Item Proficiency</v>
      </c>
    </row>
    <row r="98">
      <c r="A98" s="10" t="str">
        <f>IFERROR(__xludf.DUMMYFUNCTION("""COMPUTED_VALUE"""),"Leatherworker's Tools")</f>
        <v>Leatherworker's Tools</v>
      </c>
      <c r="B98" s="10" t="str">
        <f>IFERROR(__xludf.DUMMYFUNCTION("""COMPUTED_VALUE"""),"PHB'24")</f>
        <v>PHB'24</v>
      </c>
      <c r="C98" s="10" t="str">
        <f>IFERROR(__xludf.DUMMYFUNCTION("""COMPUTED_VALUE"""),"none")</f>
        <v>none</v>
      </c>
      <c r="D98" s="10" t="str">
        <f>IFERROR(__xludf.DUMMYFUNCTION("""COMPUTED_VALUE"""),"Artisan's Tools")</f>
        <v>Artisan's Tools</v>
      </c>
      <c r="E98" s="10"/>
      <c r="F98" s="10"/>
      <c r="G98" s="10"/>
      <c r="H98" s="10"/>
      <c r="I98" s="10" t="str">
        <f>IFERROR(__xludf.DUMMYFUNCTION("""COMPUTED_VALUE"""),"Ability: Dexterity Utilize: Add a design to a leather item (DC 10)Craft: Sling, Whip, Hide Armor, Leather Armor, Studded Leather Armor, Backpack, Crossbow Bolt Case, Map or Scroll Case, Parchment, Pouch, Quiver, Waterskin Artisan's Tools are each focused "&amp;"on crafting items and pursuing a trade. Each type of Artisan's Tools tools requires a separate proficiency. If you have proficiency with a tool, add your Proficiency Bonus to any ability check you make that uses the tool. If you have proficiency in a skil"&amp;"l that's used with that check, you have Advantage on the check too.")</f>
        <v>Ability: Dexterity Utilize: Add a design to a leather item (DC 10)Craft: Sling, Whip, Hide Armor, Leather Armor, Studded Leather Armor, Backpack, Crossbow Bolt Case, Map or Scroll Case, Parchment, Pouch, Quiver, Waterskin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98" s="10" t="str">
        <f>IFERROR(__xludf.DUMMYFUNCTION("""COMPUTED_VALUE"""),"Free to Guild Adventurers with Item Proficiency")</f>
        <v>Free to Guild Adventurers with Item Proficiency</v>
      </c>
    </row>
    <row r="99">
      <c r="A99" s="8" t="str">
        <f>IFERROR(__xludf.DUMMYFUNCTION("""COMPUTED_VALUE"""),"Mason's Tools")</f>
        <v>Mason's Tools</v>
      </c>
      <c r="B99" s="8" t="str">
        <f>IFERROR(__xludf.DUMMYFUNCTION("""COMPUTED_VALUE"""),"PHB'24")</f>
        <v>PHB'24</v>
      </c>
      <c r="C99" s="8" t="str">
        <f>IFERROR(__xludf.DUMMYFUNCTION("""COMPUTED_VALUE"""),"none")</f>
        <v>none</v>
      </c>
      <c r="D99" s="8" t="str">
        <f>IFERROR(__xludf.DUMMYFUNCTION("""COMPUTED_VALUE"""),"Artisan's Tools")</f>
        <v>Artisan's Tools</v>
      </c>
      <c r="E99" s="8"/>
      <c r="F99" s="8"/>
      <c r="G99" s="8"/>
      <c r="H99" s="8"/>
      <c r="I99" s="8" t="str">
        <f>IFERROR(__xludf.DUMMYFUNCTION("""COMPUTED_VALUE"""),"Ability: Strength Utilize: Chisel a symbol or hole in stone (DC 10)Craft: Block and Tackle Artisan's Tools are each focused on crafting items and pursuing a trade. Each type of Artisan's Tools tools requires a separate proficiency. If you have proficiency"&amp;" with a tool, add your Proficiency Bonus to any ability check you make that uses the tool. If you have proficiency in a skill that's used with that check, you have Advantage on the check too.")</f>
        <v>Ability: Strength Utilize: Chisel a symbol or hole in stone (DC 10)Craft: Block and Tackle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99" s="8" t="str">
        <f>IFERROR(__xludf.DUMMYFUNCTION("""COMPUTED_VALUE"""),"Free to Guild Adventurers with Item Proficiency")</f>
        <v>Free to Guild Adventurers with Item Proficiency</v>
      </c>
    </row>
    <row r="100">
      <c r="A100" s="10" t="str">
        <f>IFERROR(__xludf.DUMMYFUNCTION("""COMPUTED_VALUE"""),"Musical Instrument")</f>
        <v>Musical Instrument</v>
      </c>
      <c r="B100" s="10" t="str">
        <f>IFERROR(__xludf.DUMMYFUNCTION("""COMPUTED_VALUE"""),"PHB'24")</f>
        <v>PHB'24</v>
      </c>
      <c r="C100" s="10" t="str">
        <f>IFERROR(__xludf.DUMMYFUNCTION("""COMPUTED_VALUE"""),"none")</f>
        <v>none</v>
      </c>
      <c r="D100" s="10" t="str">
        <f>IFERROR(__xludf.DUMMYFUNCTION("""COMPUTED_VALUE"""),"Instrument")</f>
        <v>Instrument</v>
      </c>
      <c r="E100" s="10"/>
      <c r="F100" s="10"/>
      <c r="G100" s="10"/>
      <c r="H100" s="10"/>
      <c r="I100" s="10" t="str">
        <f>IFERROR(__xludf.DUMMYFUNCTION("""COMPUTED_VALUE"""),"If you have proficiency with a tool, add your Proficiency Bonus to any ability check you make that uses the tool. If you have proficiency in a skill that's used with that check, you have Advantage on the check too.")</f>
        <v>If you have proficiency with a tool, add your Proficiency Bonus to any ability check you make that uses the tool. If you have proficiency in a skill that's used with that check, you have Advantage on the check too.</v>
      </c>
      <c r="J100" s="10" t="str">
        <f>IFERROR(__xludf.DUMMYFUNCTION("""COMPUTED_VALUE"""),"Free to Guild Adventurers with Item Proficiency")</f>
        <v>Free to Guild Adventurers with Item Proficiency</v>
      </c>
    </row>
    <row r="101">
      <c r="A101" s="8" t="str">
        <f>IFERROR(__xludf.DUMMYFUNCTION("""COMPUTED_VALUE"""),"Navigator's Tools")</f>
        <v>Navigator's Tools</v>
      </c>
      <c r="B101" s="8" t="str">
        <f>IFERROR(__xludf.DUMMYFUNCTION("""COMPUTED_VALUE"""),"PHB'24")</f>
        <v>PHB'24</v>
      </c>
      <c r="C101" s="8" t="str">
        <f>IFERROR(__xludf.DUMMYFUNCTION("""COMPUTED_VALUE"""),"none")</f>
        <v>none</v>
      </c>
      <c r="D101" s="8" t="str">
        <f>IFERROR(__xludf.DUMMYFUNCTION("""COMPUTED_VALUE"""),"Tool")</f>
        <v>Tool</v>
      </c>
      <c r="E101" s="8"/>
      <c r="F101" s="8"/>
      <c r="G101" s="8"/>
      <c r="H101" s="8"/>
      <c r="I101" s="8" t="str">
        <f>IFERROR(__xludf.DUMMYFUNCTION("""COMPUTED_VALUE"""),"Ability: WisdomUtilize: Plot a course (DC 10), or determine position by stargazing (DC 15)If you have proficiency with a tool, add your Proficiency Bonus to any ability check you make that uses the tool. If you have proficiency in a skill that's used with"&amp;" that check, you have Advantage on the check too.")</f>
        <v>Ability: WisdomUtilize: Plot a course (DC 10), or determine position by stargazing (DC 15)If you have proficiency with a tool, add your Proficiency Bonus to any ability check you make that uses the tool. If you have proficiency in a skill that's used with that check, you have Advantage on the check too.</v>
      </c>
      <c r="J101" s="8" t="str">
        <f>IFERROR(__xludf.DUMMYFUNCTION("""COMPUTED_VALUE"""),"Free to Guild Adventurers with Item Proficiency")</f>
        <v>Free to Guild Adventurers with Item Proficiency</v>
      </c>
    </row>
    <row r="102">
      <c r="A102" s="10" t="str">
        <f>IFERROR(__xludf.DUMMYFUNCTION("""COMPUTED_VALUE"""),"Painter's Supplies")</f>
        <v>Painter's Supplies</v>
      </c>
      <c r="B102" s="10" t="str">
        <f>IFERROR(__xludf.DUMMYFUNCTION("""COMPUTED_VALUE"""),"PHB'24")</f>
        <v>PHB'24</v>
      </c>
      <c r="C102" s="10" t="str">
        <f>IFERROR(__xludf.DUMMYFUNCTION("""COMPUTED_VALUE"""),"none")</f>
        <v>none</v>
      </c>
      <c r="D102" s="10" t="str">
        <f>IFERROR(__xludf.DUMMYFUNCTION("""COMPUTED_VALUE"""),"Artisan's Tools")</f>
        <v>Artisan's Tools</v>
      </c>
      <c r="E102" s="10"/>
      <c r="F102" s="10"/>
      <c r="G102" s="10"/>
      <c r="H102" s="10"/>
      <c r="I102" s="10" t="str">
        <f>IFERROR(__xludf.DUMMYFUNCTION("""COMPUTED_VALUE"""),"Ability: Wisdom Utilize: Paint a recognizable image of something you've seen (DC 10)Craft: Druidic Focus, Holy Symbol Artisan's Tools are each focused on crafting items and pursuing a trade. Each type of Artisan's Tools tools requires a separate proficien"&amp;"cy. If you have proficiency with a tool, add your Proficiency Bonus to any ability check you make that uses the tool. If you have proficiency in a skill that's used with that check, you have Advantage on the check too.")</f>
        <v>Ability: Wisdom Utilize: Paint a recognizable image of something you've seen (DC 10)Craft: Druidic Focus, Holy Symbol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102" s="10" t="str">
        <f>IFERROR(__xludf.DUMMYFUNCTION("""COMPUTED_VALUE"""),"Free to Guild Adventurers with Item Proficiency")</f>
        <v>Free to Guild Adventurers with Item Proficiency</v>
      </c>
    </row>
    <row r="103">
      <c r="A103" s="8" t="str">
        <f>IFERROR(__xludf.DUMMYFUNCTION("""COMPUTED_VALUE"""),"Playing Cards")</f>
        <v>Playing Cards</v>
      </c>
      <c r="B103" s="8" t="str">
        <f>IFERROR(__xludf.DUMMYFUNCTION("""COMPUTED_VALUE"""),"PHB'24")</f>
        <v>PHB'24</v>
      </c>
      <c r="C103" s="8" t="str">
        <f>IFERROR(__xludf.DUMMYFUNCTION("""COMPUTED_VALUE"""),"none")</f>
        <v>none</v>
      </c>
      <c r="D103" s="8" t="str">
        <f>IFERROR(__xludf.DUMMYFUNCTION("""COMPUTED_VALUE"""),"Gaming Set")</f>
        <v>Gaming Set</v>
      </c>
      <c r="E103" s="8"/>
      <c r="F103" s="8"/>
      <c r="G103" s="8"/>
      <c r="H103" s="8"/>
      <c r="I103" s="8" t="str">
        <f>IFERROR(__xludf.DUMMYFUNCTION("""COMPUTED_VALUE"""),"Ability: WisdomUtilize: Discern whether someone is cheating (DC 10), or win the game (DC 20)If you have proficiency with a tool, add your Proficiency Bonus to any ability check you make that uses the tool. If you have proficiency in a skill that's used wi"&amp;"th that check, you have Advantage on the check too.")</f>
        <v>Ability: WisdomUtilize: Discern whether someone is cheating (DC 10), or win the game (DC 20)If you have proficiency with a tool, add your Proficiency Bonus to any ability check you make that uses the tool. If you have proficiency in a skill that's used with that check, you have Advantage on the check too.</v>
      </c>
      <c r="J103" s="8" t="str">
        <f>IFERROR(__xludf.DUMMYFUNCTION("""COMPUTED_VALUE"""),"Free to Guild Adventurers with Item Proficiency")</f>
        <v>Free to Guild Adventurers with Item Proficiency</v>
      </c>
    </row>
    <row r="104">
      <c r="A104" s="10" t="str">
        <f>IFERROR(__xludf.DUMMYFUNCTION("""COMPUTED_VALUE"""),"Poisoner's Kit")</f>
        <v>Poisoner's Kit</v>
      </c>
      <c r="B104" s="10" t="str">
        <f>IFERROR(__xludf.DUMMYFUNCTION("""COMPUTED_VALUE"""),"PHB'24")</f>
        <v>PHB'24</v>
      </c>
      <c r="C104" s="10" t="str">
        <f>IFERROR(__xludf.DUMMYFUNCTION("""COMPUTED_VALUE"""),"none")</f>
        <v>none</v>
      </c>
      <c r="D104" s="10" t="str">
        <f>IFERROR(__xludf.DUMMYFUNCTION("""COMPUTED_VALUE"""),"Tool")</f>
        <v>Tool</v>
      </c>
      <c r="E104" s="10"/>
      <c r="F104" s="10"/>
      <c r="G104" s="10"/>
      <c r="H104" s="10"/>
      <c r="I104" s="10" t="str">
        <f>IFERROR(__xludf.DUMMYFUNCTION("""COMPUTED_VALUE"""),"Ability: IntelligenceUtilize: Detect a poisoned object (DC 10)Craft: Basic Poison If you have proficiency with a tool, add your Proficiency Bonus to any ability check you make that uses the tool. If you have proficiency in a skill that's used with that ch"&amp;"eck, you have Advantage on the check too.")</f>
        <v>Ability: IntelligenceUtilize: Detect a poisoned object (DC 10)Craft: Basic Poison If you have proficiency with a tool, add your Proficiency Bonus to any ability check you make that uses the tool. If you have proficiency in a skill that's used with that check, you have Advantage on the check too.</v>
      </c>
      <c r="J104" s="10" t="str">
        <f>IFERROR(__xludf.DUMMYFUNCTION("""COMPUTED_VALUE"""),"Free to Guild Adventurers with Item Proficiency")</f>
        <v>Free to Guild Adventurers with Item Proficiency</v>
      </c>
    </row>
    <row r="105">
      <c r="A105" s="8" t="str">
        <f>IFERROR(__xludf.DUMMYFUNCTION("""COMPUTED_VALUE"""),"Potter's Tools")</f>
        <v>Potter's Tools</v>
      </c>
      <c r="B105" s="8" t="str">
        <f>IFERROR(__xludf.DUMMYFUNCTION("""COMPUTED_VALUE"""),"PHB'24")</f>
        <v>PHB'24</v>
      </c>
      <c r="C105" s="8" t="str">
        <f>IFERROR(__xludf.DUMMYFUNCTION("""COMPUTED_VALUE"""),"none")</f>
        <v>none</v>
      </c>
      <c r="D105" s="8" t="str">
        <f>IFERROR(__xludf.DUMMYFUNCTION("""COMPUTED_VALUE"""),"Artisan's Tools")</f>
        <v>Artisan's Tools</v>
      </c>
      <c r="E105" s="8"/>
      <c r="F105" s="8"/>
      <c r="G105" s="8"/>
      <c r="H105" s="8"/>
      <c r="I105" s="8" t="str">
        <f>IFERROR(__xludf.DUMMYFUNCTION("""COMPUTED_VALUE"""),"Ability: Intelligence Utilize: Discern what a ceramic object held in the past 24 hours (DC 15)Craft: Jug, Lamp Artisan's Tools are each focused on crafting items and pursuing a trade. Each type of Artisan's Tools tools requires a separate proficiency. If "&amp;"you have proficiency with a tool, add your Proficiency Bonus to any ability check you make that uses the tool. If you have proficiency in a skill that's used with that check, you have Advantage on the check too.")</f>
        <v>Ability: Intelligence Utilize: Discern what a ceramic object held in the past 24 hours (DC 15)Craft: Jug, Lamp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105" s="8" t="str">
        <f>IFERROR(__xludf.DUMMYFUNCTION("""COMPUTED_VALUE"""),"Free to Guild Adventurers with Item Proficiency")</f>
        <v>Free to Guild Adventurers with Item Proficiency</v>
      </c>
    </row>
    <row r="106">
      <c r="A106" s="10" t="str">
        <f>IFERROR(__xludf.DUMMYFUNCTION("""COMPUTED_VALUE"""),"Smith's Tools")</f>
        <v>Smith's Tools</v>
      </c>
      <c r="B106" s="10" t="str">
        <f>IFERROR(__xludf.DUMMYFUNCTION("""COMPUTED_VALUE"""),"PHB'24")</f>
        <v>PHB'24</v>
      </c>
      <c r="C106" s="10" t="str">
        <f>IFERROR(__xludf.DUMMYFUNCTION("""COMPUTED_VALUE"""),"none")</f>
        <v>none</v>
      </c>
      <c r="D106" s="10" t="str">
        <f>IFERROR(__xludf.DUMMYFUNCTION("""COMPUTED_VALUE"""),"Artisan's Tools")</f>
        <v>Artisan's Tools</v>
      </c>
      <c r="E106" s="10"/>
      <c r="F106" s="10"/>
      <c r="G106" s="10"/>
      <c r="H106" s="10"/>
      <c r="I106" s="10" t="str">
        <f>IFERROR(__xludf.DUMMYFUNCTION("""COMPUTED_VALUE"""),"Ability: Strength Utilize: Pry open a door or container (DC 20)Craft: Any Melee weapon (except Club, Greatclub, Quarterstaff, and Whip), Medium armor (except Hide), Heavy armor, Ball Bearings, Bucket, Caltrops, Chain, Crowbar, Firearm Bullets, Grappling H"&amp;"ook, Iron Pot, Iron Spikes, Sling Bullets Artisan's Tools are each focused on crafting items and pursuing a trade. Each type of Artisan's Tools tools requires a separate proficiency. If you have proficiency with a tool, add your Proficiency Bonus to any a"&amp;"bility check you make that uses the tool. If you have proficiency in a skill that's used with that check, you have Advantage on the check too.")</f>
        <v>Ability: Strength Utilize: Pry open a door or container (DC 20)Craft: Any Melee weapon (except Club, Greatclub, Quarterstaff, and Whip), Medium armor (except Hide), Heavy armor, Ball Bearings, Bucket, Caltrops, Chain, Crowbar, Firearm Bullets, Grappling Hook, Iron Pot, Iron Spikes, Sling Bullets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106" s="10" t="str">
        <f>IFERROR(__xludf.DUMMYFUNCTION("""COMPUTED_VALUE"""),"Free to Guild Adventurers with Item Proficiency")</f>
        <v>Free to Guild Adventurers with Item Proficiency</v>
      </c>
    </row>
    <row r="107">
      <c r="A107" s="8" t="str">
        <f>IFERROR(__xludf.DUMMYFUNCTION("""COMPUTED_VALUE"""),"Thieves' Tools")</f>
        <v>Thieves' Tools</v>
      </c>
      <c r="B107" s="8" t="str">
        <f>IFERROR(__xludf.DUMMYFUNCTION("""COMPUTED_VALUE"""),"PHB'24")</f>
        <v>PHB'24</v>
      </c>
      <c r="C107" s="8" t="str">
        <f>IFERROR(__xludf.DUMMYFUNCTION("""COMPUTED_VALUE"""),"none")</f>
        <v>none</v>
      </c>
      <c r="D107" s="8" t="str">
        <f>IFERROR(__xludf.DUMMYFUNCTION("""COMPUTED_VALUE"""),"Tool")</f>
        <v>Tool</v>
      </c>
      <c r="E107" s="8"/>
      <c r="F107" s="8"/>
      <c r="G107" s="8"/>
      <c r="H107" s="8"/>
      <c r="I107" s="8" t="str">
        <f>IFERROR(__xludf.DUMMYFUNCTION("""COMPUTED_VALUE"""),"Ability: DexterityUtilize: Pick a lock (DC 15), or disarm a trap (DC 15)If you have proficiency with a tool, add your Proficiency Bonus to any ability check you make that uses the tool. If you have proficiency in a skill that's used with that check, you h"&amp;"ave Advantage on the check too.")</f>
        <v>Ability: DexterityUtilize: Pick a lock (DC 15), or disarm a trap (DC 15)If you have proficiency with a tool, add your Proficiency Bonus to any ability check you make that uses the tool. If you have proficiency in a skill that's used with that check, you have Advantage on the check too.</v>
      </c>
      <c r="J107" s="8" t="str">
        <f>IFERROR(__xludf.DUMMYFUNCTION("""COMPUTED_VALUE"""),"Free to Guild Adventurers with Item Proficiency")</f>
        <v>Free to Guild Adventurers with Item Proficiency</v>
      </c>
    </row>
    <row r="108">
      <c r="A108" s="10" t="str">
        <f>IFERROR(__xludf.DUMMYFUNCTION("""COMPUTED_VALUE"""),"Three-Dragon Ante Set")</f>
        <v>Three-Dragon Ante Set</v>
      </c>
      <c r="B108" s="10" t="str">
        <f>IFERROR(__xludf.DUMMYFUNCTION("""COMPUTED_VALUE"""),"PHB'24")</f>
        <v>PHB'24</v>
      </c>
      <c r="C108" s="10" t="str">
        <f>IFERROR(__xludf.DUMMYFUNCTION("""COMPUTED_VALUE"""),"none")</f>
        <v>none</v>
      </c>
      <c r="D108" s="10" t="str">
        <f>IFERROR(__xludf.DUMMYFUNCTION("""COMPUTED_VALUE"""),"Gaming Set")</f>
        <v>Gaming Set</v>
      </c>
      <c r="E108" s="10"/>
      <c r="F108" s="10"/>
      <c r="G108" s="10"/>
      <c r="H108" s="10"/>
      <c r="I108" s="10" t="str">
        <f>IFERROR(__xludf.DUMMYFUNCTION("""COMPUTED_VALUE"""),"Ability: WisdomUtilize: Discern whether someone is cheating (DC 10), or win the game (DC 20)If you have proficiency with a tool, add your Proficiency Bonus to any ability check you make that uses the tool. If you have proficiency in a skill that's used wi"&amp;"th that check, you have Advantage on the check too.")</f>
        <v>Ability: WisdomUtilize: Discern whether someone is cheating (DC 10), or win the game (DC 20)If you have proficiency with a tool, add your Proficiency Bonus to any ability check you make that uses the tool. If you have proficiency in a skill that's used with that check, you have Advantage on the check too.</v>
      </c>
      <c r="J108" s="10" t="str">
        <f>IFERROR(__xludf.DUMMYFUNCTION("""COMPUTED_VALUE"""),"Free to Guild Adventurers with Item Proficiency")</f>
        <v>Free to Guild Adventurers with Item Proficiency</v>
      </c>
    </row>
    <row r="109">
      <c r="A109" s="8" t="str">
        <f>IFERROR(__xludf.DUMMYFUNCTION("""COMPUTED_VALUE"""),"Tinker's Tools")</f>
        <v>Tinker's Tools</v>
      </c>
      <c r="B109" s="8" t="str">
        <f>IFERROR(__xludf.DUMMYFUNCTION("""COMPUTED_VALUE"""),"PHB'24")</f>
        <v>PHB'24</v>
      </c>
      <c r="C109" s="8" t="str">
        <f>IFERROR(__xludf.DUMMYFUNCTION("""COMPUTED_VALUE"""),"none")</f>
        <v>none</v>
      </c>
      <c r="D109" s="8" t="str">
        <f>IFERROR(__xludf.DUMMYFUNCTION("""COMPUTED_VALUE"""),"Artisan's Tools")</f>
        <v>Artisan's Tools</v>
      </c>
      <c r="E109" s="8"/>
      <c r="F109" s="8"/>
      <c r="G109" s="8"/>
      <c r="H109" s="8"/>
      <c r="I109" s="8" t="str">
        <f>IFERROR(__xludf.DUMMYFUNCTION("""COMPUTED_VALUE"""),"Ability: Dexterity Utilize: Assemble a Tiny item composed of scrap, which falls apart in 1 minute (DC 20)Craft: Musket, Pistol, Bell, Bullseye Lantern, Flask, Hooded Lantern, Hunting Trap, Lock, Manacles, Mirror, Shovel, Signal Whistle, Tinderbox Artisan'"&amp;"s Tools are each focused on crafting items and pursuing a trade. Each type of Artisan's Tools tools requires a separate proficiency. If you have proficiency with a tool, add your Proficiency Bonus to any ability check you make that uses the tool. If you h"&amp;"ave proficiency in a skill that's used with that check, you have Advantage on the check too.")</f>
        <v>Ability: Dexterity Utilize: Assemble a Tiny item composed of scrap, which falls apart in 1 minute (DC 20)Craft: Musket, Pistol, Bell, Bullseye Lantern, Flask, Hooded Lantern, Hunting Trap, Lock, Manacles, Mirror, Shovel, Signal Whistle, Tinderbox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109" s="8" t="str">
        <f>IFERROR(__xludf.DUMMYFUNCTION("""COMPUTED_VALUE"""),"Free to Guild Adventurers with Item Proficiency")</f>
        <v>Free to Guild Adventurers with Item Proficiency</v>
      </c>
    </row>
    <row r="110">
      <c r="A110" s="10" t="str">
        <f>IFERROR(__xludf.DUMMYFUNCTION("""COMPUTED_VALUE"""),"Weaver's Tools")</f>
        <v>Weaver's Tools</v>
      </c>
      <c r="B110" s="10" t="str">
        <f>IFERROR(__xludf.DUMMYFUNCTION("""COMPUTED_VALUE"""),"PHB'24")</f>
        <v>PHB'24</v>
      </c>
      <c r="C110" s="10" t="str">
        <f>IFERROR(__xludf.DUMMYFUNCTION("""COMPUTED_VALUE"""),"none")</f>
        <v>none</v>
      </c>
      <c r="D110" s="10" t="str">
        <f>IFERROR(__xludf.DUMMYFUNCTION("""COMPUTED_VALUE"""),"Artisan's Tools")</f>
        <v>Artisan's Tools</v>
      </c>
      <c r="E110" s="10"/>
      <c r="F110" s="10"/>
      <c r="G110" s="10"/>
      <c r="H110" s="10"/>
      <c r="I110" s="10" t="str">
        <f>IFERROR(__xludf.DUMMYFUNCTION("""COMPUTED_VALUE"""),"Ability: Dexterity Utilize: Mend a tear in clothing (DC 10), or sew a Tiny design (DC 10)Craft: Padded Armor, Basket, Bedroll, Blanket, Fine Clothes, Net, Robe, Rope, Sack, String, Tent, Traveler's Clothes Artisan's Tools are each focused on crafting item"&amp;"s and pursuing a trade. Each type of Artisan's Tools tools requires a separate proficiency. If you have proficiency with a tool, add your Proficiency Bonus to any ability check you make that uses the tool. If you have proficiency in a skill that's used wi"&amp;"th that check, you have Advantage on the check too.")</f>
        <v>Ability: Dexterity Utilize: Mend a tear in clothing (DC 10), or sew a Tiny design (DC 10)Craft: Padded Armor, Basket, Bedroll, Blanket, Fine Clothes, Net, Robe, Rope, Sack, String, Tent, Traveler's Clothes Artisan's Tools are each focused on crafting items and pursuing a trade. Each type of Artisan's Tools tools requires a separate proficiency. If you have proficiency with a tool, add your Proficiency Bonus to any ability check you make that uses the tool. If you have proficiency in a skill that's used with that check, you have Advantage on the check too.</v>
      </c>
      <c r="J110" s="10" t="str">
        <f>IFERROR(__xludf.DUMMYFUNCTION("""COMPUTED_VALUE"""),"Free to Guild Adventurers with Item Proficiency")</f>
        <v>Free to Guild Adventurers with Item Proficiency</v>
      </c>
    </row>
    <row r="111">
      <c r="A111" s="8" t="str">
        <f>IFERROR(__xludf.DUMMYFUNCTION("""COMPUTED_VALUE"""),"Woodcarver's Tools")</f>
        <v>Woodcarver's Tools</v>
      </c>
      <c r="B111" s="8" t="str">
        <f>IFERROR(__xludf.DUMMYFUNCTION("""COMPUTED_VALUE"""),"PHB'24")</f>
        <v>PHB'24</v>
      </c>
      <c r="C111" s="8" t="str">
        <f>IFERROR(__xludf.DUMMYFUNCTION("""COMPUTED_VALUE"""),"none")</f>
        <v>none</v>
      </c>
      <c r="D111" s="8" t="str">
        <f>IFERROR(__xludf.DUMMYFUNCTION("""COMPUTED_VALUE"""),"Artisan's Tools")</f>
        <v>Artisan's Tools</v>
      </c>
      <c r="E111" s="8"/>
      <c r="F111" s="8"/>
      <c r="G111" s="8"/>
      <c r="H111" s="8"/>
      <c r="I111" s="8" t="str">
        <f>IFERROR(__xludf.DUMMYFUNCTION("""COMPUTED_VALUE"""),"Ability: Dexterity Utilize: Carve a pattern in wood (DC 10)Craft: Club, Greatclub, Quarterstaff, Ranged weapons (except Pistol, Musket, and Sling), Arcane Focus, Arrows, Bolts, Druidic Focus, Ink Pen, Needles Artisan's Tools are each focused on crafting i"&amp;"tems and pursuing a trade. Each type of Artisan's Tools tools requires a separate proficiency.If you have proficiency with a tool, add your Proficiency Bonus to any ability check you make that uses the tool. If you have proficiency in a skill that's used "&amp;"with that check, you have Advantage on the check too.")</f>
        <v>Ability: Dexterity Utilize: Carve a pattern in wood (DC 10)Craft: Club, Greatclub, Quarterstaff, Ranged weapons (except Pistol, Musket, and Sling), Arcane Focus, Arrows, Bolts, Druidic Focus, Ink Pen, Needles Artisan's Tools are each focused on crafting items and pursuing a trade. Each type of Artisan's Tools tools requires a separate proficiency.If you have proficiency with a tool, add your Proficiency Bonus to any ability check you make that uses the tool. If you have proficiency in a skill that's used with that check, you have Advantage on the check too.</v>
      </c>
      <c r="J111" s="8" t="str">
        <f>IFERROR(__xludf.DUMMYFUNCTION("""COMPUTED_VALUE"""),"Free to Guild Adventurers with Item Proficiency")</f>
        <v>Free to Guild Adventurers with Item Proficiency</v>
      </c>
    </row>
    <row r="112">
      <c r="A112" s="12"/>
      <c r="B112" s="12"/>
      <c r="C112" s="12"/>
      <c r="D112" s="12"/>
      <c r="E112" s="12"/>
      <c r="F112" s="12"/>
      <c r="G112" s="12"/>
      <c r="H112" s="12"/>
      <c r="I112" s="12"/>
      <c r="J112" s="12"/>
    </row>
    <row r="113">
      <c r="A113" s="6" t="s">
        <v>21</v>
      </c>
    </row>
    <row r="114">
      <c r="A114" s="8" t="str">
        <f>IFERROR(__xludf.DUMMYFUNCTION("FILTER(MasterList_Hidden!A:J,Search(""Free"",MasterList_Hidden!J:J),MasterList_Hidden!D:D&lt;&gt;""Simple Weapon, Melee Weapon"",MasterList_Hidden!D:D&lt;&gt;""Martial Weapon, Melee Weapon"",MasterList_Hidden!D:D&lt;&gt;""Simple Weapon, Ranged Weapon"",MasterList_Hidden!D:"&amp;"D&lt;&gt;""Martial Weapon, Ranged Weapon"",MasterList_Hidden!D:D&lt;&gt;A56,MasterList_Hidden!D:D&lt;&gt;A61,MasterList_Hidden!D:D&lt;&gt;A68,MasterList_Hidden!D:D&lt;&gt;A74,MasterList_Hidden!D:D&lt;&gt;A77,MasterList_Hidden!AC:AC&lt;&gt;""Tools and Instruments"")"),"Adjustable Stilts")</f>
        <v>Adjustable Stilts</v>
      </c>
      <c r="B114" s="8" t="str">
        <f>IFERROR(__xludf.DUMMYFUNCTION("""COMPUTED_VALUE"""),"WDH")</f>
        <v>WDH</v>
      </c>
      <c r="C114" s="8" t="str">
        <f>IFERROR(__xludf.DUMMYFUNCTION("""COMPUTED_VALUE"""),"none")</f>
        <v>none</v>
      </c>
      <c r="D114" s="8" t="str">
        <f>IFERROR(__xludf.DUMMYFUNCTION("""COMPUTED_VALUE"""),"Other")</f>
        <v>Other</v>
      </c>
      <c r="E114" s="8"/>
      <c r="F114" s="8"/>
      <c r="G114" s="8"/>
      <c r="H114" s="8"/>
      <c r="I114" s="8" t="str">
        <f>IFERROR(__xludf.DUMMYFUNCTION("""COMPUTED_VALUE"""),"The stilts take 1 minute to put on or remove. They increase the height of any humanoid wearing them by 2 to 5 feet. Each stilt weighs 8 pounds and is 1 foot long when fully collapsed.")</f>
        <v>The stilts take 1 minute to put on or remove. They increase the height of any humanoid wearing them by 2 to 5 feet. Each stilt weighs 8 pounds and is 1 foot long when fully collapsed.</v>
      </c>
      <c r="J114" s="8" t="str">
        <f>IFERROR(__xludf.DUMMYFUNCTION("""COMPUTED_VALUE"""),"Free to Guild Adventurers in Good Standing")</f>
        <v>Free to Guild Adventurers in Good Standing</v>
      </c>
    </row>
    <row r="115">
      <c r="A115" s="10" t="str">
        <f>IFERROR(__xludf.DUMMYFUNCTION("""COMPUTED_VALUE"""),"Backpack")</f>
        <v>Backpack</v>
      </c>
      <c r="B115" s="10" t="str">
        <f>IFERROR(__xludf.DUMMYFUNCTION("""COMPUTED_VALUE"""),"PHB'24")</f>
        <v>PHB'24</v>
      </c>
      <c r="C115" s="10" t="str">
        <f>IFERROR(__xludf.DUMMYFUNCTION("""COMPUTED_VALUE"""),"none")</f>
        <v>none</v>
      </c>
      <c r="D115" s="10" t="str">
        <f>IFERROR(__xludf.DUMMYFUNCTION("""COMPUTED_VALUE"""),"Adventuring Gear")</f>
        <v>Adventuring Gear</v>
      </c>
      <c r="E115" s="10"/>
      <c r="F115" s="10"/>
      <c r="G115" s="10"/>
      <c r="H115" s="10"/>
      <c r="I115" s="10" t="str">
        <f>IFERROR(__xludf.DUMMYFUNCTION("""COMPUTED_VALUE"""),"A Backpack holds up to 30 pounds within 1 cubic foot. It can also serve as a saddlebag.")</f>
        <v>A Backpack holds up to 30 pounds within 1 cubic foot. It can also serve as a saddlebag.</v>
      </c>
      <c r="J115" s="10" t="str">
        <f>IFERROR(__xludf.DUMMYFUNCTION("""COMPUTED_VALUE"""),"Free to Guild Adventurers in Good Standing")</f>
        <v>Free to Guild Adventurers in Good Standing</v>
      </c>
    </row>
    <row r="116">
      <c r="A116" s="8" t="str">
        <f>IFERROR(__xludf.DUMMYFUNCTION("""COMPUTED_VALUE"""),"Ball Bearings")</f>
        <v>Ball Bearings</v>
      </c>
      <c r="B116" s="8" t="str">
        <f>IFERROR(__xludf.DUMMYFUNCTION("""COMPUTED_VALUE"""),"PHB'24")</f>
        <v>PHB'24</v>
      </c>
      <c r="C116" s="8" t="str">
        <f>IFERROR(__xludf.DUMMYFUNCTION("""COMPUTED_VALUE"""),"none")</f>
        <v>none</v>
      </c>
      <c r="D116" s="8" t="str">
        <f>IFERROR(__xludf.DUMMYFUNCTION("""COMPUTED_VALUE"""),"Adventuring Gear")</f>
        <v>Adventuring Gear</v>
      </c>
      <c r="E116" s="8"/>
      <c r="F116" s="8"/>
      <c r="G116" s="8"/>
      <c r="H116" s="8"/>
      <c r="I116" s="8" t="str">
        <f>IFERROR(__xludf.DUMMYFUNCTION("""COMPUTED_VALUE"""),"As a Utilize action, you can spill Ball Bearings from their pouch. They spread to cover a level, 10-foot-square area within 10 feet of yourself. A creature that enters this area for the first time on a turn must succeed on a DC 10 Dexterity saving throw o"&amp;"r have the Prone condition. It takes 10 minutes to recover the Ball Bearings.")</f>
        <v>As a Utilize action, you can spill Ball Bearings from their pouch. They spread to cover a level, 10-foot-square area within 10 feet of yourself. A creature that enters this area for the first time on a turn must succeed on a DC 10 Dexterity saving throw or have the Prone condition. It takes 10 minutes to recover the Ball Bearings.</v>
      </c>
      <c r="J116" s="8" t="str">
        <f>IFERROR(__xludf.DUMMYFUNCTION("""COMPUTED_VALUE"""),"Free to Guild Adventurers in Good Standing")</f>
        <v>Free to Guild Adventurers in Good Standing</v>
      </c>
    </row>
    <row r="117">
      <c r="A117" s="10" t="str">
        <f>IFERROR(__xludf.DUMMYFUNCTION("""COMPUTED_VALUE"""),"Barking Box")</f>
        <v>Barking Box</v>
      </c>
      <c r="B117" s="10" t="str">
        <f>IFERROR(__xludf.DUMMYFUNCTION("""COMPUTED_VALUE"""),"WDH")</f>
        <v>WDH</v>
      </c>
      <c r="C117" s="10" t="str">
        <f>IFERROR(__xludf.DUMMYFUNCTION("""COMPUTED_VALUE"""),"none")</f>
        <v>none</v>
      </c>
      <c r="D117" s="10" t="str">
        <f>IFERROR(__xludf.DUMMYFUNCTION("""COMPUTED_VALUE"""),"Other")</f>
        <v>Other</v>
      </c>
      <c r="E117" s="10"/>
      <c r="F117" s="10"/>
      <c r="G117" s="10"/>
      <c r="H117" s="10"/>
      <c r="I117" s="10" t="str">
        <f>IFERROR(__xludf.DUMMYFUNCTION("""COMPUTED_VALUE"""),"This metal cube, 6 inches on a side, has a crank on top. Using an action to wind the crank activates the box for 8 hours. While activated, the box barks whenever it detects vibrations within 15 feet of it, as long as the box and the source of the vibratio"&amp;"ns are in contact with the same ground or substance. A switch on one side of the box sets the device to emit either a small dog's bark or a large dog's bark.")</f>
        <v>This metal cube, 6 inches on a side, has a crank on top. Using an action to wind the crank activates the box for 8 hours. While activated, the box barks whenever it detects vibrations within 15 feet of it, as long as the box and the source of the vibrations are in contact with the same ground or substance. A switch on one side of the box sets the device to emit either a small dog's bark or a large dog's bark.</v>
      </c>
      <c r="J117" s="10" t="str">
        <f>IFERROR(__xludf.DUMMYFUNCTION("""COMPUTED_VALUE"""),"Free to Guild Adventurers in Good Standing")</f>
        <v>Free to Guild Adventurers in Good Standing</v>
      </c>
    </row>
    <row r="118">
      <c r="A118" s="8" t="str">
        <f>IFERROR(__xludf.DUMMYFUNCTION("""COMPUTED_VALUE"""),"Barrel")</f>
        <v>Barrel</v>
      </c>
      <c r="B118" s="8" t="str">
        <f>IFERROR(__xludf.DUMMYFUNCTION("""COMPUTED_VALUE"""),"PHB'24")</f>
        <v>PHB'24</v>
      </c>
      <c r="C118" s="8" t="str">
        <f>IFERROR(__xludf.DUMMYFUNCTION("""COMPUTED_VALUE"""),"none")</f>
        <v>none</v>
      </c>
      <c r="D118" s="8" t="str">
        <f>IFERROR(__xludf.DUMMYFUNCTION("""COMPUTED_VALUE"""),"Adventuring Gear")</f>
        <v>Adventuring Gear</v>
      </c>
      <c r="E118" s="8"/>
      <c r="F118" s="8"/>
      <c r="G118" s="8"/>
      <c r="H118" s="8"/>
      <c r="I118" s="8" t="str">
        <f>IFERROR(__xludf.DUMMYFUNCTION("""COMPUTED_VALUE"""),"A Barrel holds up to 40 gallons of liquid or up to 4 cubic feet of dry goods.")</f>
        <v>A Barrel holds up to 40 gallons of liquid or up to 4 cubic feet of dry goods.</v>
      </c>
      <c r="J118" s="8" t="str">
        <f>IFERROR(__xludf.DUMMYFUNCTION("""COMPUTED_VALUE"""),"Free to Guild Adventurers in Good Standing")</f>
        <v>Free to Guild Adventurers in Good Standing</v>
      </c>
    </row>
    <row r="119">
      <c r="A119" s="10" t="str">
        <f>IFERROR(__xludf.DUMMYFUNCTION("""COMPUTED_VALUE"""),"Basket")</f>
        <v>Basket</v>
      </c>
      <c r="B119" s="10" t="str">
        <f>IFERROR(__xludf.DUMMYFUNCTION("""COMPUTED_VALUE"""),"PHB'24")</f>
        <v>PHB'24</v>
      </c>
      <c r="C119" s="10" t="str">
        <f>IFERROR(__xludf.DUMMYFUNCTION("""COMPUTED_VALUE"""),"none")</f>
        <v>none</v>
      </c>
      <c r="D119" s="10" t="str">
        <f>IFERROR(__xludf.DUMMYFUNCTION("""COMPUTED_VALUE"""),"Adventuring Gear")</f>
        <v>Adventuring Gear</v>
      </c>
      <c r="E119" s="10"/>
      <c r="F119" s="10"/>
      <c r="G119" s="10"/>
      <c r="H119" s="10"/>
      <c r="I119" s="10" t="str">
        <f>IFERROR(__xludf.DUMMYFUNCTION("""COMPUTED_VALUE"""),"A Basket holds up to 40 pounds within 2 cubic feet.")</f>
        <v>A Basket holds up to 40 pounds within 2 cubic feet.</v>
      </c>
      <c r="J119" s="10" t="str">
        <f>IFERROR(__xludf.DUMMYFUNCTION("""COMPUTED_VALUE"""),"Free to Guild Adventurers in Good Standing")</f>
        <v>Free to Guild Adventurers in Good Standing</v>
      </c>
    </row>
    <row r="120">
      <c r="A120" s="8" t="str">
        <f>IFERROR(__xludf.DUMMYFUNCTION("""COMPUTED_VALUE"""),"Bedroll")</f>
        <v>Bedroll</v>
      </c>
      <c r="B120" s="8" t="str">
        <f>IFERROR(__xludf.DUMMYFUNCTION("""COMPUTED_VALUE"""),"PHB'24")</f>
        <v>PHB'24</v>
      </c>
      <c r="C120" s="8" t="str">
        <f>IFERROR(__xludf.DUMMYFUNCTION("""COMPUTED_VALUE"""),"none")</f>
        <v>none</v>
      </c>
      <c r="D120" s="8" t="str">
        <f>IFERROR(__xludf.DUMMYFUNCTION("""COMPUTED_VALUE"""),"Adventuring Gear")</f>
        <v>Adventuring Gear</v>
      </c>
      <c r="E120" s="8"/>
      <c r="F120" s="8"/>
      <c r="G120" s="8"/>
      <c r="H120" s="8"/>
      <c r="I120" s="8" t="str">
        <f>IFERROR(__xludf.DUMMYFUNCTION("""COMPUTED_VALUE"""),"A Bedroll sleeps one Small or Medium creature. While in a Bedroll, you automatically succeed on saving throws against extreme cold (see the Dungeon Master's Guide).")</f>
        <v>A Bedroll sleeps one Small or Medium creature. While in a Bedroll, you automatically succeed on saving throws against extreme cold (see the Dungeon Master's Guide).</v>
      </c>
      <c r="J120" s="8" t="str">
        <f>IFERROR(__xludf.DUMMYFUNCTION("""COMPUTED_VALUE"""),"Free to Guild Adventurers in Good Standing")</f>
        <v>Free to Guild Adventurers in Good Standing</v>
      </c>
    </row>
    <row r="121">
      <c r="A121" s="10" t="str">
        <f>IFERROR(__xludf.DUMMYFUNCTION("""COMPUTED_VALUE"""),"Bell")</f>
        <v>Bell</v>
      </c>
      <c r="B121" s="10" t="str">
        <f>IFERROR(__xludf.DUMMYFUNCTION("""COMPUTED_VALUE"""),"PHB'24")</f>
        <v>PHB'24</v>
      </c>
      <c r="C121" s="10" t="str">
        <f>IFERROR(__xludf.DUMMYFUNCTION("""COMPUTED_VALUE"""),"none")</f>
        <v>none</v>
      </c>
      <c r="D121" s="10" t="str">
        <f>IFERROR(__xludf.DUMMYFUNCTION("""COMPUTED_VALUE"""),"Adventuring Gear")</f>
        <v>Adventuring Gear</v>
      </c>
      <c r="E121" s="10"/>
      <c r="F121" s="10"/>
      <c r="G121" s="10"/>
      <c r="H121" s="10"/>
      <c r="I121" s="10" t="str">
        <f>IFERROR(__xludf.DUMMYFUNCTION("""COMPUTED_VALUE"""),"When rung as a Utilize action, a Bell produces a sound that can be heard up to 60 feet away.")</f>
        <v>When rung as a Utilize action, a Bell produces a sound that can be heard up to 60 feet away.</v>
      </c>
      <c r="J121" s="10" t="str">
        <f>IFERROR(__xludf.DUMMYFUNCTION("""COMPUTED_VALUE"""),"Free to Guild Adventurers in Good Standing")</f>
        <v>Free to Guild Adventurers in Good Standing</v>
      </c>
    </row>
    <row r="122">
      <c r="A122" s="8" t="str">
        <f>IFERROR(__xludf.DUMMYFUNCTION("""COMPUTED_VALUE"""),"Blanket")</f>
        <v>Blanket</v>
      </c>
      <c r="B122" s="8" t="str">
        <f>IFERROR(__xludf.DUMMYFUNCTION("""COMPUTED_VALUE"""),"PHB'24")</f>
        <v>PHB'24</v>
      </c>
      <c r="C122" s="8" t="str">
        <f>IFERROR(__xludf.DUMMYFUNCTION("""COMPUTED_VALUE"""),"none")</f>
        <v>none</v>
      </c>
      <c r="D122" s="8" t="str">
        <f>IFERROR(__xludf.DUMMYFUNCTION("""COMPUTED_VALUE"""),"Adventuring Gear")</f>
        <v>Adventuring Gear</v>
      </c>
      <c r="E122" s="8"/>
      <c r="F122" s="8"/>
      <c r="G122" s="8"/>
      <c r="H122" s="8"/>
      <c r="I122" s="8" t="str">
        <f>IFERROR(__xludf.DUMMYFUNCTION("""COMPUTED_VALUE"""),"While wrapped in a blanket, you have Advantage on saving throws against extreme cold (see the Dungeon Master's Guide).")</f>
        <v>While wrapped in a blanket, you have Advantage on saving throws against extreme cold (see the Dungeon Master's Guide).</v>
      </c>
      <c r="J122" s="8" t="str">
        <f>IFERROR(__xludf.DUMMYFUNCTION("""COMPUTED_VALUE"""),"Free to Guild Adventurers in Good Standing")</f>
        <v>Free to Guild Adventurers in Good Standing</v>
      </c>
    </row>
    <row r="123">
      <c r="A123" s="10" t="str">
        <f>IFERROR(__xludf.DUMMYFUNCTION("""COMPUTED_VALUE"""),"Block and Tackle")</f>
        <v>Block and Tackle</v>
      </c>
      <c r="B123" s="10" t="str">
        <f>IFERROR(__xludf.DUMMYFUNCTION("""COMPUTED_VALUE"""),"PHB'24")</f>
        <v>PHB'24</v>
      </c>
      <c r="C123" s="10" t="str">
        <f>IFERROR(__xludf.DUMMYFUNCTION("""COMPUTED_VALUE"""),"none")</f>
        <v>none</v>
      </c>
      <c r="D123" s="10" t="str">
        <f>IFERROR(__xludf.DUMMYFUNCTION("""COMPUTED_VALUE"""),"Adventuring Gear")</f>
        <v>Adventuring Gear</v>
      </c>
      <c r="E123" s="10"/>
      <c r="F123" s="10"/>
      <c r="G123" s="10"/>
      <c r="H123" s="10"/>
      <c r="I123" s="10" t="str">
        <f>IFERROR(__xludf.DUMMYFUNCTION("""COMPUTED_VALUE"""),"A Block and Tackle allows you to hoist up to four times the weight you can normally lift.")</f>
        <v>A Block and Tackle allows you to hoist up to four times the weight you can normally lift.</v>
      </c>
      <c r="J123" s="10" t="str">
        <f>IFERROR(__xludf.DUMMYFUNCTION("""COMPUTED_VALUE"""),"Free to Guild Adventurers in Good Standing")</f>
        <v>Free to Guild Adventurers in Good Standing</v>
      </c>
    </row>
    <row r="124">
      <c r="A124" s="8" t="str">
        <f>IFERROR(__xludf.DUMMYFUNCTION("""COMPUTED_VALUE"""),"Book")</f>
        <v>Book</v>
      </c>
      <c r="B124" s="8" t="str">
        <f>IFERROR(__xludf.DUMMYFUNCTION("""COMPUTED_VALUE"""),"PHB'24")</f>
        <v>PHB'24</v>
      </c>
      <c r="C124" s="8" t="str">
        <f>IFERROR(__xludf.DUMMYFUNCTION("""COMPUTED_VALUE"""),"none")</f>
        <v>none</v>
      </c>
      <c r="D124" s="8" t="str">
        <f>IFERROR(__xludf.DUMMYFUNCTION("""COMPUTED_VALUE"""),"Adventuring Gear")</f>
        <v>Adventuring Gear</v>
      </c>
      <c r="E124" s="8"/>
      <c r="F124" s="8"/>
      <c r="G124" s="8"/>
      <c r="H124" s="8"/>
      <c r="I124" s="8" t="str">
        <f>IFERROR(__xludf.DUMMYFUNCTION("""COMPUTED_VALUE"""),"A Book contains fiction or nonfiction. If you consult an accurate nonfiction Book about its topic, you gain a +5 bonus to Intelligence (Arcana, History, Nature, or Religion) checks you make about that topic.")</f>
        <v>A Book contains fiction or nonfiction. If you consult an accurate nonfiction Book about its topic, you gain a +5 bonus to Intelligence (Arcana, History, Nature, or Religion) checks you make about that topic.</v>
      </c>
      <c r="J124" s="8" t="str">
        <f>IFERROR(__xludf.DUMMYFUNCTION("""COMPUTED_VALUE"""),"Free to Guild Adventurers in Good Standing")</f>
        <v>Free to Guild Adventurers in Good Standing</v>
      </c>
    </row>
    <row r="125">
      <c r="A125" s="10" t="str">
        <f>IFERROR(__xludf.DUMMYFUNCTION("""COMPUTED_VALUE"""),"Bucket")</f>
        <v>Bucket</v>
      </c>
      <c r="B125" s="10" t="str">
        <f>IFERROR(__xludf.DUMMYFUNCTION("""COMPUTED_VALUE"""),"PHB'24")</f>
        <v>PHB'24</v>
      </c>
      <c r="C125" s="10" t="str">
        <f>IFERROR(__xludf.DUMMYFUNCTION("""COMPUTED_VALUE"""),"none")</f>
        <v>none</v>
      </c>
      <c r="D125" s="10" t="str">
        <f>IFERROR(__xludf.DUMMYFUNCTION("""COMPUTED_VALUE"""),"Adventuring Gear")</f>
        <v>Adventuring Gear</v>
      </c>
      <c r="E125" s="10"/>
      <c r="F125" s="10"/>
      <c r="G125" s="10"/>
      <c r="H125" s="10"/>
      <c r="I125" s="10" t="str">
        <f>IFERROR(__xludf.DUMMYFUNCTION("""COMPUTED_VALUE"""),"A Bucket holds up to half a cubic foot of contents.")</f>
        <v>A Bucket holds up to half a cubic foot of contents.</v>
      </c>
      <c r="J125" s="10" t="str">
        <f>IFERROR(__xludf.DUMMYFUNCTION("""COMPUTED_VALUE"""),"Free to Guild Adventurers in Good Standing")</f>
        <v>Free to Guild Adventurers in Good Standing</v>
      </c>
    </row>
    <row r="126">
      <c r="A126" s="8" t="str">
        <f>IFERROR(__xludf.DUMMYFUNCTION("""COMPUTED_VALUE"""),"Bullseye Lantern")</f>
        <v>Bullseye Lantern</v>
      </c>
      <c r="B126" s="8" t="str">
        <f>IFERROR(__xludf.DUMMYFUNCTION("""COMPUTED_VALUE"""),"PHB'24")</f>
        <v>PHB'24</v>
      </c>
      <c r="C126" s="8" t="str">
        <f>IFERROR(__xludf.DUMMYFUNCTION("""COMPUTED_VALUE"""),"none")</f>
        <v>none</v>
      </c>
      <c r="D126" s="8" t="str">
        <f>IFERROR(__xludf.DUMMYFUNCTION("""COMPUTED_VALUE"""),"Adventuring Gear")</f>
        <v>Adventuring Gear</v>
      </c>
      <c r="E126" s="8"/>
      <c r="F126" s="8"/>
      <c r="G126" s="8"/>
      <c r="H126" s="8"/>
      <c r="I126" s="8" t="str">
        <f>IFERROR(__xludf.DUMMYFUNCTION("""COMPUTED_VALUE"""),"A Bullseye Lantern burns Oil as fuel to cast Bright Light in a 60-foot Cone and Dim Light for an additional 60 feet.")</f>
        <v>A Bullseye Lantern burns Oil as fuel to cast Bright Light in a 60-foot Cone and Dim Light for an additional 60 feet.</v>
      </c>
      <c r="J126" s="8" t="str">
        <f>IFERROR(__xludf.DUMMYFUNCTION("""COMPUTED_VALUE"""),"Free to Guild Adventurers in Good Standing")</f>
        <v>Free to Guild Adventurers in Good Standing</v>
      </c>
    </row>
    <row r="127">
      <c r="A127" s="10" t="str">
        <f>IFERROR(__xludf.DUMMYFUNCTION("""COMPUTED_VALUE"""),"Burglar's Pack")</f>
        <v>Burglar's Pack</v>
      </c>
      <c r="B127" s="10" t="str">
        <f>IFERROR(__xludf.DUMMYFUNCTION("""COMPUTED_VALUE"""),"PHB'24")</f>
        <v>PHB'24</v>
      </c>
      <c r="C127" s="10" t="str">
        <f>IFERROR(__xludf.DUMMYFUNCTION("""COMPUTED_VALUE"""),"none")</f>
        <v>none</v>
      </c>
      <c r="D127" s="10" t="str">
        <f>IFERROR(__xludf.DUMMYFUNCTION("""COMPUTED_VALUE"""),"Adventuring Gear")</f>
        <v>Adventuring Gear</v>
      </c>
      <c r="E127" s="10"/>
      <c r="F127" s="10"/>
      <c r="G127" s="10"/>
      <c r="H127" s="10"/>
      <c r="I127" s="10" t="str">
        <f>IFERROR(__xludf.DUMMYFUNCTION("""COMPUTED_VALUE"""),"A Burglar's Pack contains the following items: Backpack, Ball Bearings, Bell, 10 Candles, Crowbar, Hooded Lantern, 7 flasks of Oil, 5 days of Rations, Rope, Tinderbox, and Waterskin.")</f>
        <v>A Burglar's Pack contains the following items: Backpack, Ball Bearings, Bell, 10 Candles, Crowbar, Hooded Lantern, 7 flasks of Oil, 5 days of Rations, Rope, Tinderbox, and Waterskin.</v>
      </c>
      <c r="J127" s="10" t="str">
        <f>IFERROR(__xludf.DUMMYFUNCTION("""COMPUTED_VALUE"""),"Free to Guild Adventurers in Good Standing")</f>
        <v>Free to Guild Adventurers in Good Standing</v>
      </c>
    </row>
    <row r="128">
      <c r="A128" s="8" t="str">
        <f>IFERROR(__xludf.DUMMYFUNCTION("""COMPUTED_VALUE"""),"Caltrops")</f>
        <v>Caltrops</v>
      </c>
      <c r="B128" s="8" t="str">
        <f>IFERROR(__xludf.DUMMYFUNCTION("""COMPUTED_VALUE"""),"PHB'24")</f>
        <v>PHB'24</v>
      </c>
      <c r="C128" s="8" t="str">
        <f>IFERROR(__xludf.DUMMYFUNCTION("""COMPUTED_VALUE"""),"none")</f>
        <v>none</v>
      </c>
      <c r="D128" s="8" t="str">
        <f>IFERROR(__xludf.DUMMYFUNCTION("""COMPUTED_VALUE"""),"Adventuring Gear")</f>
        <v>Adventuring Gear</v>
      </c>
      <c r="E128" s="8"/>
      <c r="F128" s="8"/>
      <c r="G128" s="8"/>
      <c r="H128" s="8"/>
      <c r="I128" s="8" t="str">
        <f>IFERROR(__xludf.DUMMYFUNCTION("""COMPUTED_VALUE"""),"As a Utilize action, you can spread Caltrops from their bag to cover a 5-foot-square area within 5 feet of yourself. A creature that enters this area for the first time on a turn must succeed on a DC 15 Dexterity saving throw or take 1 Piercing damage and"&amp;" have its Speed reduced to 0 until the start of its next turn. It takes 10 minutes to recover the Caltrops.")</f>
        <v>As a Utilize action, you can spread Caltrops from their bag to cover a 5-foot-square area within 5 feet of yourself. A creature that enters this area for the first time on a turn must succeed on a DC 15 Dexterity saving throw or take 1 Piercing damage and have its Speed reduced to 0 until the start of its next turn. It takes 10 minutes to recover the Caltrops.</v>
      </c>
      <c r="J128" s="8" t="str">
        <f>IFERROR(__xludf.DUMMYFUNCTION("""COMPUTED_VALUE"""),"Free to Guild Adventurers in Good Standing")</f>
        <v>Free to Guild Adventurers in Good Standing</v>
      </c>
    </row>
    <row r="129">
      <c r="A129" s="10" t="str">
        <f>IFERROR(__xludf.DUMMYFUNCTION("""COMPUTED_VALUE"""),"Candle")</f>
        <v>Candle</v>
      </c>
      <c r="B129" s="10" t="str">
        <f>IFERROR(__xludf.DUMMYFUNCTION("""COMPUTED_VALUE"""),"PHB'24")</f>
        <v>PHB'24</v>
      </c>
      <c r="C129" s="10" t="str">
        <f>IFERROR(__xludf.DUMMYFUNCTION("""COMPUTED_VALUE"""),"none")</f>
        <v>none</v>
      </c>
      <c r="D129" s="10" t="str">
        <f>IFERROR(__xludf.DUMMYFUNCTION("""COMPUTED_VALUE"""),"Adventuring Gear")</f>
        <v>Adventuring Gear</v>
      </c>
      <c r="E129" s="10"/>
      <c r="F129" s="10"/>
      <c r="G129" s="10"/>
      <c r="H129" s="10"/>
      <c r="I129" s="10" t="str">
        <f>IFERROR(__xludf.DUMMYFUNCTION("""COMPUTED_VALUE"""),"For 1 hour, a lit Candle sheds Bright Light in a 5-foot radius and Dim Light for an additional 5 feet.")</f>
        <v>For 1 hour, a lit Candle sheds Bright Light in a 5-foot radius and Dim Light for an additional 5 feet.</v>
      </c>
      <c r="J129" s="10" t="str">
        <f>IFERROR(__xludf.DUMMYFUNCTION("""COMPUTED_VALUE"""),"Free to Guild Adventurers in Good Standing")</f>
        <v>Free to Guild Adventurers in Good Standing</v>
      </c>
    </row>
    <row r="130">
      <c r="A130" s="8" t="str">
        <f>IFERROR(__xludf.DUMMYFUNCTION("""COMPUTED_VALUE"""),"Chain")</f>
        <v>Chain</v>
      </c>
      <c r="B130" s="8" t="str">
        <f>IFERROR(__xludf.DUMMYFUNCTION("""COMPUTED_VALUE"""),"PHB'24")</f>
        <v>PHB'24</v>
      </c>
      <c r="C130" s="8" t="str">
        <f>IFERROR(__xludf.DUMMYFUNCTION("""COMPUTED_VALUE"""),"none")</f>
        <v>none</v>
      </c>
      <c r="D130" s="8" t="str">
        <f>IFERROR(__xludf.DUMMYFUNCTION("""COMPUTED_VALUE"""),"Adventuring Gear")</f>
        <v>Adventuring Gear</v>
      </c>
      <c r="E130" s="8"/>
      <c r="F130" s="8"/>
      <c r="G130" s="8"/>
      <c r="H130" s="8"/>
      <c r="I130" s="8" t="str">
        <f>IFERROR(__xludf.DUMMYFUNCTION("""COMPUTED_VALUE"""),"As a Utilize action, you can wrap a Chain around an unwilling creature within 5 feet of yourself that has the Grappled, Incapacitated, or Restrained condition if you succeed on a DC 13 Strength (Athletics) check. If the creature's legs are bound, the crea"&amp;"ture has the Restrained condition until it escapes. Escaping the Chain requires the creature to make a successful DC 18 Dexterity (Acrobatics) check as an action. Bursting the Chain requires a successful DC 20 Strength (Athletics) check as an action.")</f>
        <v>As a Utilize action, you can wrap a Chain around an unwilling creature within 5 feet of yourself that has the Grappled, Incapacitated, or Restrained condition if you succeed on a DC 13 Strength (Athletics) check. If the creature's legs are bound, the creature has the Restrained condition until it escapes. Escaping the Chain requires the creature to make a successful DC 18 Dexterity (Acrobatics) check as an action. Bursting the Chain requires a successful DC 20 Strength (Athletics) check as an action.</v>
      </c>
      <c r="J130" s="8" t="str">
        <f>IFERROR(__xludf.DUMMYFUNCTION("""COMPUTED_VALUE"""),"Free to Guild Adventurers in Good Standing")</f>
        <v>Free to Guild Adventurers in Good Standing</v>
      </c>
    </row>
    <row r="131">
      <c r="A131" s="10" t="str">
        <f>IFERROR(__xludf.DUMMYFUNCTION("""COMPUTED_VALUE"""),"Chalk (1 piece)")</f>
        <v>Chalk (1 piece)</v>
      </c>
      <c r="B131" s="10" t="str">
        <f>IFERROR(__xludf.DUMMYFUNCTION("""COMPUTED_VALUE"""),"PHB'14")</f>
        <v>PHB'14</v>
      </c>
      <c r="C131" s="10" t="str">
        <f>IFERROR(__xludf.DUMMYFUNCTION("""COMPUTED_VALUE"""),"none")</f>
        <v>none</v>
      </c>
      <c r="D131" s="10" t="str">
        <f>IFERROR(__xludf.DUMMYFUNCTION("""COMPUTED_VALUE"""),"Adventuring Gear")</f>
        <v>Adventuring Gear</v>
      </c>
      <c r="E131" s="10"/>
      <c r="F131" s="10"/>
      <c r="G131" s="10"/>
      <c r="H131" s="10"/>
      <c r="I131" s="10" t="str">
        <f>IFERROR(__xludf.DUMMYFUNCTION("""COMPUTED_VALUE"""),"A piece of chalk can be used to mark surfaces.")</f>
        <v>A piece of chalk can be used to mark surfaces.</v>
      </c>
      <c r="J131" s="10" t="str">
        <f>IFERROR(__xludf.DUMMYFUNCTION("""COMPUTED_VALUE"""),"Free to Guild Adventurers in Good Standing")</f>
        <v>Free to Guild Adventurers in Good Standing</v>
      </c>
    </row>
    <row r="132">
      <c r="A132" s="8" t="str">
        <f>IFERROR(__xludf.DUMMYFUNCTION("""COMPUTED_VALUE"""),"Chest")</f>
        <v>Chest</v>
      </c>
      <c r="B132" s="8" t="str">
        <f>IFERROR(__xludf.DUMMYFUNCTION("""COMPUTED_VALUE"""),"PHB'24")</f>
        <v>PHB'24</v>
      </c>
      <c r="C132" s="8" t="str">
        <f>IFERROR(__xludf.DUMMYFUNCTION("""COMPUTED_VALUE"""),"none")</f>
        <v>none</v>
      </c>
      <c r="D132" s="8" t="str">
        <f>IFERROR(__xludf.DUMMYFUNCTION("""COMPUTED_VALUE"""),"Adventuring Gear")</f>
        <v>Adventuring Gear</v>
      </c>
      <c r="E132" s="8"/>
      <c r="F132" s="8"/>
      <c r="G132" s="8"/>
      <c r="H132" s="8"/>
      <c r="I132" s="8" t="str">
        <f>IFERROR(__xludf.DUMMYFUNCTION("""COMPUTED_VALUE"""),"A Chest holds up to 12 cubic feet of contents.")</f>
        <v>A Chest holds up to 12 cubic feet of contents.</v>
      </c>
      <c r="J132" s="8" t="str">
        <f>IFERROR(__xludf.DUMMYFUNCTION("""COMPUTED_VALUE"""),"Free to Guild Adventurers in Good Standing")</f>
        <v>Free to Guild Adventurers in Good Standing</v>
      </c>
    </row>
    <row r="133">
      <c r="A133" s="10" t="str">
        <f>IFERROR(__xludf.DUMMYFUNCTION("""COMPUTED_VALUE"""),"Climber's Kit")</f>
        <v>Climber's Kit</v>
      </c>
      <c r="B133" s="10" t="str">
        <f>IFERROR(__xludf.DUMMYFUNCTION("""COMPUTED_VALUE"""),"PHB'24")</f>
        <v>PHB'24</v>
      </c>
      <c r="C133" s="10" t="str">
        <f>IFERROR(__xludf.DUMMYFUNCTION("""COMPUTED_VALUE"""),"none")</f>
        <v>none</v>
      </c>
      <c r="D133" s="10" t="str">
        <f>IFERROR(__xludf.DUMMYFUNCTION("""COMPUTED_VALUE"""),"Adventuring Gear")</f>
        <v>Adventuring Gear</v>
      </c>
      <c r="E133" s="10"/>
      <c r="F133" s="10"/>
      <c r="G133" s="10"/>
      <c r="H133" s="10"/>
      <c r="I133" s="10" t="str">
        <f>IFERROR(__xludf.DUMMYFUNCTION("""COMPUTED_VALUE"""),"A Climber's Kit includes boot tips, gloves, pitons, and a harness. As a Utilize action, you can use the Climber's Kit to anchor yourself; when you do, you can't fall more than 25 feet from the anchor point, and you can't move more than 25 feet from there "&amp;"without undoing the anchor as a Bonus Action.")</f>
        <v>A Climber's Kit includes boot tips, gloves, pitons, and a harness. As a Utilize action, you can use the Climber's Kit to anchor yourself; when you do, you can't fall more than 25 feet from the anchor point, and you can't move more than 25 feet from there without undoing the anchor as a Bonus Action.</v>
      </c>
      <c r="J133" s="10" t="str">
        <f>IFERROR(__xludf.DUMMYFUNCTION("""COMPUTED_VALUE"""),"Free to Guild Adventurers in Good Standing")</f>
        <v>Free to Guild Adventurers in Good Standing</v>
      </c>
    </row>
    <row r="134">
      <c r="A134" s="8" t="str">
        <f>IFERROR(__xludf.DUMMYFUNCTION("""COMPUTED_VALUE"""),"Clothing, cold weather")</f>
        <v>Clothing, cold weather</v>
      </c>
      <c r="B134" s="8" t="str">
        <f>IFERROR(__xludf.DUMMYFUNCTION("""COMPUTED_VALUE"""),"IDRotF")</f>
        <v>IDRotF</v>
      </c>
      <c r="C134" s="8" t="str">
        <f>IFERROR(__xludf.DUMMYFUNCTION("""COMPUTED_VALUE"""),"none")</f>
        <v>none</v>
      </c>
      <c r="D134" s="8" t="str">
        <f>IFERROR(__xludf.DUMMYFUNCTION("""COMPUTED_VALUE"""),"Adventuring Gear")</f>
        <v>Adventuring Gear</v>
      </c>
      <c r="E134" s="8"/>
      <c r="F134" s="8"/>
      <c r="G134" s="8"/>
      <c r="H134" s="8"/>
      <c r="I134" s="8" t="str">
        <f>IFERROR(__xludf.DUMMYFUNCTION("""COMPUTED_VALUE"""),"This outfit consists of a heavy fur coat or cloak over layers of wool clothing, as well as a fur-lined hat or hood, goggles, and fur-lined leather boots and gloves.As long as cold weather clothing remains dry, its wearer automatically succeeds on saving t"&amp;"hrows against the effects of extreme cold.")</f>
        <v>This outfit consists of a heavy fur coat or cloak over layers of wool clothing, as well as a fur-lined hat or hood, goggles, and fur-lined leather boots and gloves.As long as cold weather clothing remains dry, its wearer automatically succeeds on saving throws against the effects of extreme cold.</v>
      </c>
      <c r="J134" s="8" t="str">
        <f>IFERROR(__xludf.DUMMYFUNCTION("""COMPUTED_VALUE"""),"Free to Guild Adventurers in Good Standing")</f>
        <v>Free to Guild Adventurers in Good Standing</v>
      </c>
    </row>
    <row r="135">
      <c r="A135" s="10" t="str">
        <f>IFERROR(__xludf.DUMMYFUNCTION("""COMPUTED_VALUE"""),"Component Pouch")</f>
        <v>Component Pouch</v>
      </c>
      <c r="B135" s="10" t="str">
        <f>IFERROR(__xludf.DUMMYFUNCTION("""COMPUTED_VALUE"""),"PHB'24")</f>
        <v>PHB'24</v>
      </c>
      <c r="C135" s="10" t="str">
        <f>IFERROR(__xludf.DUMMYFUNCTION("""COMPUTED_VALUE"""),"none")</f>
        <v>none</v>
      </c>
      <c r="D135" s="10" t="str">
        <f>IFERROR(__xludf.DUMMYFUNCTION("""COMPUTED_VALUE"""),"Adventuring Gear")</f>
        <v>Adventuring Gear</v>
      </c>
      <c r="E135" s="10"/>
      <c r="F135" s="10"/>
      <c r="G135" s="10"/>
      <c r="H135" s="10"/>
      <c r="I135" s="10" t="str">
        <f>IFERROR(__xludf.DUMMYFUNCTION("""COMPUTED_VALUE"""),"A Component Pouch is watertight and filled with compartments that hold all the free Material components of your spells.")</f>
        <v>A Component Pouch is watertight and filled with compartments that hold all the free Material components of your spells.</v>
      </c>
      <c r="J135" s="10" t="str">
        <f>IFERROR(__xludf.DUMMYFUNCTION("""COMPUTED_VALUE"""),"Free to Guild Adventurers in Good Standing")</f>
        <v>Free to Guild Adventurers in Good Standing</v>
      </c>
    </row>
    <row r="136">
      <c r="A136" s="8" t="str">
        <f>IFERROR(__xludf.DUMMYFUNCTION("""COMPUTED_VALUE"""),"Costume")</f>
        <v>Costume</v>
      </c>
      <c r="B136" s="8" t="str">
        <f>IFERROR(__xludf.DUMMYFUNCTION("""COMPUTED_VALUE"""),"PHB'24")</f>
        <v>PHB'24</v>
      </c>
      <c r="C136" s="8" t="str">
        <f>IFERROR(__xludf.DUMMYFUNCTION("""COMPUTED_VALUE"""),"none")</f>
        <v>none</v>
      </c>
      <c r="D136" s="8" t="str">
        <f>IFERROR(__xludf.DUMMYFUNCTION("""COMPUTED_VALUE"""),"Adventuring Gear")</f>
        <v>Adventuring Gear</v>
      </c>
      <c r="E136" s="8"/>
      <c r="F136" s="8"/>
      <c r="G136" s="8"/>
      <c r="H136" s="8"/>
      <c r="I136" s="8" t="str">
        <f>IFERROR(__xludf.DUMMYFUNCTION("""COMPUTED_VALUE"""),"While wearing a Costume, you have Advantage on any ability check you make to impersonate the person or type of person it represents.")</f>
        <v>While wearing a Costume, you have Advantage on any ability check you make to impersonate the person or type of person it represents.</v>
      </c>
      <c r="J136" s="8" t="str">
        <f>IFERROR(__xludf.DUMMYFUNCTION("""COMPUTED_VALUE"""),"Free to Guild Adventurers in Good Standing")</f>
        <v>Free to Guild Adventurers in Good Standing</v>
      </c>
    </row>
    <row r="137">
      <c r="A137" s="10" t="str">
        <f>IFERROR(__xludf.DUMMYFUNCTION("""COMPUTED_VALUE"""),"Crampons")</f>
        <v>Crampons</v>
      </c>
      <c r="B137" s="10" t="str">
        <f>IFERROR(__xludf.DUMMYFUNCTION("""COMPUTED_VALUE"""),"IDRotF")</f>
        <v>IDRotF</v>
      </c>
      <c r="C137" s="10" t="str">
        <f>IFERROR(__xludf.DUMMYFUNCTION("""COMPUTED_VALUE"""),"none")</f>
        <v>none</v>
      </c>
      <c r="D137" s="10" t="str">
        <f>IFERROR(__xludf.DUMMYFUNCTION("""COMPUTED_VALUE"""),"Adventuring Gear")</f>
        <v>Adventuring Gear</v>
      </c>
      <c r="E137" s="10"/>
      <c r="F137" s="10"/>
      <c r="G137" s="10"/>
      <c r="H137" s="10"/>
      <c r="I137" s="10" t="str">
        <f>IFERROR(__xludf.DUMMYFUNCTION("""COMPUTED_VALUE"""),"A crampon is a metal plate with spikes that is strapped to the sole of a boot. A creature wearing crampons can't fall prone while moving across slippery ice.")</f>
        <v>A crampon is a metal plate with spikes that is strapped to the sole of a boot. A creature wearing crampons can't fall prone while moving across slippery ice.</v>
      </c>
      <c r="J137" s="10" t="str">
        <f>IFERROR(__xludf.DUMMYFUNCTION("""COMPUTED_VALUE"""),"Free to Guild Adventurers in Good Standing")</f>
        <v>Free to Guild Adventurers in Good Standing</v>
      </c>
    </row>
    <row r="138">
      <c r="A138" s="8" t="str">
        <f>IFERROR(__xludf.DUMMYFUNCTION("""COMPUTED_VALUE"""),"Crossbow Bolt Case")</f>
        <v>Crossbow Bolt Case</v>
      </c>
      <c r="B138" s="8" t="str">
        <f>IFERROR(__xludf.DUMMYFUNCTION("""COMPUTED_VALUE"""),"PHB'24")</f>
        <v>PHB'24</v>
      </c>
      <c r="C138" s="8" t="str">
        <f>IFERROR(__xludf.DUMMYFUNCTION("""COMPUTED_VALUE"""),"none")</f>
        <v>none</v>
      </c>
      <c r="D138" s="8" t="str">
        <f>IFERROR(__xludf.DUMMYFUNCTION("""COMPUTED_VALUE"""),"Adventuring Gear")</f>
        <v>Adventuring Gear</v>
      </c>
      <c r="E138" s="8"/>
      <c r="F138" s="8"/>
      <c r="G138" s="8"/>
      <c r="H138" s="8"/>
      <c r="I138" s="8" t="str">
        <f>IFERROR(__xludf.DUMMYFUNCTION("""COMPUTED_VALUE"""),"A Crossbow Bolt Case holds up to 20 Bolts.")</f>
        <v>A Crossbow Bolt Case holds up to 20 Bolts.</v>
      </c>
      <c r="J138" s="8" t="str">
        <f>IFERROR(__xludf.DUMMYFUNCTION("""COMPUTED_VALUE"""),"Free to Guild Adventurers in Good Standing")</f>
        <v>Free to Guild Adventurers in Good Standing</v>
      </c>
    </row>
    <row r="139">
      <c r="A139" s="10" t="str">
        <f>IFERROR(__xludf.DUMMYFUNCTION("""COMPUTED_VALUE"""),"Crowbar")</f>
        <v>Crowbar</v>
      </c>
      <c r="B139" s="10" t="str">
        <f>IFERROR(__xludf.DUMMYFUNCTION("""COMPUTED_VALUE"""),"PHB'24")</f>
        <v>PHB'24</v>
      </c>
      <c r="C139" s="10" t="str">
        <f>IFERROR(__xludf.DUMMYFUNCTION("""COMPUTED_VALUE"""),"none")</f>
        <v>none</v>
      </c>
      <c r="D139" s="10" t="str">
        <f>IFERROR(__xludf.DUMMYFUNCTION("""COMPUTED_VALUE"""),"Adventuring Gear")</f>
        <v>Adventuring Gear</v>
      </c>
      <c r="E139" s="10"/>
      <c r="F139" s="10"/>
      <c r="G139" s="10"/>
      <c r="H139" s="10"/>
      <c r="I139" s="10" t="str">
        <f>IFERROR(__xludf.DUMMYFUNCTION("""COMPUTED_VALUE"""),"Using a Crowbar gives you Advantage on Strength checks where the Crowbar's leverage can be applied.")</f>
        <v>Using a Crowbar gives you Advantage on Strength checks where the Crowbar's leverage can be applied.</v>
      </c>
      <c r="J139" s="10" t="str">
        <f>IFERROR(__xludf.DUMMYFUNCTION("""COMPUTED_VALUE"""),"Free to Guild Adventurers in Good Standing")</f>
        <v>Free to Guild Adventurers in Good Standing</v>
      </c>
    </row>
    <row r="140">
      <c r="A140" s="8" t="str">
        <f>IFERROR(__xludf.DUMMYFUNCTION("""COMPUTED_VALUE"""),"Desert Clothing")</f>
        <v>Desert Clothing</v>
      </c>
      <c r="B140" s="8" t="str">
        <f>IFERROR(__xludf.DUMMYFUNCTION("""COMPUTED_VALUE"""),"FRHoF")</f>
        <v>FRHoF</v>
      </c>
      <c r="C140" s="8" t="str">
        <f>IFERROR(__xludf.DUMMYFUNCTION("""COMPUTED_VALUE"""),"none")</f>
        <v>none</v>
      </c>
      <c r="D140" s="8" t="str">
        <f>IFERROR(__xludf.DUMMYFUNCTION("""COMPUTED_VALUE"""),"Adventuring Gear")</f>
        <v>Adventuring Gear</v>
      </c>
      <c r="E140" s="8"/>
      <c r="F140" s="8"/>
      <c r="G140" s="8"/>
      <c r="H140" s="8"/>
      <c r="I140" s="8" t="str">
        <f>IFERROR(__xludf.DUMMYFUNCTION("""COMPUTED_VALUE"""),"When you are wearing Desert Clothing and not wearing Medium or Heavy armor, you automatically succeed on saving throws against the effects of extreme heat.")</f>
        <v>When you are wearing Desert Clothing and not wearing Medium or Heavy armor, you automatically succeed on saving throws against the effects of extreme heat.</v>
      </c>
      <c r="J140" s="8" t="str">
        <f>IFERROR(__xludf.DUMMYFUNCTION("""COMPUTED_VALUE"""),"Free to Guild Adventurers in Good Standing")</f>
        <v>Free to Guild Adventurers in Good Standing</v>
      </c>
    </row>
    <row r="141">
      <c r="A141" s="10" t="str">
        <f>IFERROR(__xludf.DUMMYFUNCTION("""COMPUTED_VALUE"""),"Devil Mask")</f>
        <v>Devil Mask</v>
      </c>
      <c r="B141" s="10" t="str">
        <f>IFERROR(__xludf.DUMMYFUNCTION("""COMPUTED_VALUE"""),"FRHoF")</f>
        <v>FRHoF</v>
      </c>
      <c r="C141" s="10" t="str">
        <f>IFERROR(__xludf.DUMMYFUNCTION("""COMPUTED_VALUE"""),"none")</f>
        <v>none</v>
      </c>
      <c r="D141" s="10" t="str">
        <f>IFERROR(__xludf.DUMMYFUNCTION("""COMPUTED_VALUE"""),"Adventuring Gear")</f>
        <v>Adventuring Gear</v>
      </c>
      <c r="E141" s="10"/>
      <c r="F141" s="10"/>
      <c r="G141" s="10"/>
      <c r="H141" s="10"/>
      <c r="I141" s="10" t="str">
        <f>IFERROR(__xludf.DUMMYFUNCTION("""COMPUTED_VALUE"""),"While you are wearing a Devil Mask, other creatures have Disadvantage on Intelligence (Investigation) and Wisdom (Insight) checks made to discern your true identity or intentions.")</f>
        <v>While you are wearing a Devil Mask, other creatures have Disadvantage on Intelligence (Investigation) and Wisdom (Insight) checks made to discern your true identity or intentions.</v>
      </c>
      <c r="J141" s="10" t="str">
        <f>IFERROR(__xludf.DUMMYFUNCTION("""COMPUTED_VALUE"""),"Free to Guild Adventurers in Good Standing")</f>
        <v>Free to Guild Adventurers in Good Standing</v>
      </c>
    </row>
    <row r="142">
      <c r="A142" s="8" t="str">
        <f>IFERROR(__xludf.DUMMYFUNCTION("""COMPUTED_VALUE"""),"Diplomat's Pack")</f>
        <v>Diplomat's Pack</v>
      </c>
      <c r="B142" s="8" t="str">
        <f>IFERROR(__xludf.DUMMYFUNCTION("""COMPUTED_VALUE"""),"PHB'24")</f>
        <v>PHB'24</v>
      </c>
      <c r="C142" s="8" t="str">
        <f>IFERROR(__xludf.DUMMYFUNCTION("""COMPUTED_VALUE"""),"none")</f>
        <v>none</v>
      </c>
      <c r="D142" s="8" t="str">
        <f>IFERROR(__xludf.DUMMYFUNCTION("""COMPUTED_VALUE"""),"Adventuring Gear")</f>
        <v>Adventuring Gear</v>
      </c>
      <c r="E142" s="8"/>
      <c r="F142" s="8"/>
      <c r="G142" s="8"/>
      <c r="H142" s="8"/>
      <c r="I142" s="8" t="str">
        <f>IFERROR(__xludf.DUMMYFUNCTION("""COMPUTED_VALUE"""),"A Diplomat's Pack contains the following items: Chest, Fine Clothes, Ink, 5 Ink Pens, Lamp, 2 Map or Scroll Cases, 4 flasks of Oil, 5 sheets of Paper, 5 sheets of Parchment, Perfume, and Tinderbox.")</f>
        <v>A Diplomat's Pack contains the following items: Chest, Fine Clothes, Ink, 5 Ink Pens, Lamp, 2 Map or Scroll Cases, 4 flasks of Oil, 5 sheets of Paper, 5 sheets of Parchment, Perfume, and Tinderbox.</v>
      </c>
      <c r="J142" s="8" t="str">
        <f>IFERROR(__xludf.DUMMYFUNCTION("""COMPUTED_VALUE"""),"Free to Guild Adventurers in Good Standing")</f>
        <v>Free to Guild Adventurers in Good Standing</v>
      </c>
    </row>
    <row r="143">
      <c r="A143" s="10" t="str">
        <f>IFERROR(__xludf.DUMMYFUNCTION("""COMPUTED_VALUE"""),"Dungeoneer's Pack")</f>
        <v>Dungeoneer's Pack</v>
      </c>
      <c r="B143" s="10" t="str">
        <f>IFERROR(__xludf.DUMMYFUNCTION("""COMPUTED_VALUE"""),"PHB'24")</f>
        <v>PHB'24</v>
      </c>
      <c r="C143" s="10" t="str">
        <f>IFERROR(__xludf.DUMMYFUNCTION("""COMPUTED_VALUE"""),"none")</f>
        <v>none</v>
      </c>
      <c r="D143" s="10" t="str">
        <f>IFERROR(__xludf.DUMMYFUNCTION("""COMPUTED_VALUE"""),"Adventuring Gear")</f>
        <v>Adventuring Gear</v>
      </c>
      <c r="E143" s="10"/>
      <c r="F143" s="10"/>
      <c r="G143" s="10"/>
      <c r="H143" s="10"/>
      <c r="I143" s="10" t="str">
        <f>IFERROR(__xludf.DUMMYFUNCTION("""COMPUTED_VALUE"""),"A Dungeoneer's Pack contains the following items: Backpack, Caltrops, Crowbar, 2 flasks of Oil, 10 days of Rations, Rope, Tinderbox, 10 Torches, and Waterskin.")</f>
        <v>A Dungeoneer's Pack contains the following items: Backpack, Caltrops, Crowbar, 2 flasks of Oil, 10 days of Rations, Rope, Tinderbox, 10 Torches, and Waterskin.</v>
      </c>
      <c r="J143" s="10" t="str">
        <f>IFERROR(__xludf.DUMMYFUNCTION("""COMPUTED_VALUE"""),"Free to Guild Adventurers in Good Standing")</f>
        <v>Free to Guild Adventurers in Good Standing</v>
      </c>
    </row>
    <row r="144">
      <c r="A144" s="8" t="str">
        <f>IFERROR(__xludf.DUMMYFUNCTION("""COMPUTED_VALUE"""),"Entertainer's Pack")</f>
        <v>Entertainer's Pack</v>
      </c>
      <c r="B144" s="8" t="str">
        <f>IFERROR(__xludf.DUMMYFUNCTION("""COMPUTED_VALUE"""),"PHB'24")</f>
        <v>PHB'24</v>
      </c>
      <c r="C144" s="8" t="str">
        <f>IFERROR(__xludf.DUMMYFUNCTION("""COMPUTED_VALUE"""),"none")</f>
        <v>none</v>
      </c>
      <c r="D144" s="8" t="str">
        <f>IFERROR(__xludf.DUMMYFUNCTION("""COMPUTED_VALUE"""),"Adventuring Gear")</f>
        <v>Adventuring Gear</v>
      </c>
      <c r="E144" s="8"/>
      <c r="F144" s="8"/>
      <c r="G144" s="8"/>
      <c r="H144" s="8"/>
      <c r="I144" s="8" t="str">
        <f>IFERROR(__xludf.DUMMYFUNCTION("""COMPUTED_VALUE"""),"An Entertainer's Pack contains the following items: Backpack, Bedroll, Bell, Bullseye Lantern, 3 Costumes, Mirror, 8 flasks of Oil, 9 days of Rations, Tinderbox, and Waterskin.")</f>
        <v>An Entertainer's Pack contains the following items: Backpack, Bedroll, Bell, Bullseye Lantern, 3 Costumes, Mirror, 8 flasks of Oil, 9 days of Rations, Tinderbox, and Waterskin.</v>
      </c>
      <c r="J144" s="8" t="str">
        <f>IFERROR(__xludf.DUMMYFUNCTION("""COMPUTED_VALUE"""),"Free to Guild Adventurers in Good Standing")</f>
        <v>Free to Guild Adventurers in Good Standing</v>
      </c>
    </row>
    <row r="145">
      <c r="A145" s="10" t="str">
        <f>IFERROR(__xludf.DUMMYFUNCTION("""COMPUTED_VALUE"""),"Explorer's Pack")</f>
        <v>Explorer's Pack</v>
      </c>
      <c r="B145" s="10" t="str">
        <f>IFERROR(__xludf.DUMMYFUNCTION("""COMPUTED_VALUE"""),"PHB'24")</f>
        <v>PHB'24</v>
      </c>
      <c r="C145" s="10" t="str">
        <f>IFERROR(__xludf.DUMMYFUNCTION("""COMPUTED_VALUE"""),"none")</f>
        <v>none</v>
      </c>
      <c r="D145" s="10" t="str">
        <f>IFERROR(__xludf.DUMMYFUNCTION("""COMPUTED_VALUE"""),"Adventuring Gear")</f>
        <v>Adventuring Gear</v>
      </c>
      <c r="E145" s="10"/>
      <c r="F145" s="10"/>
      <c r="G145" s="10"/>
      <c r="H145" s="10"/>
      <c r="I145" s="10" t="str">
        <f>IFERROR(__xludf.DUMMYFUNCTION("""COMPUTED_VALUE"""),"An Explorer's Pack contains the following items: Backpack, Bedroll, 2 flasks of Oil, 10 days of Rations, Rope, Tinderbox, 10 Torches, and Waterskin.")</f>
        <v>An Explorer's Pack contains the following items: Backpack, Bedroll, 2 flasks of Oil, 10 days of Rations, Rope, Tinderbox, 10 Torches, and Waterskin.</v>
      </c>
      <c r="J145" s="10" t="str">
        <f>IFERROR(__xludf.DUMMYFUNCTION("""COMPUTED_VALUE"""),"Free to Guild Adventurers in Good Standing")</f>
        <v>Free to Guild Adventurers in Good Standing</v>
      </c>
    </row>
    <row r="146">
      <c r="A146" s="8" t="str">
        <f>IFERROR(__xludf.DUMMYFUNCTION("""COMPUTED_VALUE"""),"Fine Clothes")</f>
        <v>Fine Clothes</v>
      </c>
      <c r="B146" s="8" t="str">
        <f>IFERROR(__xludf.DUMMYFUNCTION("""COMPUTED_VALUE"""),"PHB'24")</f>
        <v>PHB'24</v>
      </c>
      <c r="C146" s="8" t="str">
        <f>IFERROR(__xludf.DUMMYFUNCTION("""COMPUTED_VALUE"""),"none")</f>
        <v>none</v>
      </c>
      <c r="D146" s="8" t="str">
        <f>IFERROR(__xludf.DUMMYFUNCTION("""COMPUTED_VALUE"""),"Adventuring Gear")</f>
        <v>Adventuring Gear</v>
      </c>
      <c r="E146" s="8"/>
      <c r="F146" s="8"/>
      <c r="G146" s="8"/>
      <c r="H146" s="8"/>
      <c r="I146" s="8" t="str">
        <f>IFERROR(__xludf.DUMMYFUNCTION("""COMPUTED_VALUE"""),"Fine Clothes are made of expensive fabrics and adorned with expertly crafted details. Some events and locations admit only people wearing these clothes.")</f>
        <v>Fine Clothes are made of expensive fabrics and adorned with expertly crafted details. Some events and locations admit only people wearing these clothes.</v>
      </c>
      <c r="J146" s="8" t="str">
        <f>IFERROR(__xludf.DUMMYFUNCTION("""COMPUTED_VALUE"""),"Free to Guild Adventurers in Good Standing")</f>
        <v>Free to Guild Adventurers in Good Standing</v>
      </c>
    </row>
    <row r="147">
      <c r="A147" s="10" t="str">
        <f>IFERROR(__xludf.DUMMYFUNCTION("""COMPUTED_VALUE"""),"Fishing Tackle")</f>
        <v>Fishing Tackle</v>
      </c>
      <c r="B147" s="10" t="str">
        <f>IFERROR(__xludf.DUMMYFUNCTION("""COMPUTED_VALUE"""),"PHB'14")</f>
        <v>PHB'14</v>
      </c>
      <c r="C147" s="10" t="str">
        <f>IFERROR(__xludf.DUMMYFUNCTION("""COMPUTED_VALUE"""),"none")</f>
        <v>none</v>
      </c>
      <c r="D147" s="10" t="str">
        <f>IFERROR(__xludf.DUMMYFUNCTION("""COMPUTED_VALUE"""),"Adventuring Gear")</f>
        <v>Adventuring Gear</v>
      </c>
      <c r="E147" s="10"/>
      <c r="F147" s="10"/>
      <c r="G147" s="10"/>
      <c r="H147" s="10"/>
      <c r="I147" s="10" t="str">
        <f>IFERROR(__xludf.DUMMYFUNCTION("""COMPUTED_VALUE"""),"This kit includes a wooden rod, silken line, corkwood bobbers, steel hooks, lead sinkers, velvet lures, and narrow netting.")</f>
        <v>This kit includes a wooden rod, silken line, corkwood bobbers, steel hooks, lead sinkers, velvet lures, and narrow netting.</v>
      </c>
      <c r="J147" s="10" t="str">
        <f>IFERROR(__xludf.DUMMYFUNCTION("""COMPUTED_VALUE"""),"Free to Guild Adventurers in Good Standing")</f>
        <v>Free to Guild Adventurers in Good Standing</v>
      </c>
    </row>
    <row r="148">
      <c r="A148" s="8" t="str">
        <f>IFERROR(__xludf.DUMMYFUNCTION("""COMPUTED_VALUE"""),"Flask")</f>
        <v>Flask</v>
      </c>
      <c r="B148" s="8" t="str">
        <f>IFERROR(__xludf.DUMMYFUNCTION("""COMPUTED_VALUE"""),"PHB'24")</f>
        <v>PHB'24</v>
      </c>
      <c r="C148" s="8" t="str">
        <f>IFERROR(__xludf.DUMMYFUNCTION("""COMPUTED_VALUE"""),"none")</f>
        <v>none</v>
      </c>
      <c r="D148" s="8" t="str">
        <f>IFERROR(__xludf.DUMMYFUNCTION("""COMPUTED_VALUE"""),"Adventuring Gear")</f>
        <v>Adventuring Gear</v>
      </c>
      <c r="E148" s="8"/>
      <c r="F148" s="8"/>
      <c r="G148" s="8"/>
      <c r="H148" s="8"/>
      <c r="I148" s="8" t="str">
        <f>IFERROR(__xludf.DUMMYFUNCTION("""COMPUTED_VALUE"""),"A Flask holds up to 1 pint.")</f>
        <v>A Flask holds up to 1 pint.</v>
      </c>
      <c r="J148" s="8" t="str">
        <f>IFERROR(__xludf.DUMMYFUNCTION("""COMPUTED_VALUE"""),"Free to Guild Adventurers in Good Standing")</f>
        <v>Free to Guild Adventurers in Good Standing</v>
      </c>
    </row>
    <row r="149">
      <c r="A149" s="10" t="str">
        <f>IFERROR(__xludf.DUMMYFUNCTION("""COMPUTED_VALUE"""),"Glass Bottle")</f>
        <v>Glass Bottle</v>
      </c>
      <c r="B149" s="10" t="str">
        <f>IFERROR(__xludf.DUMMYFUNCTION("""COMPUTED_VALUE"""),"PHB'24")</f>
        <v>PHB'24</v>
      </c>
      <c r="C149" s="10" t="str">
        <f>IFERROR(__xludf.DUMMYFUNCTION("""COMPUTED_VALUE"""),"none")</f>
        <v>none</v>
      </c>
      <c r="D149" s="10" t="str">
        <f>IFERROR(__xludf.DUMMYFUNCTION("""COMPUTED_VALUE"""),"Adventuring Gear")</f>
        <v>Adventuring Gear</v>
      </c>
      <c r="E149" s="10"/>
      <c r="F149" s="10"/>
      <c r="G149" s="10"/>
      <c r="H149" s="10"/>
      <c r="I149" s="10" t="str">
        <f>IFERROR(__xludf.DUMMYFUNCTION("""COMPUTED_VALUE"""),"A Glass Bottle holds up to 1 ½ pints.")</f>
        <v>A Glass Bottle holds up to 1 ½ pints.</v>
      </c>
      <c r="J149" s="10" t="str">
        <f>IFERROR(__xludf.DUMMYFUNCTION("""COMPUTED_VALUE"""),"Free to Guild Adventurers in Good Standing")</f>
        <v>Free to Guild Adventurers in Good Standing</v>
      </c>
    </row>
    <row r="150">
      <c r="A150" s="8" t="str">
        <f>IFERROR(__xludf.DUMMYFUNCTION("""COMPUTED_VALUE"""),"Grappling Hook")</f>
        <v>Grappling Hook</v>
      </c>
      <c r="B150" s="8" t="str">
        <f>IFERROR(__xludf.DUMMYFUNCTION("""COMPUTED_VALUE"""),"PHB'24")</f>
        <v>PHB'24</v>
      </c>
      <c r="C150" s="8" t="str">
        <f>IFERROR(__xludf.DUMMYFUNCTION("""COMPUTED_VALUE"""),"none")</f>
        <v>none</v>
      </c>
      <c r="D150" s="8" t="str">
        <f>IFERROR(__xludf.DUMMYFUNCTION("""COMPUTED_VALUE"""),"Adventuring Gear")</f>
        <v>Adventuring Gear</v>
      </c>
      <c r="E150" s="8"/>
      <c r="F150" s="8"/>
      <c r="G150" s="8"/>
      <c r="H150" s="8"/>
      <c r="I150" s="8" t="str">
        <f>IFERROR(__xludf.DUMMYFUNCTION("""COMPUTED_VALUE"""),"As a Utilize action, you can throw the Grappling Hook at a railing, a ledge, or another catch within 50 feet of yourself, and the hook catches on if you succeed on a DC 13 Dexterity (Acrobatics) check. If you tied a Rope to the hook, you can then climb it"&amp;".")</f>
        <v>As a Utilize action, you can throw the Grappling Hook at a railing, a ledge, or another catch within 50 feet of yourself, and the hook catches on if you succeed on a DC 13 Dexterity (Acrobatics) check. If you tied a Rope to the hook, you can then climb it.</v>
      </c>
      <c r="J150" s="8" t="str">
        <f>IFERROR(__xludf.DUMMYFUNCTION("""COMPUTED_VALUE"""),"Free to Guild Adventurers in Good Standing")</f>
        <v>Free to Guild Adventurers in Good Standing</v>
      </c>
    </row>
    <row r="151">
      <c r="A151" s="10" t="str">
        <f>IFERROR(__xludf.DUMMYFUNCTION("""COMPUTED_VALUE"""),"Hooded Lantern")</f>
        <v>Hooded Lantern</v>
      </c>
      <c r="B151" s="10" t="str">
        <f>IFERROR(__xludf.DUMMYFUNCTION("""COMPUTED_VALUE"""),"PHB'24")</f>
        <v>PHB'24</v>
      </c>
      <c r="C151" s="10" t="str">
        <f>IFERROR(__xludf.DUMMYFUNCTION("""COMPUTED_VALUE"""),"none")</f>
        <v>none</v>
      </c>
      <c r="D151" s="10" t="str">
        <f>IFERROR(__xludf.DUMMYFUNCTION("""COMPUTED_VALUE"""),"Adventuring Gear")</f>
        <v>Adventuring Gear</v>
      </c>
      <c r="E151" s="10"/>
      <c r="F151" s="10"/>
      <c r="G151" s="10"/>
      <c r="H151" s="10"/>
      <c r="I151" s="10" t="str">
        <f>IFERROR(__xludf.DUMMYFUNCTION("""COMPUTED_VALUE"""),"A Hooded Lantern burns Oil as fuel to cast Bright Light in a 30-foot radius and Dim Light for an additional 30 feet. As a Bonus Action, you can lower the hood, reducing the light to Dim Light in a 5-foot radius, or raise it again.")</f>
        <v>A Hooded Lantern burns Oil as fuel to cast Bright Light in a 30-foot radius and Dim Light for an additional 30 feet. As a Bonus Action, you can lower the hood, reducing the light to Dim Light in a 5-foot radius, or raise it again.</v>
      </c>
      <c r="J151" s="10" t="str">
        <f>IFERROR(__xludf.DUMMYFUNCTION("""COMPUTED_VALUE"""),"Free to Guild Adventurers in Good Standing")</f>
        <v>Free to Guild Adventurers in Good Standing</v>
      </c>
    </row>
    <row r="152">
      <c r="A152" s="8" t="str">
        <f>IFERROR(__xludf.DUMMYFUNCTION("""COMPUTED_VALUE"""),"Hourglass")</f>
        <v>Hourglass</v>
      </c>
      <c r="B152" s="8" t="str">
        <f>IFERROR(__xludf.DUMMYFUNCTION("""COMPUTED_VALUE"""),"PHB'14")</f>
        <v>PHB'14</v>
      </c>
      <c r="C152" s="8" t="str">
        <f>IFERROR(__xludf.DUMMYFUNCTION("""COMPUTED_VALUE"""),"none")</f>
        <v>none</v>
      </c>
      <c r="D152" s="8" t="str">
        <f>IFERROR(__xludf.DUMMYFUNCTION("""COMPUTED_VALUE"""),"Adventuring Gear")</f>
        <v>Adventuring Gear</v>
      </c>
      <c r="E152" s="8"/>
      <c r="F152" s="8"/>
      <c r="G152" s="8"/>
      <c r="H152" s="8"/>
      <c r="I152" s="8" t="str">
        <f>IFERROR(__xludf.DUMMYFUNCTION("""COMPUTED_VALUE"""),"An hourglass can be used to measure time precisely.")</f>
        <v>An hourglass can be used to measure time precisely.</v>
      </c>
      <c r="J152" s="8" t="str">
        <f>IFERROR(__xludf.DUMMYFUNCTION("""COMPUTED_VALUE"""),"Free to Guild Adventurers in Good Standing")</f>
        <v>Free to Guild Adventurers in Good Standing</v>
      </c>
    </row>
    <row r="153">
      <c r="A153" s="10" t="str">
        <f>IFERROR(__xludf.DUMMYFUNCTION("""COMPUTED_VALUE"""),"Hunting Trap")</f>
        <v>Hunting Trap</v>
      </c>
      <c r="B153" s="10" t="str">
        <f>IFERROR(__xludf.DUMMYFUNCTION("""COMPUTED_VALUE"""),"PHB'24")</f>
        <v>PHB'24</v>
      </c>
      <c r="C153" s="10" t="str">
        <f>IFERROR(__xludf.DUMMYFUNCTION("""COMPUTED_VALUE"""),"none")</f>
        <v>none</v>
      </c>
      <c r="D153" s="10" t="str">
        <f>IFERROR(__xludf.DUMMYFUNCTION("""COMPUTED_VALUE"""),"Adventuring Gear")</f>
        <v>Adventuring Gear</v>
      </c>
      <c r="E153" s="10"/>
      <c r="F153" s="10"/>
      <c r="G153" s="10"/>
      <c r="H153" s="10"/>
      <c r="I153" s="10" t="str">
        <f>IFERROR(__xludf.DUMMYFUNCTION("""COMPUTED_VALUE"""),"As a Utilize action, you can set a Hunting Trap, which is a sawtooth steel ring that snaps shut when a creature steps on a pressure plate in the center. The trap is affixed by a heavy chain to an immobile object, such as a tree or a spike driven into the "&amp;"ground. A creature that steps on the plate must succeed on a DC 13 Dexterity saving throw or take 1d4 Piercing damage and have its Speed reduced to 0 until the start of its next turn. Thereafter, until the creature breaks free of the trap, its movement is"&amp;" limited by the length of the chain (typically 3 feet). A creature can use its action to make a DC 13 Strength (Athletics) check, freeing itself or another creature within its reach on a success. Each failed check deals 1 Piercing damage to the trapped cr"&amp;"eature.")</f>
        <v>As a Utilize action, you can set a Hunting Trap, which is a sawtooth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1d4 Piercing damage and have its Speed reduced to 0 until the start of its next turn. Thereafter, until the creature breaks free of the trap, its movement is limited by the length of the chain (typically 3 feet). A creature can use its action to make a DC 13 Strength (Athletics) check, freeing itself or another creature within its reach on a success. Each failed check deals 1 Piercing damage to the trapped creature.</v>
      </c>
      <c r="J153" s="10" t="str">
        <f>IFERROR(__xludf.DUMMYFUNCTION("""COMPUTED_VALUE"""),"Free to Guild Adventurers in Good Standing")</f>
        <v>Free to Guild Adventurers in Good Standing</v>
      </c>
    </row>
    <row r="154">
      <c r="A154" s="8" t="str">
        <f>IFERROR(__xludf.DUMMYFUNCTION("""COMPUTED_VALUE"""),"Ink")</f>
        <v>Ink</v>
      </c>
      <c r="B154" s="8" t="str">
        <f>IFERROR(__xludf.DUMMYFUNCTION("""COMPUTED_VALUE"""),"PHB'24")</f>
        <v>PHB'24</v>
      </c>
      <c r="C154" s="8" t="str">
        <f>IFERROR(__xludf.DUMMYFUNCTION("""COMPUTED_VALUE"""),"none")</f>
        <v>none</v>
      </c>
      <c r="D154" s="8" t="str">
        <f>IFERROR(__xludf.DUMMYFUNCTION("""COMPUTED_VALUE"""),"Adventuring Gear")</f>
        <v>Adventuring Gear</v>
      </c>
      <c r="E154" s="8"/>
      <c r="F154" s="8"/>
      <c r="G154" s="8"/>
      <c r="H154" s="8"/>
      <c r="I154" s="8" t="str">
        <f>IFERROR(__xludf.DUMMYFUNCTION("""COMPUTED_VALUE"""),"Ink comes in a 1-ounce bottle, which provides enough ink to write about 500 pages.")</f>
        <v>Ink comes in a 1-ounce bottle, which provides enough ink to write about 500 pages.</v>
      </c>
      <c r="J154" s="8" t="str">
        <f>IFERROR(__xludf.DUMMYFUNCTION("""COMPUTED_VALUE"""),"Free to Guild Adventurers in Good Standing")</f>
        <v>Free to Guild Adventurers in Good Standing</v>
      </c>
    </row>
    <row r="155">
      <c r="A155" s="10" t="str">
        <f>IFERROR(__xludf.DUMMYFUNCTION("""COMPUTED_VALUE"""),"Ink Pen")</f>
        <v>Ink Pen</v>
      </c>
      <c r="B155" s="10" t="str">
        <f>IFERROR(__xludf.DUMMYFUNCTION("""COMPUTED_VALUE"""),"PHB'24")</f>
        <v>PHB'24</v>
      </c>
      <c r="C155" s="10" t="str">
        <f>IFERROR(__xludf.DUMMYFUNCTION("""COMPUTED_VALUE"""),"none")</f>
        <v>none</v>
      </c>
      <c r="D155" s="10" t="str">
        <f>IFERROR(__xludf.DUMMYFUNCTION("""COMPUTED_VALUE"""),"Adventuring Gear")</f>
        <v>Adventuring Gear</v>
      </c>
      <c r="E155" s="10"/>
      <c r="F155" s="10"/>
      <c r="G155" s="10"/>
      <c r="H155" s="10"/>
      <c r="I155" s="10" t="str">
        <f>IFERROR(__xludf.DUMMYFUNCTION("""COMPUTED_VALUE"""),"Using Ink, an Ink Pen is used to write or draw.")</f>
        <v>Using Ink, an Ink Pen is used to write or draw.</v>
      </c>
      <c r="J155" s="10" t="str">
        <f>IFERROR(__xludf.DUMMYFUNCTION("""COMPUTED_VALUE"""),"Free to Guild Adventurers in Good Standing")</f>
        <v>Free to Guild Adventurers in Good Standing</v>
      </c>
    </row>
    <row r="156">
      <c r="A156" s="8" t="str">
        <f>IFERROR(__xludf.DUMMYFUNCTION("""COMPUTED_VALUE"""),"Iron Pot")</f>
        <v>Iron Pot</v>
      </c>
      <c r="B156" s="8" t="str">
        <f>IFERROR(__xludf.DUMMYFUNCTION("""COMPUTED_VALUE"""),"PHB'24")</f>
        <v>PHB'24</v>
      </c>
      <c r="C156" s="8" t="str">
        <f>IFERROR(__xludf.DUMMYFUNCTION("""COMPUTED_VALUE"""),"none")</f>
        <v>none</v>
      </c>
      <c r="D156" s="8" t="str">
        <f>IFERROR(__xludf.DUMMYFUNCTION("""COMPUTED_VALUE"""),"Adventuring Gear")</f>
        <v>Adventuring Gear</v>
      </c>
      <c r="E156" s="8"/>
      <c r="F156" s="8"/>
      <c r="G156" s="8"/>
      <c r="H156" s="8"/>
      <c r="I156" s="8" t="str">
        <f>IFERROR(__xludf.DUMMYFUNCTION("""COMPUTED_VALUE"""),"An Iron Pot holds up to 1 gallon.")</f>
        <v>An Iron Pot holds up to 1 gallon.</v>
      </c>
      <c r="J156" s="8" t="str">
        <f>IFERROR(__xludf.DUMMYFUNCTION("""COMPUTED_VALUE"""),"Free to Guild Adventurers in Good Standing")</f>
        <v>Free to Guild Adventurers in Good Standing</v>
      </c>
    </row>
    <row r="157">
      <c r="A157" s="10" t="str">
        <f>IFERROR(__xludf.DUMMYFUNCTION("""COMPUTED_VALUE"""),"Iron Spike")</f>
        <v>Iron Spike</v>
      </c>
      <c r="B157" s="10" t="str">
        <f>IFERROR(__xludf.DUMMYFUNCTION("""COMPUTED_VALUE"""),"PHB'24")</f>
        <v>PHB'24</v>
      </c>
      <c r="C157" s="10" t="str">
        <f>IFERROR(__xludf.DUMMYFUNCTION("""COMPUTED_VALUE"""),"none")</f>
        <v>none</v>
      </c>
      <c r="D157" s="10" t="str">
        <f>IFERROR(__xludf.DUMMYFUNCTION("""COMPUTED_VALUE"""),"Adventuring Gear")</f>
        <v>Adventuring Gear</v>
      </c>
      <c r="E157" s="10"/>
      <c r="F157" s="10"/>
      <c r="G157" s="10"/>
      <c r="H157" s="10"/>
      <c r="I157" s="10" t="str">
        <f>IFERROR(__xludf.DUMMYFUNCTION("""COMPUTED_VALUE"""),"Iron Spikes come in bundles of ten. As a Utilize action, you can use a blunt object, such as a Light Hammer, to hammer a spike into wood, earth, or a similar material. You can do so to jam a door shut or to then tie a Rope or Chain to the Spike.")</f>
        <v>Iron Spikes come in bundles of ten. As a Utilize action, you can use a blunt object, such as a Light Hammer, to hammer a spike into wood, earth, or a similar material. You can do so to jam a door shut or to then tie a Rope or Chain to the Spike.</v>
      </c>
      <c r="J157" s="10" t="str">
        <f>IFERROR(__xludf.DUMMYFUNCTION("""COMPUTED_VALUE"""),"Free to Guild Adventurers in Good Standing")</f>
        <v>Free to Guild Adventurers in Good Standing</v>
      </c>
    </row>
    <row r="158">
      <c r="A158" s="8" t="str">
        <f>IFERROR(__xludf.DUMMYFUNCTION("""COMPUTED_VALUE"""),"Iron Spikes")</f>
        <v>Iron Spikes</v>
      </c>
      <c r="B158" s="8" t="str">
        <f>IFERROR(__xludf.DUMMYFUNCTION("""COMPUTED_VALUE"""),"PHB'24")</f>
        <v>PHB'24</v>
      </c>
      <c r="C158" s="8" t="str">
        <f>IFERROR(__xludf.DUMMYFUNCTION("""COMPUTED_VALUE"""),"none")</f>
        <v>none</v>
      </c>
      <c r="D158" s="8" t="str">
        <f>IFERROR(__xludf.DUMMYFUNCTION("""COMPUTED_VALUE"""),"Adventuring Gear")</f>
        <v>Adventuring Gear</v>
      </c>
      <c r="E158" s="8"/>
      <c r="F158" s="8"/>
      <c r="G158" s="8"/>
      <c r="H158" s="8"/>
      <c r="I158" s="8" t="str">
        <f>IFERROR(__xludf.DUMMYFUNCTION("""COMPUTED_VALUE"""),"Iron Spikes come in bundles of ten. As a Utilize action, you can use a blunt object, such as a Light Hammer, to hammer a spike into wood, earth, or a similar material. You can do so to jam a door shut or to then tie a Rope or Chain to the Spike.")</f>
        <v>Iron Spikes come in bundles of ten. As a Utilize action, you can use a blunt object, such as a Light Hammer, to hammer a spike into wood, earth, or a similar material. You can do so to jam a door shut or to then tie a Rope or Chain to the Spike.</v>
      </c>
      <c r="J158" s="8" t="str">
        <f>IFERROR(__xludf.DUMMYFUNCTION("""COMPUTED_VALUE"""),"Free to Guild Adventurers in Good Standing")</f>
        <v>Free to Guild Adventurers in Good Standing</v>
      </c>
    </row>
    <row r="159">
      <c r="A159" s="10" t="str">
        <f>IFERROR(__xludf.DUMMYFUNCTION("""COMPUTED_VALUE"""),"Jug")</f>
        <v>Jug</v>
      </c>
      <c r="B159" s="10" t="str">
        <f>IFERROR(__xludf.DUMMYFUNCTION("""COMPUTED_VALUE"""),"PHB'24")</f>
        <v>PHB'24</v>
      </c>
      <c r="C159" s="10" t="str">
        <f>IFERROR(__xludf.DUMMYFUNCTION("""COMPUTED_VALUE"""),"none")</f>
        <v>none</v>
      </c>
      <c r="D159" s="10" t="str">
        <f>IFERROR(__xludf.DUMMYFUNCTION("""COMPUTED_VALUE"""),"Adventuring Gear")</f>
        <v>Adventuring Gear</v>
      </c>
      <c r="E159" s="10"/>
      <c r="F159" s="10"/>
      <c r="G159" s="10"/>
      <c r="H159" s="10"/>
      <c r="I159" s="10" t="str">
        <f>IFERROR(__xludf.DUMMYFUNCTION("""COMPUTED_VALUE"""),"A Jug holds up to 1 gallon.")</f>
        <v>A Jug holds up to 1 gallon.</v>
      </c>
      <c r="J159" s="10" t="str">
        <f>IFERROR(__xludf.DUMMYFUNCTION("""COMPUTED_VALUE"""),"Free to Guild Adventurers in Good Standing")</f>
        <v>Free to Guild Adventurers in Good Standing</v>
      </c>
    </row>
    <row r="160">
      <c r="A160" s="8" t="str">
        <f>IFERROR(__xludf.DUMMYFUNCTION("""COMPUTED_VALUE"""),"Ladder")</f>
        <v>Ladder</v>
      </c>
      <c r="B160" s="8" t="str">
        <f>IFERROR(__xludf.DUMMYFUNCTION("""COMPUTED_VALUE"""),"PHB'24")</f>
        <v>PHB'24</v>
      </c>
      <c r="C160" s="8" t="str">
        <f>IFERROR(__xludf.DUMMYFUNCTION("""COMPUTED_VALUE"""),"none")</f>
        <v>none</v>
      </c>
      <c r="D160" s="8" t="str">
        <f>IFERROR(__xludf.DUMMYFUNCTION("""COMPUTED_VALUE"""),"Adventuring Gear")</f>
        <v>Adventuring Gear</v>
      </c>
      <c r="E160" s="8"/>
      <c r="F160" s="8"/>
      <c r="G160" s="8"/>
      <c r="H160" s="8"/>
      <c r="I160" s="8" t="str">
        <f>IFERROR(__xludf.DUMMYFUNCTION("""COMPUTED_VALUE"""),"A Ladder is 10 feet tall. You must climb to move up or down it.")</f>
        <v>A Ladder is 10 feet tall. You must climb to move up or down it.</v>
      </c>
      <c r="J160" s="8" t="str">
        <f>IFERROR(__xludf.DUMMYFUNCTION("""COMPUTED_VALUE"""),"Free to Guild Adventurers in Good Standing")</f>
        <v>Free to Guild Adventurers in Good Standing</v>
      </c>
    </row>
    <row r="161">
      <c r="A161" s="10" t="str">
        <f>IFERROR(__xludf.DUMMYFUNCTION("""COMPUTED_VALUE"""),"Lamp")</f>
        <v>Lamp</v>
      </c>
      <c r="B161" s="10" t="str">
        <f>IFERROR(__xludf.DUMMYFUNCTION("""COMPUTED_VALUE"""),"PHB'24")</f>
        <v>PHB'24</v>
      </c>
      <c r="C161" s="10" t="str">
        <f>IFERROR(__xludf.DUMMYFUNCTION("""COMPUTED_VALUE"""),"none")</f>
        <v>none</v>
      </c>
      <c r="D161" s="10" t="str">
        <f>IFERROR(__xludf.DUMMYFUNCTION("""COMPUTED_VALUE"""),"Adventuring Gear")</f>
        <v>Adventuring Gear</v>
      </c>
      <c r="E161" s="10"/>
      <c r="F161" s="10"/>
      <c r="G161" s="10"/>
      <c r="H161" s="10"/>
      <c r="I161" s="10" t="str">
        <f>IFERROR(__xludf.DUMMYFUNCTION("""COMPUTED_VALUE"""),"A Lamp burns Oil as fuel to cast Bright Light in a 15-foot radius and Dim Light for an additional 30 feet.")</f>
        <v>A Lamp burns Oil as fuel to cast Bright Light in a 15-foot radius and Dim Light for an additional 30 feet.</v>
      </c>
      <c r="J161" s="10" t="str">
        <f>IFERROR(__xludf.DUMMYFUNCTION("""COMPUTED_VALUE"""),"Free to Guild Adventurers in Good Standing")</f>
        <v>Free to Guild Adventurers in Good Standing</v>
      </c>
    </row>
    <row r="162">
      <c r="A162" s="8" t="str">
        <f>IFERROR(__xludf.DUMMYFUNCTION("""COMPUTED_VALUE"""),"Lock")</f>
        <v>Lock</v>
      </c>
      <c r="B162" s="8" t="str">
        <f>IFERROR(__xludf.DUMMYFUNCTION("""COMPUTED_VALUE"""),"PHB'24")</f>
        <v>PHB'24</v>
      </c>
      <c r="C162" s="8" t="str">
        <f>IFERROR(__xludf.DUMMYFUNCTION("""COMPUTED_VALUE"""),"none")</f>
        <v>none</v>
      </c>
      <c r="D162" s="8" t="str">
        <f>IFERROR(__xludf.DUMMYFUNCTION("""COMPUTED_VALUE"""),"Adventuring Gear")</f>
        <v>Adventuring Gear</v>
      </c>
      <c r="E162" s="8"/>
      <c r="F162" s="8"/>
      <c r="G162" s="8"/>
      <c r="H162" s="8"/>
      <c r="I162" s="8" t="str">
        <f>IFERROR(__xludf.DUMMYFUNCTION("""COMPUTED_VALUE"""),"A Lock comes with a key. Without the key, a creature can use Thieves' Tools to pick this Lock with a successful DC 15 Dexterity (Sleight of Hand) check.")</f>
        <v>A Lock comes with a key. Without the key, a creature can use Thieves' Tools to pick this Lock with a successful DC 15 Dexterity (Sleight of Hand) check.</v>
      </c>
      <c r="J162" s="8" t="str">
        <f>IFERROR(__xludf.DUMMYFUNCTION("""COMPUTED_VALUE"""),"Free to Guild Adventurers in Good Standing")</f>
        <v>Free to Guild Adventurers in Good Standing</v>
      </c>
    </row>
    <row r="163">
      <c r="A163" s="10" t="str">
        <f>IFERROR(__xludf.DUMMYFUNCTION("""COMPUTED_VALUE"""),"Locking Spellbook")</f>
        <v>Locking Spellbook</v>
      </c>
      <c r="B163" s="10" t="str">
        <f>IFERROR(__xludf.DUMMYFUNCTION("""COMPUTED_VALUE"""),"FRHoF")</f>
        <v>FRHoF</v>
      </c>
      <c r="C163" s="10" t="str">
        <f>IFERROR(__xludf.DUMMYFUNCTION("""COMPUTED_VALUE"""),"none")</f>
        <v>none</v>
      </c>
      <c r="D163" s="10" t="str">
        <f>IFERROR(__xludf.DUMMYFUNCTION("""COMPUTED_VALUE"""),"Adventuring Gear")</f>
        <v>Adventuring Gear</v>
      </c>
      <c r="E163" s="10"/>
      <c r="F163" s="10"/>
      <c r="G163" s="10"/>
      <c r="H163" s="10"/>
      <c r="I163" s="10" t="str">
        <f>IFERROR(__xludf.DUMMYFUNCTION("""COMPUTED_VALUE"""),"This 100-page leather-bound tome can be used as a Spellbook. It is closed with a lock that comes with a key. As a Utilize action, a creature can try to pick the lock using Thieves' Tools, doing so with a successful DC 15 Dexterity (Sleight of Hand) check.")</f>
        <v>This 100-page leather-bound tome can be used as a Spellbook. It is closed with a lock that comes with a key. As a Utilize action, a creature can try to pick the lock using Thieves' Tools, doing so with a successful DC 15 Dexterity (Sleight of Hand) check.</v>
      </c>
      <c r="J163" s="10" t="str">
        <f>IFERROR(__xludf.DUMMYFUNCTION("""COMPUTED_VALUE"""),"Free to Guild Adventurers in Good Standing")</f>
        <v>Free to Guild Adventurers in Good Standing</v>
      </c>
    </row>
    <row r="164">
      <c r="A164" s="8" t="str">
        <f>IFERROR(__xludf.DUMMYFUNCTION("""COMPUTED_VALUE"""),"Magnifying Glass")</f>
        <v>Magnifying Glass</v>
      </c>
      <c r="B164" s="8" t="str">
        <f>IFERROR(__xludf.DUMMYFUNCTION("""COMPUTED_VALUE"""),"PHB'24")</f>
        <v>PHB'24</v>
      </c>
      <c r="C164" s="8" t="str">
        <f>IFERROR(__xludf.DUMMYFUNCTION("""COMPUTED_VALUE"""),"none")</f>
        <v>none</v>
      </c>
      <c r="D164" s="8" t="str">
        <f>IFERROR(__xludf.DUMMYFUNCTION("""COMPUTED_VALUE"""),"Adventuring Gear")</f>
        <v>Adventuring Gear</v>
      </c>
      <c r="E164" s="8"/>
      <c r="F164" s="8"/>
      <c r="G164" s="8"/>
      <c r="H164" s="8"/>
      <c r="I164" s="8" t="str">
        <f>IFERROR(__xludf.DUMMYFUNCTION("""COMPUTED_VALUE"""),"A Magnifying Glass grants Advantage on any ability check made to appraise or inspect a highly detailed item. Lighting a fire with a Magnifying Glass requires light as bright as sunlight to focus, tinder to ignite, and about 5 minutes for the fire to ignit"&amp;"e.")</f>
        <v>A Magnifying Glass grants Advantage on any ability check made to appraise or inspect a highly detailed item. Lighting a fire with a Magnifying Glass requires light as bright as sunlight to focus, tinder to ignite, and about 5 minutes for the fire to ignite.</v>
      </c>
      <c r="J164" s="8" t="str">
        <f>IFERROR(__xludf.DUMMYFUNCTION("""COMPUTED_VALUE"""),"Free to Guild Adventurers in Good Standing")</f>
        <v>Free to Guild Adventurers in Good Standing</v>
      </c>
    </row>
    <row r="165">
      <c r="A165" s="10" t="str">
        <f>IFERROR(__xludf.DUMMYFUNCTION("""COMPUTED_VALUE"""),"Manacles")</f>
        <v>Manacles</v>
      </c>
      <c r="B165" s="10" t="str">
        <f>IFERROR(__xludf.DUMMYFUNCTION("""COMPUTED_VALUE"""),"PHB'24")</f>
        <v>PHB'24</v>
      </c>
      <c r="C165" s="10" t="str">
        <f>IFERROR(__xludf.DUMMYFUNCTION("""COMPUTED_VALUE"""),"none")</f>
        <v>none</v>
      </c>
      <c r="D165" s="10" t="str">
        <f>IFERROR(__xludf.DUMMYFUNCTION("""COMPUTED_VALUE"""),"Adventuring Gear")</f>
        <v>Adventuring Gear</v>
      </c>
      <c r="E165" s="10"/>
      <c r="F165" s="10"/>
      <c r="G165" s="10"/>
      <c r="H165" s="10"/>
      <c r="I165" s="10" t="str">
        <f>IFERROR(__xludf.DUMMYFUNCTION("""COMPUTED_VALUE"""),"As a Utilize action, you can use Manacles to bind an unwilling Small or Medium creature within 5 feet of yourself that has the Grappled, Incapacitated, or Restrained condition if you succeed on a DC 13 Dexterity (Sleight of Hand) check. While bound, a cre"&amp;"ature has Disadvantage on attack rolls, and the creature is Restrained if the Manacles are attached to a chain or hook that is fixed in place. Escaping the Manacles requires a successful DC 20 Dexterity (Sleight of Hand) check as an action. Bursting them "&amp;"requires a successful DC 25 Strength (Athletics) check as an action.Each set of Manacles comes with a key. Without the key, a creature can use Thieves' Tools to pick the Manacles' lock with a successful DC 15 Dexterity (Sleight of Hand) check.")</f>
        <v>As a Utilize action, you can use Manacles to bind an unwilling Small or Medium creature within 5 feet of yourself that has the Grappled, Incapacitated, or Restrained condition if you succeed on a DC 13 Dexterity (Sleight of Hand) check. While bound, a creature has Disadvantage on attack rolls, and the creature is Restrained if the Manacles are attached to a chain or hook that is fixed in place. Escaping the Manacles requires a successful DC 20 Dexterity (Sleight of Hand) check as an action. Bursting them requires a successful DC 25 Strength (Athletics) check as an action.Each set of Manacles comes with a key. Without the key, a creature can use Thieves' Tools to pick the Manacles' lock with a successful DC 15 Dexterity (Sleight of Hand) check.</v>
      </c>
      <c r="J165" s="10" t="str">
        <f>IFERROR(__xludf.DUMMYFUNCTION("""COMPUTED_VALUE"""),"Free to Guild Adventurers in Good Standing")</f>
        <v>Free to Guild Adventurers in Good Standing</v>
      </c>
    </row>
    <row r="166">
      <c r="A166" s="8" t="str">
        <f>IFERROR(__xludf.DUMMYFUNCTION("""COMPUTED_VALUE"""),"Map")</f>
        <v>Map</v>
      </c>
      <c r="B166" s="8" t="str">
        <f>IFERROR(__xludf.DUMMYFUNCTION("""COMPUTED_VALUE"""),"PHB'24")</f>
        <v>PHB'24</v>
      </c>
      <c r="C166" s="8" t="str">
        <f>IFERROR(__xludf.DUMMYFUNCTION("""COMPUTED_VALUE"""),"none")</f>
        <v>none</v>
      </c>
      <c r="D166" s="8" t="str">
        <f>IFERROR(__xludf.DUMMYFUNCTION("""COMPUTED_VALUE"""),"Adventuring Gear")</f>
        <v>Adventuring Gear</v>
      </c>
      <c r="E166" s="8"/>
      <c r="F166" s="8"/>
      <c r="G166" s="8"/>
      <c r="H166" s="8"/>
      <c r="I166" s="8" t="str">
        <f>IFERROR(__xludf.DUMMYFUNCTION("""COMPUTED_VALUE"""),"If you consult an accurate Map, you gain a +5 bonus to Wisdom (Survival) checks you make to find your way in the place represented on it.")</f>
        <v>If you consult an accurate Map, you gain a +5 bonus to Wisdom (Survival) checks you make to find your way in the place represented on it.</v>
      </c>
      <c r="J166" s="8" t="str">
        <f>IFERROR(__xludf.DUMMYFUNCTION("""COMPUTED_VALUE"""),"Free to Guild Adventurers in Good Standing")</f>
        <v>Free to Guild Adventurers in Good Standing</v>
      </c>
    </row>
    <row r="167">
      <c r="A167" s="10" t="str">
        <f>IFERROR(__xludf.DUMMYFUNCTION("""COMPUTED_VALUE"""),"Map or Scroll Case")</f>
        <v>Map or Scroll Case</v>
      </c>
      <c r="B167" s="10" t="str">
        <f>IFERROR(__xludf.DUMMYFUNCTION("""COMPUTED_VALUE"""),"PHB'24")</f>
        <v>PHB'24</v>
      </c>
      <c r="C167" s="10" t="str">
        <f>IFERROR(__xludf.DUMMYFUNCTION("""COMPUTED_VALUE"""),"none")</f>
        <v>none</v>
      </c>
      <c r="D167" s="10" t="str">
        <f>IFERROR(__xludf.DUMMYFUNCTION("""COMPUTED_VALUE"""),"Adventuring Gear")</f>
        <v>Adventuring Gear</v>
      </c>
      <c r="E167" s="10"/>
      <c r="F167" s="10"/>
      <c r="G167" s="10"/>
      <c r="H167" s="10"/>
      <c r="I167" s="10" t="str">
        <f>IFERROR(__xludf.DUMMYFUNCTION("""COMPUTED_VALUE"""),"A Map or Scroll Case holds up to 10 sheets of paper or 5 sheets of parchment.")</f>
        <v>A Map or Scroll Case holds up to 10 sheets of paper or 5 sheets of parchment.</v>
      </c>
      <c r="J167" s="10" t="str">
        <f>IFERROR(__xludf.DUMMYFUNCTION("""COMPUTED_VALUE"""),"Free to Guild Adventurers in Good Standing")</f>
        <v>Free to Guild Adventurers in Good Standing</v>
      </c>
    </row>
    <row r="168">
      <c r="A168" s="8" t="str">
        <f>IFERROR(__xludf.DUMMYFUNCTION("""COMPUTED_VALUE"""),"Merchant's Scale")</f>
        <v>Merchant's Scale</v>
      </c>
      <c r="B168" s="8" t="str">
        <f>IFERROR(__xludf.DUMMYFUNCTION("""COMPUTED_VALUE"""),"PHB'14")</f>
        <v>PHB'14</v>
      </c>
      <c r="C168" s="8" t="str">
        <f>IFERROR(__xludf.DUMMYFUNCTION("""COMPUTED_VALUE"""),"none")</f>
        <v>none</v>
      </c>
      <c r="D168" s="8" t="str">
        <f>IFERROR(__xludf.DUMMYFUNCTION("""COMPUTED_VALUE"""),"Adventuring Gear")</f>
        <v>Adventuring Gear</v>
      </c>
      <c r="E168" s="8"/>
      <c r="F168" s="8"/>
      <c r="G168" s="8"/>
      <c r="H168" s="8"/>
      <c r="I168" s="8" t="str">
        <f>IFERROR(__xludf.DUMMYFUNCTION("""COMPUTED_VALUE"""),"A scale includes a small balance, pans, and a suitable assortment of weights up to 2 pounds. With it, you can measure the exact weight of small objects, such as raw precious metals or trade goods, to help determine their worth.")</f>
        <v>A scale includes a small balance, pans, and a suitable assortment of weights up to 2 pounds. With it, you can measure the exact weight of small objects, such as raw precious metals or trade goods, to help determine their worth.</v>
      </c>
      <c r="J168" s="8" t="str">
        <f>IFERROR(__xludf.DUMMYFUNCTION("""COMPUTED_VALUE"""),"Free to Guild Adventurers in Good Standing")</f>
        <v>Free to Guild Adventurers in Good Standing</v>
      </c>
    </row>
    <row r="169">
      <c r="A169" s="10" t="str">
        <f>IFERROR(__xludf.DUMMYFUNCTION("""COMPUTED_VALUE"""),"Mess Kit")</f>
        <v>Mess Kit</v>
      </c>
      <c r="B169" s="10" t="str">
        <f>IFERROR(__xludf.DUMMYFUNCTION("""COMPUTED_VALUE"""),"PHB'14")</f>
        <v>PHB'14</v>
      </c>
      <c r="C169" s="10" t="str">
        <f>IFERROR(__xludf.DUMMYFUNCTION("""COMPUTED_VALUE"""),"none")</f>
        <v>none</v>
      </c>
      <c r="D169" s="10" t="str">
        <f>IFERROR(__xludf.DUMMYFUNCTION("""COMPUTED_VALUE"""),"Adventuring Gear")</f>
        <v>Adventuring Gear</v>
      </c>
      <c r="E169" s="10"/>
      <c r="F169" s="10"/>
      <c r="G169" s="10"/>
      <c r="H169" s="10"/>
      <c r="I169" s="10" t="str">
        <f>IFERROR(__xludf.DUMMYFUNCTION("""COMPUTED_VALUE"""),"This tin box contains a cup and simple cutlery. The box clamps together, and one side can be used as a cooking pan and the other as a plate or shallow bowl.")</f>
        <v>This tin box contains a cup and simple cutlery. The box clamps together, and one side can be used as a cooking pan and the other as a plate or shallow bowl.</v>
      </c>
      <c r="J169" s="10" t="str">
        <f>IFERROR(__xludf.DUMMYFUNCTION("""COMPUTED_VALUE"""),"Free to Guild Adventurers in Good Standing")</f>
        <v>Free to Guild Adventurers in Good Standing</v>
      </c>
    </row>
    <row r="170">
      <c r="A170" s="8" t="str">
        <f>IFERROR(__xludf.DUMMYFUNCTION("""COMPUTED_VALUE"""),"Mirror")</f>
        <v>Mirror</v>
      </c>
      <c r="B170" s="8" t="str">
        <f>IFERROR(__xludf.DUMMYFUNCTION("""COMPUTED_VALUE"""),"PHB'24")</f>
        <v>PHB'24</v>
      </c>
      <c r="C170" s="8" t="str">
        <f>IFERROR(__xludf.DUMMYFUNCTION("""COMPUTED_VALUE"""),"none")</f>
        <v>none</v>
      </c>
      <c r="D170" s="8" t="str">
        <f>IFERROR(__xludf.DUMMYFUNCTION("""COMPUTED_VALUE"""),"Adventuring Gear")</f>
        <v>Adventuring Gear</v>
      </c>
      <c r="E170" s="8"/>
      <c r="F170" s="8"/>
      <c r="G170" s="8"/>
      <c r="H170" s="8"/>
      <c r="I170" s="8" t="str">
        <f>IFERROR(__xludf.DUMMYFUNCTION("""COMPUTED_VALUE"""),"A handheld steel Mirror is useful for personal cosmetics but also for peeking around corners and reflecting light as a signal.")</f>
        <v>A handheld steel Mirror is useful for personal cosmetics but also for peeking around corners and reflecting light as a signal.</v>
      </c>
      <c r="J170" s="8" t="str">
        <f>IFERROR(__xludf.DUMMYFUNCTION("""COMPUTED_VALUE"""),"Free to Guild Adventurers in Good Standing")</f>
        <v>Free to Guild Adventurers in Good Standing</v>
      </c>
    </row>
    <row r="171">
      <c r="A171" s="10" t="str">
        <f>IFERROR(__xludf.DUMMYFUNCTION("""COMPUTED_VALUE"""),"Monster Camouflage")</f>
        <v>Monster Camouflage</v>
      </c>
      <c r="B171" s="10" t="str">
        <f>IFERROR(__xludf.DUMMYFUNCTION("""COMPUTED_VALUE"""),"FRHoF")</f>
        <v>FRHoF</v>
      </c>
      <c r="C171" s="10" t="str">
        <f>IFERROR(__xludf.DUMMYFUNCTION("""COMPUTED_VALUE"""),"none")</f>
        <v>none</v>
      </c>
      <c r="D171" s="10" t="str">
        <f>IFERROR(__xludf.DUMMYFUNCTION("""COMPUTED_VALUE"""),"Adventuring Gear")</f>
        <v>Adventuring Gear</v>
      </c>
      <c r="E171" s="10"/>
      <c r="F171" s="10"/>
      <c r="G171" s="10"/>
      <c r="H171" s="10"/>
      <c r="I171" s="10" t="str">
        <f>IFERROR(__xludf.DUMMYFUNCTION("""COMPUTED_VALUE"""),"A suit of Monster Camouflage looks like a Beast or Monstrosity, such as an owlbear. To discern that you're disguised, a creature must take the Study action to inspect your appearance and succeed on a DC 10 Intelligence (Investigation or Nature) check. The"&amp;" creature has Advantage on this check if it is within 30 feet of you and automatically succeeds on this check if you do anything the monster you're disguised as couldn't do.")</f>
        <v>A suit of Monster Camouflage looks like a Beast or Monstrosity, such as an owlbear. To discern that you're disguised, a creature must take the Study action to inspect your appearance and succeed on a DC 10 Intelligence (Investigation or Nature) check. The creature has Advantage on this check if it is within 30 feet of you and automatically succeeds on this check if you do anything the monster you're disguised as couldn't do.</v>
      </c>
      <c r="J171" s="10" t="str">
        <f>IFERROR(__xludf.DUMMYFUNCTION("""COMPUTED_VALUE"""),"Free to Guild Adventurers in Good Standing")</f>
        <v>Free to Guild Adventurers in Good Standing</v>
      </c>
    </row>
    <row r="172">
      <c r="A172" s="8" t="str">
        <f>IFERROR(__xludf.DUMMYFUNCTION("""COMPUTED_VALUE"""),"Monster Hunter's Pack")</f>
        <v>Monster Hunter's Pack</v>
      </c>
      <c r="B172" s="8" t="str">
        <f>IFERROR(__xludf.DUMMYFUNCTION("""COMPUTED_VALUE"""),"VRGR")</f>
        <v>VRGR</v>
      </c>
      <c r="C172" s="8" t="str">
        <f>IFERROR(__xludf.DUMMYFUNCTION("""COMPUTED_VALUE"""),"none")</f>
        <v>none</v>
      </c>
      <c r="D172" s="8" t="str">
        <f>IFERROR(__xludf.DUMMYFUNCTION("""COMPUTED_VALUE"""),"Adventuring Gear")</f>
        <v>Adventuring Gear</v>
      </c>
      <c r="E172" s="8"/>
      <c r="F172" s="8"/>
      <c r="G172" s="8"/>
      <c r="H172" s="8"/>
      <c r="I172" s="8" t="str">
        <f>IFERROR(__xludf.DUMMYFUNCTION("""COMPUTED_VALUE"""),"Includes:a chest, a crowbar, a hammer, three wooden stakes, a holy symbol, a flask of holy water, a set of manacles, a steel mirror, a flask of oil, a tinderbox, 3 torches")</f>
        <v>Includes:a chest, a crowbar, a hammer, three wooden stakes, a holy symbol, a flask of holy water, a set of manacles, a steel mirror, a flask of oil, a tinderbox, 3 torches</v>
      </c>
      <c r="J172" s="8" t="str">
        <f>IFERROR(__xludf.DUMMYFUNCTION("""COMPUTED_VALUE"""),"Free to Guild Adventurers in Good Standing")</f>
        <v>Free to Guild Adventurers in Good Standing</v>
      </c>
    </row>
    <row r="173">
      <c r="A173" s="10" t="str">
        <f>IFERROR(__xludf.DUMMYFUNCTION("""COMPUTED_VALUE"""),"Net")</f>
        <v>Net</v>
      </c>
      <c r="B173" s="10" t="str">
        <f>IFERROR(__xludf.DUMMYFUNCTION("""COMPUTED_VALUE"""),"PHB'24")</f>
        <v>PHB'24</v>
      </c>
      <c r="C173" s="10" t="str">
        <f>IFERROR(__xludf.DUMMYFUNCTION("""COMPUTED_VALUE"""),"none")</f>
        <v>none</v>
      </c>
      <c r="D173" s="10" t="str">
        <f>IFERROR(__xludf.DUMMYFUNCTION("""COMPUTED_VALUE"""),"Adventuring Gear")</f>
        <v>Adventuring Gear</v>
      </c>
      <c r="E173" s="10"/>
      <c r="F173" s="10"/>
      <c r="G173" s="10"/>
      <c r="H173" s="10"/>
      <c r="I173" s="10" t="str">
        <f>IFERROR(__xludf.DUMMYFUNCTION("""COMPUTED_VALUE"""),"When you take the Attack action, you can replace one of your attacks with throwing a Net. Target a creature you can see within 15 feet of yourself. The target must succeed on a Dexterity saving throw (DC 8 plus your Dexterity modifier and Proficiency Bonu"&amp;"s) or have the Restrained condition until it escapes. The target succeeds automatically if it is Huge or larger.To escape, the target or a creature within 5 feet of it must take an action to make a DC 10 Strength (Athletics) check, freeing the Restrained "&amp;"creature on a success. Destroying the Net (AC 10; 5 HP; Immunity to Bludgeoning, Poison, and Psychic damage) also frees the target, ending the effect.")</f>
        <v>When you take the Attack action, you can replace one of your attacks with throwing a Net. Target a creature you can see within 15 feet of yourself. The target must succeed on a Dexterity saving throw (DC 8 plus your Dexterity modifier and Proficiency Bonus) or have the Restrained condition until it escapes. The target succeeds automatically if it is Huge or larger.To escape, the target or a creature within 5 feet of it must take an action to make a DC 10 Strength (Athletics) check, freeing the Restrained creature on a success. Destroying the Net (AC 10; 5 HP; Immunity to Bludgeoning, Poison, and Psychic damage) also frees the target, ending the effect.</v>
      </c>
      <c r="J173" s="10" t="str">
        <f>IFERROR(__xludf.DUMMYFUNCTION("""COMPUTED_VALUE"""),"Free to Guild Adventurers in Good Standing")</f>
        <v>Free to Guild Adventurers in Good Standing</v>
      </c>
    </row>
    <row r="174">
      <c r="A174" s="8" t="str">
        <f>IFERROR(__xludf.DUMMYFUNCTION("""COMPUTED_VALUE"""),"Paper")</f>
        <v>Paper</v>
      </c>
      <c r="B174" s="8" t="str">
        <f>IFERROR(__xludf.DUMMYFUNCTION("""COMPUTED_VALUE"""),"PHB'24")</f>
        <v>PHB'24</v>
      </c>
      <c r="C174" s="8" t="str">
        <f>IFERROR(__xludf.DUMMYFUNCTION("""COMPUTED_VALUE"""),"none")</f>
        <v>none</v>
      </c>
      <c r="D174" s="8" t="str">
        <f>IFERROR(__xludf.DUMMYFUNCTION("""COMPUTED_VALUE"""),"Adventuring Gear")</f>
        <v>Adventuring Gear</v>
      </c>
      <c r="E174" s="8"/>
      <c r="F174" s="8"/>
      <c r="G174" s="8"/>
      <c r="H174" s="8"/>
      <c r="I174" s="8" t="str">
        <f>IFERROR(__xludf.DUMMYFUNCTION("""COMPUTED_VALUE"""),"One sheet of Paper can hold about 250 handwritten words.")</f>
        <v>One sheet of Paper can hold about 250 handwritten words.</v>
      </c>
      <c r="J174" s="8" t="str">
        <f>IFERROR(__xludf.DUMMYFUNCTION("""COMPUTED_VALUE"""),"Free to Guild Adventurers in Good Standing")</f>
        <v>Free to Guild Adventurers in Good Standing</v>
      </c>
    </row>
    <row r="175">
      <c r="A175" s="10" t="str">
        <f>IFERROR(__xludf.DUMMYFUNCTION("""COMPUTED_VALUE"""),"Parchment")</f>
        <v>Parchment</v>
      </c>
      <c r="B175" s="10" t="str">
        <f>IFERROR(__xludf.DUMMYFUNCTION("""COMPUTED_VALUE"""),"PHB'24")</f>
        <v>PHB'24</v>
      </c>
      <c r="C175" s="10" t="str">
        <f>IFERROR(__xludf.DUMMYFUNCTION("""COMPUTED_VALUE"""),"none")</f>
        <v>none</v>
      </c>
      <c r="D175" s="10" t="str">
        <f>IFERROR(__xludf.DUMMYFUNCTION("""COMPUTED_VALUE"""),"Adventuring Gear")</f>
        <v>Adventuring Gear</v>
      </c>
      <c r="E175" s="10"/>
      <c r="F175" s="10"/>
      <c r="G175" s="10"/>
      <c r="H175" s="10"/>
      <c r="I175" s="10" t="str">
        <f>IFERROR(__xludf.DUMMYFUNCTION("""COMPUTED_VALUE"""),"One sheet of Parchment can hold about 250 handwritten words.")</f>
        <v>One sheet of Parchment can hold about 250 handwritten words.</v>
      </c>
      <c r="J175" s="10" t="str">
        <f>IFERROR(__xludf.DUMMYFUNCTION("""COMPUTED_VALUE"""),"Free to Guild Adventurers in Good Standing")</f>
        <v>Free to Guild Adventurers in Good Standing</v>
      </c>
    </row>
    <row r="176">
      <c r="A176" s="8" t="str">
        <f>IFERROR(__xludf.DUMMYFUNCTION("""COMPUTED_VALUE"""),"Perfume")</f>
        <v>Perfume</v>
      </c>
      <c r="B176" s="8" t="str">
        <f>IFERROR(__xludf.DUMMYFUNCTION("""COMPUTED_VALUE"""),"PHB'24")</f>
        <v>PHB'24</v>
      </c>
      <c r="C176" s="8" t="str">
        <f>IFERROR(__xludf.DUMMYFUNCTION("""COMPUTED_VALUE"""),"none")</f>
        <v>none</v>
      </c>
      <c r="D176" s="8" t="str">
        <f>IFERROR(__xludf.DUMMYFUNCTION("""COMPUTED_VALUE"""),"Adventuring Gear")</f>
        <v>Adventuring Gear</v>
      </c>
      <c r="E176" s="8"/>
      <c r="F176" s="8"/>
      <c r="G176" s="8"/>
      <c r="H176" s="8"/>
      <c r="I176" s="8" t="str">
        <f>IFERROR(__xludf.DUMMYFUNCTION("""COMPUTED_VALUE"""),"Perfume comes in a 4-ounce vial. For 1 hour after applying Perfume to yourself, you have Advantage on Charisma (Persuasion) checks made to influence an Indifferent Humanoid within 5 feet of yourself.")</f>
        <v>Perfume comes in a 4-ounce vial. For 1 hour after applying Perfume to yourself, you have Advantage on Charisma (Persuasion) checks made to influence an Indifferent Humanoid within 5 feet of yourself.</v>
      </c>
      <c r="J176" s="8" t="str">
        <f>IFERROR(__xludf.DUMMYFUNCTION("""COMPUTED_VALUE"""),"Free to Guild Adventurers in Good Standing")</f>
        <v>Free to Guild Adventurers in Good Standing</v>
      </c>
    </row>
    <row r="177">
      <c r="A177" s="10" t="str">
        <f>IFERROR(__xludf.DUMMYFUNCTION("""COMPUTED_VALUE"""),"Pitcher")</f>
        <v>Pitcher</v>
      </c>
      <c r="B177" s="10" t="str">
        <f>IFERROR(__xludf.DUMMYFUNCTION("""COMPUTED_VALUE"""),"PHB'14")</f>
        <v>PHB'14</v>
      </c>
      <c r="C177" s="10" t="str">
        <f>IFERROR(__xludf.DUMMYFUNCTION("""COMPUTED_VALUE"""),"none")</f>
        <v>none</v>
      </c>
      <c r="D177" s="10" t="str">
        <f>IFERROR(__xludf.DUMMYFUNCTION("""COMPUTED_VALUE"""),"Adventuring Gear")</f>
        <v>Adventuring Gear</v>
      </c>
      <c r="E177" s="10"/>
      <c r="F177" s="10"/>
      <c r="G177" s="10"/>
      <c r="H177" s="10"/>
      <c r="I177" s="10" t="str">
        <f>IFERROR(__xludf.DUMMYFUNCTION("""COMPUTED_VALUE"""),"A pitcher holds 1 gallon of liquid.")</f>
        <v>A pitcher holds 1 gallon of liquid.</v>
      </c>
      <c r="J177" s="10" t="str">
        <f>IFERROR(__xludf.DUMMYFUNCTION("""COMPUTED_VALUE"""),"Free to Guild Adventurers in Good Standing")</f>
        <v>Free to Guild Adventurers in Good Standing</v>
      </c>
    </row>
    <row r="178">
      <c r="A178" s="8" t="str">
        <f>IFERROR(__xludf.DUMMYFUNCTION("""COMPUTED_VALUE"""),"Pole")</f>
        <v>Pole</v>
      </c>
      <c r="B178" s="8" t="str">
        <f>IFERROR(__xludf.DUMMYFUNCTION("""COMPUTED_VALUE"""),"PHB'24")</f>
        <v>PHB'24</v>
      </c>
      <c r="C178" s="8" t="str">
        <f>IFERROR(__xludf.DUMMYFUNCTION("""COMPUTED_VALUE"""),"none")</f>
        <v>none</v>
      </c>
      <c r="D178" s="8" t="str">
        <f>IFERROR(__xludf.DUMMYFUNCTION("""COMPUTED_VALUE"""),"Adventuring Gear")</f>
        <v>Adventuring Gear</v>
      </c>
      <c r="E178" s="8"/>
      <c r="F178" s="8"/>
      <c r="G178" s="8"/>
      <c r="H178" s="8"/>
      <c r="I178" s="8" t="str">
        <f>IFERROR(__xludf.DUMMYFUNCTION("""COMPUTED_VALUE"""),"A Pole is 10 feet long. You can use it to touch something up to 10 feet away. If you must make a Strength (Athletics) check as part of a High or Long Jump, you can use the Pole to vault, giving yourself Advantage on the check.")</f>
        <v>A Pole is 10 feet long. You can use it to touch something up to 10 feet away. If you must make a Strength (Athletics) check as part of a High or Long Jump, you can use the Pole to vault, giving yourself Advantage on the check.</v>
      </c>
      <c r="J178" s="8" t="str">
        <f>IFERROR(__xludf.DUMMYFUNCTION("""COMPUTED_VALUE"""),"Free to Guild Adventurers in Good Standing")</f>
        <v>Free to Guild Adventurers in Good Standing</v>
      </c>
    </row>
    <row r="179">
      <c r="A179" s="10" t="str">
        <f>IFERROR(__xludf.DUMMYFUNCTION("""COMPUTED_VALUE"""),"Portable Ram")</f>
        <v>Portable Ram</v>
      </c>
      <c r="B179" s="10" t="str">
        <f>IFERROR(__xludf.DUMMYFUNCTION("""COMPUTED_VALUE"""),"PHB'24")</f>
        <v>PHB'24</v>
      </c>
      <c r="C179" s="10" t="str">
        <f>IFERROR(__xludf.DUMMYFUNCTION("""COMPUTED_VALUE"""),"none")</f>
        <v>none</v>
      </c>
      <c r="D179" s="10" t="str">
        <f>IFERROR(__xludf.DUMMYFUNCTION("""COMPUTED_VALUE"""),"Adventuring Gear")</f>
        <v>Adventuring Gear</v>
      </c>
      <c r="E179" s="10"/>
      <c r="F179" s="10"/>
      <c r="G179" s="10"/>
      <c r="H179" s="10"/>
      <c r="I179" s="10" t="str">
        <f>IFERROR(__xludf.DUMMYFUNCTION("""COMPUTED_VALUE"""),"You can use a Portable Ram to break down doors. When doing so, you gain a +4 bonus to the Strength check. One other character can help you use the ram, giving you Advantage on this check.")</f>
        <v>You can use a Portable Ram to break down doors. When doing so, you gain a +4 bonus to the Strength check. One other character can help you use the ram, giving you Advantage on this check.</v>
      </c>
      <c r="J179" s="10" t="str">
        <f>IFERROR(__xludf.DUMMYFUNCTION("""COMPUTED_VALUE"""),"Free to Guild Adventurers in Good Standing")</f>
        <v>Free to Guild Adventurers in Good Standing</v>
      </c>
    </row>
    <row r="180">
      <c r="A180" s="8" t="str">
        <f>IFERROR(__xludf.DUMMYFUNCTION("""COMPUTED_VALUE"""),"Pouch")</f>
        <v>Pouch</v>
      </c>
      <c r="B180" s="8" t="str">
        <f>IFERROR(__xludf.DUMMYFUNCTION("""COMPUTED_VALUE"""),"PHB'24")</f>
        <v>PHB'24</v>
      </c>
      <c r="C180" s="8" t="str">
        <f>IFERROR(__xludf.DUMMYFUNCTION("""COMPUTED_VALUE"""),"none")</f>
        <v>none</v>
      </c>
      <c r="D180" s="8" t="str">
        <f>IFERROR(__xludf.DUMMYFUNCTION("""COMPUTED_VALUE"""),"Adventuring Gear")</f>
        <v>Adventuring Gear</v>
      </c>
      <c r="E180" s="8"/>
      <c r="F180" s="8"/>
      <c r="G180" s="8"/>
      <c r="H180" s="8"/>
      <c r="I180" s="8" t="str">
        <f>IFERROR(__xludf.DUMMYFUNCTION("""COMPUTED_VALUE"""),"A Pouch holds up to 6 pounds within one-fifth of a cubic foot.")</f>
        <v>A Pouch holds up to 6 pounds within one-fifth of a cubic foot.</v>
      </c>
      <c r="J180" s="8" t="str">
        <f>IFERROR(__xludf.DUMMYFUNCTION("""COMPUTED_VALUE"""),"Free to Guild Adventurers in Good Standing")</f>
        <v>Free to Guild Adventurers in Good Standing</v>
      </c>
    </row>
    <row r="181">
      <c r="A181" s="10" t="str">
        <f>IFERROR(__xludf.DUMMYFUNCTION("""COMPUTED_VALUE"""),"Priest's Pack")</f>
        <v>Priest's Pack</v>
      </c>
      <c r="B181" s="10" t="str">
        <f>IFERROR(__xludf.DUMMYFUNCTION("""COMPUTED_VALUE"""),"PHB'24")</f>
        <v>PHB'24</v>
      </c>
      <c r="C181" s="10" t="str">
        <f>IFERROR(__xludf.DUMMYFUNCTION("""COMPUTED_VALUE"""),"none")</f>
        <v>none</v>
      </c>
      <c r="D181" s="10" t="str">
        <f>IFERROR(__xludf.DUMMYFUNCTION("""COMPUTED_VALUE"""),"Adventuring Gear")</f>
        <v>Adventuring Gear</v>
      </c>
      <c r="E181" s="10"/>
      <c r="F181" s="10"/>
      <c r="G181" s="10"/>
      <c r="H181" s="10"/>
      <c r="I181" s="10" t="str">
        <f>IFERROR(__xludf.DUMMYFUNCTION("""COMPUTED_VALUE"""),"A Priest's Pack contains the following items: Backpack, Blanket, Holy Water, Lamp, 7 days of Rations, Robe, and Tinderbox.")</f>
        <v>A Priest's Pack contains the following items: Backpack, Blanket, Holy Water, Lamp, 7 days of Rations, Robe, and Tinderbox.</v>
      </c>
      <c r="J181" s="10" t="str">
        <f>IFERROR(__xludf.DUMMYFUNCTION("""COMPUTED_VALUE"""),"Free to Guild Adventurers in Good Standing")</f>
        <v>Free to Guild Adventurers in Good Standing</v>
      </c>
    </row>
    <row r="182">
      <c r="A182" s="8" t="str">
        <f>IFERROR(__xludf.DUMMYFUNCTION("""COMPUTED_VALUE"""),"Quiver")</f>
        <v>Quiver</v>
      </c>
      <c r="B182" s="8" t="str">
        <f>IFERROR(__xludf.DUMMYFUNCTION("""COMPUTED_VALUE"""),"PHB'24")</f>
        <v>PHB'24</v>
      </c>
      <c r="C182" s="8" t="str">
        <f>IFERROR(__xludf.DUMMYFUNCTION("""COMPUTED_VALUE"""),"none")</f>
        <v>none</v>
      </c>
      <c r="D182" s="8" t="str">
        <f>IFERROR(__xludf.DUMMYFUNCTION("""COMPUTED_VALUE"""),"Adventuring Gear")</f>
        <v>Adventuring Gear</v>
      </c>
      <c r="E182" s="8"/>
      <c r="F182" s="8"/>
      <c r="G182" s="8"/>
      <c r="H182" s="8"/>
      <c r="I182" s="8" t="str">
        <f>IFERROR(__xludf.DUMMYFUNCTION("""COMPUTED_VALUE"""),"A Quiver holds up to 20 Arrows.")</f>
        <v>A Quiver holds up to 20 Arrows.</v>
      </c>
      <c r="J182" s="8" t="str">
        <f>IFERROR(__xludf.DUMMYFUNCTION("""COMPUTED_VALUE"""),"Free to Guild Adventurers in Good Standing")</f>
        <v>Free to Guild Adventurers in Good Standing</v>
      </c>
    </row>
    <row r="183">
      <c r="A183" s="10" t="str">
        <f>IFERROR(__xludf.DUMMYFUNCTION("""COMPUTED_VALUE"""),"Rations")</f>
        <v>Rations</v>
      </c>
      <c r="B183" s="10" t="str">
        <f>IFERROR(__xludf.DUMMYFUNCTION("""COMPUTED_VALUE"""),"PHB'24")</f>
        <v>PHB'24</v>
      </c>
      <c r="C183" s="10" t="str">
        <f>IFERROR(__xludf.DUMMYFUNCTION("""COMPUTED_VALUE"""),"none")</f>
        <v>none</v>
      </c>
      <c r="D183" s="10" t="str">
        <f>IFERROR(__xludf.DUMMYFUNCTION("""COMPUTED_VALUE"""),"Adventuring Gear")</f>
        <v>Adventuring Gear</v>
      </c>
      <c r="E183" s="10"/>
      <c r="F183" s="10"/>
      <c r="G183" s="10"/>
      <c r="H183" s="10"/>
      <c r="I183" s="10" t="str">
        <f>IFERROR(__xludf.DUMMYFUNCTION("""COMPUTED_VALUE"""),"Rations consist of travel-ready food, including jerky, dried fruit, hardtack, and nuts. See ""Malnutrition"" for the risks of not eating.")</f>
        <v>Rations consist of travel-ready food, including jerky, dried fruit, hardtack, and nuts. See "Malnutrition" for the risks of not eating.</v>
      </c>
      <c r="J183" s="10" t="str">
        <f>IFERROR(__xludf.DUMMYFUNCTION("""COMPUTED_VALUE"""),"Free to Guild Adventurers in Good Standing")</f>
        <v>Free to Guild Adventurers in Good Standing</v>
      </c>
    </row>
    <row r="184">
      <c r="A184" s="8" t="str">
        <f>IFERROR(__xludf.DUMMYFUNCTION("""COMPUTED_VALUE"""),"Robe")</f>
        <v>Robe</v>
      </c>
      <c r="B184" s="8" t="str">
        <f>IFERROR(__xludf.DUMMYFUNCTION("""COMPUTED_VALUE"""),"PHB'24")</f>
        <v>PHB'24</v>
      </c>
      <c r="C184" s="8" t="str">
        <f>IFERROR(__xludf.DUMMYFUNCTION("""COMPUTED_VALUE"""),"none")</f>
        <v>none</v>
      </c>
      <c r="D184" s="8" t="str">
        <f>IFERROR(__xludf.DUMMYFUNCTION("""COMPUTED_VALUE"""),"Adventuring Gear")</f>
        <v>Adventuring Gear</v>
      </c>
      <c r="E184" s="8"/>
      <c r="F184" s="8"/>
      <c r="G184" s="8"/>
      <c r="H184" s="8"/>
      <c r="I184" s="8" t="str">
        <f>IFERROR(__xludf.DUMMYFUNCTION("""COMPUTED_VALUE"""),"A Robe has vocational or ceremonial significance. Some events and locations admit only people wearing a Robe bearing certain colors or symbols.")</f>
        <v>A Robe has vocational or ceremonial significance. Some events and locations admit only people wearing a Robe bearing certain colors or symbols.</v>
      </c>
      <c r="J184" s="8" t="str">
        <f>IFERROR(__xludf.DUMMYFUNCTION("""COMPUTED_VALUE"""),"Free to Guild Adventurers in Good Standing")</f>
        <v>Free to Guild Adventurers in Good Standing</v>
      </c>
    </row>
    <row r="185">
      <c r="A185" s="10" t="str">
        <f>IFERROR(__xludf.DUMMYFUNCTION("""COMPUTED_VALUE"""),"Rope")</f>
        <v>Rope</v>
      </c>
      <c r="B185" s="10" t="str">
        <f>IFERROR(__xludf.DUMMYFUNCTION("""COMPUTED_VALUE"""),"PHB'24")</f>
        <v>PHB'24</v>
      </c>
      <c r="C185" s="10" t="str">
        <f>IFERROR(__xludf.DUMMYFUNCTION("""COMPUTED_VALUE"""),"none")</f>
        <v>none</v>
      </c>
      <c r="D185" s="10" t="str">
        <f>IFERROR(__xludf.DUMMYFUNCTION("""COMPUTED_VALUE"""),"Adventuring Gear")</f>
        <v>Adventuring Gear</v>
      </c>
      <c r="E185" s="10"/>
      <c r="F185" s="10"/>
      <c r="G185" s="10"/>
      <c r="H185" s="10"/>
      <c r="I185" s="10" t="str">
        <f>IFERROR(__xludf.DUMMYFUNCTION("""COMPUTED_VALUE"""),"As a Utilize action, you can tie a knot with Rope if you succeed on a DC 10 Dexterity (Sleight of Hand) check. The Rope can be burst with a successful DC 20 Strength (Athletics) check.You can bind an unwilling creature with the Rope only if the creature h"&amp;"as the Grappled, Incapacitated, or Restrained condition. If the creature's legs are bound, the creature has the Restrained condition until it escapes. Escaping the Rope requires the creature to make a successful DC 15 Dexterity (Acrobatics) check as an ac"&amp;"tion.")</f>
        <v>As a Utilize action, you can tie a knot with Rope if you succeed on a DC 10 Dexterity (Sleight of Hand) check. The Rope can be burst with a successful DC 20 Strength (Athletics) check.You can bind an unwilling creature with the Rope only if the creature has the Grappled, Incapacitated, or Restrained condition. If the creature's legs are bound, the creature has the Restrained condition until it escapes. Escaping the Rope requires the creature to make a successful DC 15 Dexterity (Acrobatics) check as an action.</v>
      </c>
      <c r="J185" s="10" t="str">
        <f>IFERROR(__xludf.DUMMYFUNCTION("""COMPUTED_VALUE"""),"Free to Guild Adventurers in Good Standing")</f>
        <v>Free to Guild Adventurers in Good Standing</v>
      </c>
    </row>
    <row r="186">
      <c r="A186" s="8" t="str">
        <f>IFERROR(__xludf.DUMMYFUNCTION("""COMPUTED_VALUE"""),"Sack")</f>
        <v>Sack</v>
      </c>
      <c r="B186" s="8" t="str">
        <f>IFERROR(__xludf.DUMMYFUNCTION("""COMPUTED_VALUE"""),"PHB'24")</f>
        <v>PHB'24</v>
      </c>
      <c r="C186" s="8" t="str">
        <f>IFERROR(__xludf.DUMMYFUNCTION("""COMPUTED_VALUE"""),"none")</f>
        <v>none</v>
      </c>
      <c r="D186" s="8" t="str">
        <f>IFERROR(__xludf.DUMMYFUNCTION("""COMPUTED_VALUE"""),"Adventuring Gear")</f>
        <v>Adventuring Gear</v>
      </c>
      <c r="E186" s="8"/>
      <c r="F186" s="8"/>
      <c r="G186" s="8"/>
      <c r="H186" s="8"/>
      <c r="I186" s="8" t="str">
        <f>IFERROR(__xludf.DUMMYFUNCTION("""COMPUTED_VALUE"""),"A Sack holds up to 30 pounds within 1 cubic foot.")</f>
        <v>A Sack holds up to 30 pounds within 1 cubic foot.</v>
      </c>
      <c r="J186" s="8" t="str">
        <f>IFERROR(__xludf.DUMMYFUNCTION("""COMPUTED_VALUE"""),"Free to Guild Adventurers in Good Standing")</f>
        <v>Free to Guild Adventurers in Good Standing</v>
      </c>
    </row>
    <row r="187">
      <c r="A187" s="10" t="str">
        <f>IFERROR(__xludf.DUMMYFUNCTION("""COMPUTED_VALUE"""),"Scholar's Pack")</f>
        <v>Scholar's Pack</v>
      </c>
      <c r="B187" s="10" t="str">
        <f>IFERROR(__xludf.DUMMYFUNCTION("""COMPUTED_VALUE"""),"PHB'24")</f>
        <v>PHB'24</v>
      </c>
      <c r="C187" s="10" t="str">
        <f>IFERROR(__xludf.DUMMYFUNCTION("""COMPUTED_VALUE"""),"none")</f>
        <v>none</v>
      </c>
      <c r="D187" s="10" t="str">
        <f>IFERROR(__xludf.DUMMYFUNCTION("""COMPUTED_VALUE"""),"Adventuring Gear")</f>
        <v>Adventuring Gear</v>
      </c>
      <c r="E187" s="10"/>
      <c r="F187" s="10"/>
      <c r="G187" s="10"/>
      <c r="H187" s="10"/>
      <c r="I187" s="10" t="str">
        <f>IFERROR(__xludf.DUMMYFUNCTION("""COMPUTED_VALUE"""),"A Scholar's Pack contains the following items: Backpack, Book, Ink, Ink Pen, Lamp, 10 flasks of Oil, 10 sheets of Parchment, and Tinderbox.")</f>
        <v>A Scholar's Pack contains the following items: Backpack, Book, Ink, Ink Pen, Lamp, 10 flasks of Oil, 10 sheets of Parchment, and Tinderbox.</v>
      </c>
      <c r="J187" s="10" t="str">
        <f>IFERROR(__xludf.DUMMYFUNCTION("""COMPUTED_VALUE"""),"Free to Guild Adventurers in Good Standing")</f>
        <v>Free to Guild Adventurers in Good Standing</v>
      </c>
    </row>
    <row r="188">
      <c r="A188" s="8" t="str">
        <f>IFERROR(__xludf.DUMMYFUNCTION("""COMPUTED_VALUE"""),"Shovel")</f>
        <v>Shovel</v>
      </c>
      <c r="B188" s="8" t="str">
        <f>IFERROR(__xludf.DUMMYFUNCTION("""COMPUTED_VALUE"""),"PHB'24")</f>
        <v>PHB'24</v>
      </c>
      <c r="C188" s="8" t="str">
        <f>IFERROR(__xludf.DUMMYFUNCTION("""COMPUTED_VALUE"""),"none")</f>
        <v>none</v>
      </c>
      <c r="D188" s="8" t="str">
        <f>IFERROR(__xludf.DUMMYFUNCTION("""COMPUTED_VALUE"""),"Adventuring Gear")</f>
        <v>Adventuring Gear</v>
      </c>
      <c r="E188" s="8"/>
      <c r="F188" s="8"/>
      <c r="G188" s="8"/>
      <c r="H188" s="8"/>
      <c r="I188" s="8" t="str">
        <f>IFERROR(__xludf.DUMMYFUNCTION("""COMPUTED_VALUE"""),"Working for 1 hour, you can use a Shovel to dig a hole that is 5 feet on each side in soil or similar material.")</f>
        <v>Working for 1 hour, you can use a Shovel to dig a hole that is 5 feet on each side in soil or similar material.</v>
      </c>
      <c r="J188" s="8" t="str">
        <f>IFERROR(__xludf.DUMMYFUNCTION("""COMPUTED_VALUE"""),"Free to Guild Adventurers in Good Standing")</f>
        <v>Free to Guild Adventurers in Good Standing</v>
      </c>
    </row>
    <row r="189">
      <c r="A189" s="10" t="str">
        <f>IFERROR(__xludf.DUMMYFUNCTION("""COMPUTED_VALUE"""),"Signal Whistle")</f>
        <v>Signal Whistle</v>
      </c>
      <c r="B189" s="10" t="str">
        <f>IFERROR(__xludf.DUMMYFUNCTION("""COMPUTED_VALUE"""),"PHB'24")</f>
        <v>PHB'24</v>
      </c>
      <c r="C189" s="10" t="str">
        <f>IFERROR(__xludf.DUMMYFUNCTION("""COMPUTED_VALUE"""),"none")</f>
        <v>none</v>
      </c>
      <c r="D189" s="10" t="str">
        <f>IFERROR(__xludf.DUMMYFUNCTION("""COMPUTED_VALUE"""),"Adventuring Gear")</f>
        <v>Adventuring Gear</v>
      </c>
      <c r="E189" s="10"/>
      <c r="F189" s="10"/>
      <c r="G189" s="10"/>
      <c r="H189" s="10"/>
      <c r="I189" s="10" t="str">
        <f>IFERROR(__xludf.DUMMYFUNCTION("""COMPUTED_VALUE"""),"When blown as a Utilize action, a Signal Whistle produces a sound that can be heard up to 600 feet away.")</f>
        <v>When blown as a Utilize action, a Signal Whistle produces a sound that can be heard up to 600 feet away.</v>
      </c>
      <c r="J189" s="10" t="str">
        <f>IFERROR(__xludf.DUMMYFUNCTION("""COMPUTED_VALUE"""),"Free to Guild Adventurers in Good Standing")</f>
        <v>Free to Guild Adventurers in Good Standing</v>
      </c>
    </row>
    <row r="190">
      <c r="A190" s="8" t="str">
        <f>IFERROR(__xludf.DUMMYFUNCTION("""COMPUTED_VALUE"""),"Silk Rope (50 feet)")</f>
        <v>Silk Rope (50 feet)</v>
      </c>
      <c r="B190" s="8" t="str">
        <f>IFERROR(__xludf.DUMMYFUNCTION("""COMPUTED_VALUE"""),"PHB'14")</f>
        <v>PHB'14</v>
      </c>
      <c r="C190" s="8" t="str">
        <f>IFERROR(__xludf.DUMMYFUNCTION("""COMPUTED_VALUE"""),"none")</f>
        <v>none</v>
      </c>
      <c r="D190" s="8" t="str">
        <f>IFERROR(__xludf.DUMMYFUNCTION("""COMPUTED_VALUE"""),"Adventuring Gear")</f>
        <v>Adventuring Gear</v>
      </c>
      <c r="E190" s="8"/>
      <c r="F190" s="8"/>
      <c r="G190" s="8"/>
      <c r="H190" s="8"/>
      <c r="I190" s="8" t="str">
        <f>IFERROR(__xludf.DUMMYFUNCTION("""COMPUTED_VALUE"""),"Rope, whether made of hemp or silk, has 2 hit points and can be burst with a DC 17 Strength check.")</f>
        <v>Rope, whether made of hemp or silk, has 2 hit points and can be burst with a DC 17 Strength check.</v>
      </c>
      <c r="J190" s="8" t="str">
        <f>IFERROR(__xludf.DUMMYFUNCTION("""COMPUTED_VALUE"""),"Free to Guild Adventurers in Good Standing")</f>
        <v>Free to Guild Adventurers in Good Standing</v>
      </c>
    </row>
    <row r="191">
      <c r="A191" s="10" t="str">
        <f>IFERROR(__xludf.DUMMYFUNCTION("""COMPUTED_VALUE"""),"Snowshoes")</f>
        <v>Snowshoes</v>
      </c>
      <c r="B191" s="10" t="str">
        <f>IFERROR(__xludf.DUMMYFUNCTION("""COMPUTED_VALUE"""),"IDRotF")</f>
        <v>IDRotF</v>
      </c>
      <c r="C191" s="10" t="str">
        <f>IFERROR(__xludf.DUMMYFUNCTION("""COMPUTED_VALUE"""),"none")</f>
        <v>none</v>
      </c>
      <c r="D191" s="10" t="str">
        <f>IFERROR(__xludf.DUMMYFUNCTION("""COMPUTED_VALUE"""),"Adventuring Gear")</f>
        <v>Adventuring Gear</v>
      </c>
      <c r="E191" s="10"/>
      <c r="F191" s="10"/>
      <c r="G191" s="10"/>
      <c r="H191" s="10"/>
      <c r="I191" s="10" t="str">
        <f>IFERROR(__xludf.DUMMYFUNCTION("""COMPUTED_VALUE"""),"Snowshoes reduce the likelihood of their wearer getting stuck in the deep snow.")</f>
        <v>Snowshoes reduce the likelihood of their wearer getting stuck in the deep snow.</v>
      </c>
      <c r="J191" s="10" t="str">
        <f>IFERROR(__xludf.DUMMYFUNCTION("""COMPUTED_VALUE"""),"Free to Guild Adventurers in Good Standing")</f>
        <v>Free to Guild Adventurers in Good Standing</v>
      </c>
    </row>
    <row r="192">
      <c r="A192" s="8" t="str">
        <f>IFERROR(__xludf.DUMMYFUNCTION("""COMPUTED_VALUE"""),"Spyglass")</f>
        <v>Spyglass</v>
      </c>
      <c r="B192" s="8" t="str">
        <f>IFERROR(__xludf.DUMMYFUNCTION("""COMPUTED_VALUE"""),"PHB'24")</f>
        <v>PHB'24</v>
      </c>
      <c r="C192" s="8" t="str">
        <f>IFERROR(__xludf.DUMMYFUNCTION("""COMPUTED_VALUE"""),"none")</f>
        <v>none</v>
      </c>
      <c r="D192" s="8" t="str">
        <f>IFERROR(__xludf.DUMMYFUNCTION("""COMPUTED_VALUE"""),"Adventuring Gear")</f>
        <v>Adventuring Gear</v>
      </c>
      <c r="E192" s="8"/>
      <c r="F192" s="8"/>
      <c r="G192" s="8"/>
      <c r="H192" s="8"/>
      <c r="I192" s="8" t="str">
        <f>IFERROR(__xludf.DUMMYFUNCTION("""COMPUTED_VALUE"""),"Objects viewed through a Spyglass are magnified to twice their size.")</f>
        <v>Objects viewed through a Spyglass are magnified to twice their size.</v>
      </c>
      <c r="J192" s="8" t="str">
        <f>IFERROR(__xludf.DUMMYFUNCTION("""COMPUTED_VALUE"""),"Free to Guild Adventurers in Good Standing")</f>
        <v>Free to Guild Adventurers in Good Standing</v>
      </c>
    </row>
    <row r="193">
      <c r="A193" s="10" t="str">
        <f>IFERROR(__xludf.DUMMYFUNCTION("""COMPUTED_VALUE"""),"Tankard")</f>
        <v>Tankard</v>
      </c>
      <c r="B193" s="10" t="str">
        <f>IFERROR(__xludf.DUMMYFUNCTION("""COMPUTED_VALUE"""),"PHB'14")</f>
        <v>PHB'14</v>
      </c>
      <c r="C193" s="10" t="str">
        <f>IFERROR(__xludf.DUMMYFUNCTION("""COMPUTED_VALUE"""),"none")</f>
        <v>none</v>
      </c>
      <c r="D193" s="10" t="str">
        <f>IFERROR(__xludf.DUMMYFUNCTION("""COMPUTED_VALUE"""),"Adventuring Gear")</f>
        <v>Adventuring Gear</v>
      </c>
      <c r="E193" s="10"/>
      <c r="F193" s="10"/>
      <c r="G193" s="10"/>
      <c r="H193" s="10"/>
      <c r="I193" s="10" t="str">
        <f>IFERROR(__xludf.DUMMYFUNCTION("""COMPUTED_VALUE"""),"A tankard holds 1 pint of liquid.")</f>
        <v>A tankard holds 1 pint of liquid.</v>
      </c>
      <c r="J193" s="10" t="str">
        <f>IFERROR(__xludf.DUMMYFUNCTION("""COMPUTED_VALUE"""),"Free to Guild Adventurers in Good Standing")</f>
        <v>Free to Guild Adventurers in Good Standing</v>
      </c>
    </row>
    <row r="194">
      <c r="A194" s="8" t="str">
        <f>IFERROR(__xludf.DUMMYFUNCTION("""COMPUTED_VALUE"""),"Tent")</f>
        <v>Tent</v>
      </c>
      <c r="B194" s="8" t="str">
        <f>IFERROR(__xludf.DUMMYFUNCTION("""COMPUTED_VALUE"""),"PHB'24")</f>
        <v>PHB'24</v>
      </c>
      <c r="C194" s="8" t="str">
        <f>IFERROR(__xludf.DUMMYFUNCTION("""COMPUTED_VALUE"""),"none")</f>
        <v>none</v>
      </c>
      <c r="D194" s="8" t="str">
        <f>IFERROR(__xludf.DUMMYFUNCTION("""COMPUTED_VALUE"""),"Adventuring Gear")</f>
        <v>Adventuring Gear</v>
      </c>
      <c r="E194" s="8"/>
      <c r="F194" s="8"/>
      <c r="G194" s="8"/>
      <c r="H194" s="8"/>
      <c r="I194" s="8" t="str">
        <f>IFERROR(__xludf.DUMMYFUNCTION("""COMPUTED_VALUE"""),"A Tent sleeps up to two Small or Medium creatures.")</f>
        <v>A Tent sleeps up to two Small or Medium creatures.</v>
      </c>
      <c r="J194" s="8" t="str">
        <f>IFERROR(__xludf.DUMMYFUNCTION("""COMPUTED_VALUE"""),"Free to Guild Adventurers in Good Standing")</f>
        <v>Free to Guild Adventurers in Good Standing</v>
      </c>
    </row>
    <row r="195">
      <c r="A195" s="10" t="str">
        <f>IFERROR(__xludf.DUMMYFUNCTION("""COMPUTED_VALUE"""),"Tinderbox")</f>
        <v>Tinderbox</v>
      </c>
      <c r="B195" s="10" t="str">
        <f>IFERROR(__xludf.DUMMYFUNCTION("""COMPUTED_VALUE"""),"PHB'24")</f>
        <v>PHB'24</v>
      </c>
      <c r="C195" s="10" t="str">
        <f>IFERROR(__xludf.DUMMYFUNCTION("""COMPUTED_VALUE"""),"none")</f>
        <v>none</v>
      </c>
      <c r="D195" s="10" t="str">
        <f>IFERROR(__xludf.DUMMYFUNCTION("""COMPUTED_VALUE"""),"Adventuring Gear")</f>
        <v>Adventuring Gear</v>
      </c>
      <c r="E195" s="10"/>
      <c r="F195" s="10"/>
      <c r="G195" s="10"/>
      <c r="H195" s="10"/>
      <c r="I195" s="10" t="str">
        <f>IFERROR(__xludf.DUMMYFUNCTION("""COMPUTED_VALUE"""),"A Tinderbox is a small container holding flint, fire steel, and tinder (usually dry cloth soaked in light oil) used to kindle a fire. Using it to light a Candle, Lamp, Lantern, or Torchâor anything else with exposed fuelâtakes a Bonus Action. Lighting"&amp;" any other fire takes 1 minute.")</f>
        <v>A Tinderbox is a small container holding flint, fire steel, and tinder (usually dry cloth soaked in light oil) used to kindle a fire. Using it to light a Candle, Lamp, Lantern, or Torchâ_x0080__x0094_or anything else with exposed fuelâ_x0080__x0094_takes a Bonus Action. Lighting any other fire takes 1 minute.</v>
      </c>
      <c r="J195" s="10" t="str">
        <f>IFERROR(__xludf.DUMMYFUNCTION("""COMPUTED_VALUE"""),"Free to Guild Adventurers in Good Standing")</f>
        <v>Free to Guild Adventurers in Good Standing</v>
      </c>
    </row>
    <row r="196">
      <c r="A196" s="8" t="str">
        <f>IFERROR(__xludf.DUMMYFUNCTION("""COMPUTED_VALUE"""),"Torch")</f>
        <v>Torch</v>
      </c>
      <c r="B196" s="8" t="str">
        <f>IFERROR(__xludf.DUMMYFUNCTION("""COMPUTED_VALUE"""),"PHB'24")</f>
        <v>PHB'24</v>
      </c>
      <c r="C196" s="8" t="str">
        <f>IFERROR(__xludf.DUMMYFUNCTION("""COMPUTED_VALUE"""),"none")</f>
        <v>none</v>
      </c>
      <c r="D196" s="8" t="str">
        <f>IFERROR(__xludf.DUMMYFUNCTION("""COMPUTED_VALUE"""),"Adventuring Gear")</f>
        <v>Adventuring Gear</v>
      </c>
      <c r="E196" s="8"/>
      <c r="F196" s="8"/>
      <c r="G196" s="8"/>
      <c r="H196" s="8"/>
      <c r="I196" s="8" t="str">
        <f>IFERROR(__xludf.DUMMYFUNCTION("""COMPUTED_VALUE"""),"A Torch burns for 1 hour, casting Bright Light in a 20-foot radius and Dim Light for an additional 20 feet. When you take the Attack action, you can attack with the Torch, using it as a Simple Melee weapon. On a hit, the target takes 1 Fire damage.")</f>
        <v>A Torch burns for 1 hour, casting Bright Light in a 20-foot radius and Dim Light for an additional 20 feet. When you take the Attack action, you can attack with the Torch, using it as a Simple Melee weapon. On a hit, the target takes 1 Fire damage.</v>
      </c>
      <c r="J196" s="8" t="str">
        <f>IFERROR(__xludf.DUMMYFUNCTION("""COMPUTED_VALUE"""),"Free to Guild Adventurers in Good Standing")</f>
        <v>Free to Guild Adventurers in Good Standing</v>
      </c>
    </row>
    <row r="197">
      <c r="A197" s="10" t="str">
        <f>IFERROR(__xludf.DUMMYFUNCTION("""COMPUTED_VALUE"""),"Traveler's Clothes")</f>
        <v>Traveler's Clothes</v>
      </c>
      <c r="B197" s="10" t="str">
        <f>IFERROR(__xludf.DUMMYFUNCTION("""COMPUTED_VALUE"""),"PHB'24")</f>
        <v>PHB'24</v>
      </c>
      <c r="C197" s="10" t="str">
        <f>IFERROR(__xludf.DUMMYFUNCTION("""COMPUTED_VALUE"""),"none")</f>
        <v>none</v>
      </c>
      <c r="D197" s="10" t="str">
        <f>IFERROR(__xludf.DUMMYFUNCTION("""COMPUTED_VALUE"""),"Adventuring Gear")</f>
        <v>Adventuring Gear</v>
      </c>
      <c r="E197" s="10"/>
      <c r="F197" s="10"/>
      <c r="G197" s="10"/>
      <c r="H197" s="10"/>
      <c r="I197" s="10" t="str">
        <f>IFERROR(__xludf.DUMMYFUNCTION("""COMPUTED_VALUE"""),"Traveler's Clothes are resilient garments designed for travel in various environments.")</f>
        <v>Traveler's Clothes are resilient garments designed for travel in various environments.</v>
      </c>
      <c r="J197" s="10" t="str">
        <f>IFERROR(__xludf.DUMMYFUNCTION("""COMPUTED_VALUE"""),"Free to Guild Adventurers in Good Standing")</f>
        <v>Free to Guild Adventurers in Good Standing</v>
      </c>
    </row>
    <row r="198">
      <c r="A198" s="8" t="str">
        <f>IFERROR(__xludf.DUMMYFUNCTION("""COMPUTED_VALUE"""),"Vial")</f>
        <v>Vial</v>
      </c>
      <c r="B198" s="8" t="str">
        <f>IFERROR(__xludf.DUMMYFUNCTION("""COMPUTED_VALUE"""),"PHB'24")</f>
        <v>PHB'24</v>
      </c>
      <c r="C198" s="8" t="str">
        <f>IFERROR(__xludf.DUMMYFUNCTION("""COMPUTED_VALUE"""),"none")</f>
        <v>none</v>
      </c>
      <c r="D198" s="8" t="str">
        <f>IFERROR(__xludf.DUMMYFUNCTION("""COMPUTED_VALUE"""),"Adventuring Gear")</f>
        <v>Adventuring Gear</v>
      </c>
      <c r="E198" s="8"/>
      <c r="F198" s="8"/>
      <c r="G198" s="8"/>
      <c r="H198" s="8"/>
      <c r="I198" s="8" t="str">
        <f>IFERROR(__xludf.DUMMYFUNCTION("""COMPUTED_VALUE"""),"A Vial holds up to 4 ounces.")</f>
        <v>A Vial holds up to 4 ounces.</v>
      </c>
      <c r="J198" s="8" t="str">
        <f>IFERROR(__xludf.DUMMYFUNCTION("""COMPUTED_VALUE"""),"Free to Guild Adventurers in Good Standing")</f>
        <v>Free to Guild Adventurers in Good Standing</v>
      </c>
    </row>
    <row r="199">
      <c r="A199" s="10" t="str">
        <f>IFERROR(__xludf.DUMMYFUNCTION("""COMPUTED_VALUE"""),"Waterskin")</f>
        <v>Waterskin</v>
      </c>
      <c r="B199" s="10" t="str">
        <f>IFERROR(__xludf.DUMMYFUNCTION("""COMPUTED_VALUE"""),"PHB'24")</f>
        <v>PHB'24</v>
      </c>
      <c r="C199" s="10" t="str">
        <f>IFERROR(__xludf.DUMMYFUNCTION("""COMPUTED_VALUE"""),"none")</f>
        <v>none</v>
      </c>
      <c r="D199" s="10" t="str">
        <f>IFERROR(__xludf.DUMMYFUNCTION("""COMPUTED_VALUE"""),"Adventuring Gear")</f>
        <v>Adventuring Gear</v>
      </c>
      <c r="E199" s="10"/>
      <c r="F199" s="10"/>
      <c r="G199" s="10"/>
      <c r="H199" s="10"/>
      <c r="I199" s="10" t="str">
        <f>IFERROR(__xludf.DUMMYFUNCTION("""COMPUTED_VALUE"""),"A Waterskin holds up to 4 pints. If you don't drink sufficient water, you risk dehydration.")</f>
        <v>A Waterskin holds up to 4 pints. If you don't drink sufficient water, you risk dehydration.</v>
      </c>
      <c r="J199" s="10" t="str">
        <f>IFERROR(__xludf.DUMMYFUNCTION("""COMPUTED_VALUE"""),"Free to Guild Adventurers in Good Standing")</f>
        <v>Free to Guild Adventurers in Good Standing</v>
      </c>
    </row>
    <row r="200">
      <c r="A200" s="8" t="str">
        <f>IFERROR(__xludf.DUMMYFUNCTION("""COMPUTED_VALUE"""),"Winter Camouflage")</f>
        <v>Winter Camouflage</v>
      </c>
      <c r="B200" s="8" t="str">
        <f>IFERROR(__xludf.DUMMYFUNCTION("""COMPUTED_VALUE"""),"FRHoF")</f>
        <v>FRHoF</v>
      </c>
      <c r="C200" s="8" t="str">
        <f>IFERROR(__xludf.DUMMYFUNCTION("""COMPUTED_VALUE"""),"none")</f>
        <v>none</v>
      </c>
      <c r="D200" s="8" t="str">
        <f>IFERROR(__xludf.DUMMYFUNCTION("""COMPUTED_VALUE"""),"Adventuring Gear")</f>
        <v>Adventuring Gear</v>
      </c>
      <c r="E200" s="8"/>
      <c r="F200" s="8"/>
      <c r="G200" s="8"/>
      <c r="H200" s="8"/>
      <c r="I200" s="8" t="str">
        <f>IFERROR(__xludf.DUMMYFUNCTION("""COMPUTED_VALUE"""),"While you wear Winter Camouflage in an appropriate environment, you have Advantage on Dexterity (Stealth) checks.")</f>
        <v>While you wear Winter Camouflage in an appropriate environment, you have Advantage on Dexterity (Stealth) checks.</v>
      </c>
      <c r="J200" s="8" t="str">
        <f>IFERROR(__xludf.DUMMYFUNCTION("""COMPUTED_VALUE"""),"Free to Guild Adventurers in Good Standing")</f>
        <v>Free to Guild Adventurers in Good Standing</v>
      </c>
    </row>
    <row r="201">
      <c r="A201" s="10" t="str">
        <f>IFERROR(__xludf.DUMMYFUNCTION("""COMPUTED_VALUE"""),"Healer's Kit")</f>
        <v>Healer's Kit</v>
      </c>
      <c r="B201" s="10" t="str">
        <f>IFERROR(__xludf.DUMMYFUNCTION("""COMPUTED_VALUE"""),"PHB'24")</f>
        <v>PHB'24</v>
      </c>
      <c r="C201" s="10" t="str">
        <f>IFERROR(__xludf.DUMMYFUNCTION("""COMPUTED_VALUE"""),"none")</f>
        <v>none</v>
      </c>
      <c r="D201" s="10" t="str">
        <f>IFERROR(__xludf.DUMMYFUNCTION("""COMPUTED_VALUE"""),"Adventuring Gear")</f>
        <v>Adventuring Gear</v>
      </c>
      <c r="E201" s="10"/>
      <c r="F201" s="10"/>
      <c r="G201" s="10"/>
      <c r="H201" s="10"/>
      <c r="I201" s="10" t="str">
        <f>IFERROR(__xludf.DUMMYFUNCTION("""COMPUTED_VALUE"""),"A Healer's Kit has ten uses. As a Utilize action, you can expend one of its uses to stabilize an Unconscious creature that has 0 Hit Points without needing to make a Wisdom (Medicine) check.")</f>
        <v>A Healer's Kit has ten uses. As a Utilize action, you can expend one of its uses to stabilize an Unconscious creature that has 0 Hit Points without needing to make a Wisdom (Medicine) check.</v>
      </c>
      <c r="J201" s="10" t="str">
        <f>IFERROR(__xludf.DUMMYFUNCTION("""COMPUTED_VALUE"""),"Free to Guild Adventurers with Item Proficiency")</f>
        <v>Free to Guild Adventurers with Item Proficiency</v>
      </c>
    </row>
    <row r="202">
      <c r="A202" s="8" t="str">
        <f>IFERROR(__xludf.DUMMYFUNCTION("""COMPUTED_VALUE"""),"Oil")</f>
        <v>Oil</v>
      </c>
      <c r="B202" s="8" t="str">
        <f>IFERROR(__xludf.DUMMYFUNCTION("""COMPUTED_VALUE"""),"PHB'24")</f>
        <v>PHB'24</v>
      </c>
      <c r="C202" s="8" t="str">
        <f>IFERROR(__xludf.DUMMYFUNCTION("""COMPUTED_VALUE"""),"none")</f>
        <v>none</v>
      </c>
      <c r="D202" s="8" t="str">
        <f>IFERROR(__xludf.DUMMYFUNCTION("""COMPUTED_VALUE"""),"Adventuring Gear")</f>
        <v>Adventuring Gear</v>
      </c>
      <c r="E202" s="8"/>
      <c r="F202" s="8"/>
      <c r="G202" s="8"/>
      <c r="H202" s="8"/>
      <c r="I202" s="8" t="str">
        <f>IFERROR(__xludf.DUMMYFUNCTION("""COMPUTED_VALUE"""),"You can douse a creature, object, or space with Oil or use it as fuel, as detailed below. Dousing a Creature or an Object. When you take the Attack action, you can replace one of your attacks with throwing an Oil flask. Target one creature or object withi"&amp;"n 20 feet of yourself. The target must succeed on a Dexterity saving throw (DC 8 plus your Dexterity modifier and Proficiency Bonus) or be covered in oil. If the target takes Fire damage before the oil dries (after 1 minute), the target takes an extra 5 F"&amp;"ire damage from burning oil. Dousing a Space. You can take the Utilize action to pour an Oil flask on level ground to cover a 5-foot-square area within 5 feet of yourself. If lit, the oil burns until the end of the turn 2 rounds from when the oil was lit "&amp;"(or 12 seconds) and deals 5 Fire damage to any creature that enters the area or ends its turn there. A creature can take this damage only once per turn. Fuel. Oil serves as fuel for Lamps and Lanterns. Once lit, a flask of Oil burns for 6 hours in a Lamp "&amp;"or Lantern. That duration doesn't need to be consecutive; you can extinguish the burning Oil (as a Utilize action) and rekindle it again until it has burned for a total of 6 hours.")</f>
        <v>You can douse a creature, object, or space with Oil or use it as fuel, as detailed below. Dousing a Creature or an Object. When you take the Attack action, you can replace one of your attacks with throwing an Oil flask. Target one creature or object within 20 feet of yourself. The target must succeed on a Dexterity saving throw (DC 8 plus your Dexterity modifier and Proficiency Bonus) or be covered in oil. If the target takes Fire damage before the oil dries (after 1 minute), the target takes an extra 5 Fire damage from burning oil. Dousing a Space. You can take the Utilize action to pour an Oil flask on level ground to cover a 5-foot-square area within 5 feet of yourself. If lit, the oil burns until the end of the turn 2 rounds from when the oil was lit (or 12 seconds) and deals 5 Fire damage to any creature that enters the area or ends its turn there. A creature can take this damage only once per turn. Fuel. Oil serves as fuel for Lamps and Lanterns. Once lit, a flask of Oil burns for 6 hours in a Lamp or Lantern. That duration doesn't need to be consecutive; you can extinguish the burning Oil (as a Utilize action) and rekindle it again until it has burned for a total of 6 hours.</v>
      </c>
      <c r="J202" s="8" t="str">
        <f>IFERROR(__xludf.DUMMYFUNCTION("""COMPUTED_VALUE"""),"Free to Guild Adventurers with Item Proficiency")</f>
        <v>Free to Guild Adventurers with Item Proficiency</v>
      </c>
    </row>
    <row r="203">
      <c r="A203" s="12"/>
      <c r="B203" s="12"/>
      <c r="C203" s="12"/>
      <c r="D203" s="12"/>
      <c r="E203" s="12"/>
      <c r="F203" s="12"/>
      <c r="G203" s="12"/>
      <c r="H203" s="12"/>
      <c r="I203" s="12"/>
      <c r="J203" s="12"/>
    </row>
  </sheetData>
  <mergeCells count="20">
    <mergeCell ref="A2:I2"/>
    <mergeCell ref="A3:I3"/>
    <mergeCell ref="A4:D4"/>
    <mergeCell ref="E4:H4"/>
    <mergeCell ref="A5:D5"/>
    <mergeCell ref="E5:H5"/>
    <mergeCell ref="A6:D6"/>
    <mergeCell ref="A61:I61"/>
    <mergeCell ref="A68:I68"/>
    <mergeCell ref="A74:I74"/>
    <mergeCell ref="A77:I77"/>
    <mergeCell ref="A82:I82"/>
    <mergeCell ref="A113:J113"/>
    <mergeCell ref="E6:H6"/>
    <mergeCell ref="A7:H7"/>
    <mergeCell ref="A8:I8"/>
    <mergeCell ref="A21:I21"/>
    <mergeCell ref="A44:I44"/>
    <mergeCell ref="A50:I50"/>
    <mergeCell ref="A56:I56"/>
  </mergeCells>
  <hyperlinks>
    <hyperlink display="Melee Simple Weapons" location="Base_Melee_Simple_Weapons" ref="A4"/>
    <hyperlink display="Melee Martial Weapons" location="Base_Melee_Martial_Weapons" ref="E4"/>
    <hyperlink display="Light Armor" location="Base_Light_Armor" ref="I4"/>
    <hyperlink display="Ranged Simple Weapons" location="Base_Ranged_Simple_Weapons" ref="A5"/>
    <hyperlink display="Ranged Martial Weapons" location="Base_Ranged_Martial_Weapons" ref="E5"/>
    <hyperlink display="Medium Armor" location="Base_Medium_Armor" ref="I5"/>
    <hyperlink display="Spellcasting Focuses" location="Base_Spellcasting_Focus" ref="A6"/>
    <hyperlink display="Tools and Instruments" location="Base_Tools_and_Instruments" ref="E6"/>
    <hyperlink display="Heavy Armor" location="Base_Heavy_Armor" ref="I6"/>
    <hyperlink display="Adventuring Gear" location="Base_Adventuring_Gear" ref="A7"/>
    <hyperlink display="Shields" location="Base_Shields" ref="I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5" max="5" width="14.13"/>
    <col customWidth="1" min="9" max="11" width="36.88"/>
    <col customWidth="1" min="12" max="12" width="17.38"/>
  </cols>
  <sheetData>
    <row r="1" ht="42.0" customHeight="1">
      <c r="A1" s="1" t="s">
        <v>0</v>
      </c>
      <c r="B1" s="1" t="s">
        <v>1</v>
      </c>
      <c r="C1" s="1" t="s">
        <v>2</v>
      </c>
      <c r="D1" s="1" t="s">
        <v>3</v>
      </c>
      <c r="E1" s="1" t="s">
        <v>4</v>
      </c>
      <c r="F1" s="1" t="s">
        <v>5</v>
      </c>
      <c r="G1" s="1" t="s">
        <v>6</v>
      </c>
      <c r="H1" s="1" t="s">
        <v>7</v>
      </c>
      <c r="I1" s="1" t="s">
        <v>8</v>
      </c>
      <c r="L1" s="1" t="s">
        <v>9</v>
      </c>
    </row>
    <row r="2">
      <c r="A2" s="5" t="s">
        <v>25</v>
      </c>
    </row>
    <row r="3">
      <c r="A3" s="15" t="s">
        <v>26</v>
      </c>
    </row>
    <row r="4">
      <c r="A4" s="16" t="s">
        <v>27</v>
      </c>
    </row>
    <row r="5">
      <c r="A5" s="17" t="s">
        <v>28</v>
      </c>
      <c r="E5" s="17" t="s">
        <v>29</v>
      </c>
      <c r="I5" s="17" t="s">
        <v>30</v>
      </c>
      <c r="L5" s="15"/>
    </row>
    <row r="6">
      <c r="A6" s="6" t="s">
        <v>31</v>
      </c>
      <c r="L6" s="6"/>
    </row>
    <row r="7">
      <c r="A7" s="8" t="str">
        <f>IFERROR(__xludf.DUMMYFUNCTION("FILTER(MasterList_Hidden!A:K,Search(A6,MasterList_Hidden!M:M),MasterList_Hidden!J:J&lt;&gt;""Free to Guild Adventurers with Item Proficiency"",MasterList_Hidden!J:J&lt;&gt;""Free to Guild Adventurers in Good Standing"",MasterList_Hidden!J:J&lt;&gt;""Artificer Replicate Mag"&amp;"ic Item Only"")"),"Armor of Gleaming")</f>
        <v>Armor of Gleaming</v>
      </c>
      <c r="B7" s="8" t="str">
        <f>IFERROR(__xludf.DUMMYFUNCTION("""COMPUTED_VALUE"""),"DMG'24")</f>
        <v>DMG'24</v>
      </c>
      <c r="C7" s="8" t="str">
        <f>IFERROR(__xludf.DUMMYFUNCTION("""COMPUTED_VALUE"""),"common")</f>
        <v>common</v>
      </c>
      <c r="D7" s="8" t="str">
        <f>IFERROR(__xludf.DUMMYFUNCTION("""COMPUTED_VALUE"""),"Generic Variant")</f>
        <v>Generic Variant</v>
      </c>
      <c r="E7" s="8"/>
      <c r="F7" s="8"/>
      <c r="G7" s="8"/>
      <c r="H7" s="8"/>
      <c r="I7" s="8" t="str">
        <f>IFERROR(__xludf.DUMMYFUNCTION("""COMPUTED_VALUE"""),"This armor never gets dirty. 
Applied to non-magical Base Equipment.")</f>
        <v>This armor never gets dirty. 
Applied to non-magical Base Equipment.</v>
      </c>
      <c r="L7" s="8">
        <f>IFERROR(__xludf.DUMMYFUNCTION("FILTER(MasterList_Hidden!J:J,Search(A6,MasterList_Hidden!K:K),MasterList_Hidden!J:J&lt;&gt;""Free to Guild Adventurers with Item Proficiency"",MasterList_Hidden!J:J&lt;&gt;""Free to Guild Adventurers in Good Standing"",MasterList_Hidden!J:J&lt;&gt;""Artificer Replicate Mag"&amp;"ic Item Only"")"),50.0)</f>
        <v>50</v>
      </c>
    </row>
    <row r="8">
      <c r="A8" s="10" t="str">
        <f>IFERROR(__xludf.DUMMYFUNCTION("""COMPUTED_VALUE"""),"Cast-Off Armor")</f>
        <v>Cast-Off Armor</v>
      </c>
      <c r="B8" s="10" t="str">
        <f>IFERROR(__xludf.DUMMYFUNCTION("""COMPUTED_VALUE"""),"DMG'24")</f>
        <v>DMG'24</v>
      </c>
      <c r="C8" s="10" t="str">
        <f>IFERROR(__xludf.DUMMYFUNCTION("""COMPUTED_VALUE"""),"common")</f>
        <v>common</v>
      </c>
      <c r="D8" s="10" t="str">
        <f>IFERROR(__xludf.DUMMYFUNCTION("""COMPUTED_VALUE"""),"Generic Variant")</f>
        <v>Generic Variant</v>
      </c>
      <c r="E8" s="10"/>
      <c r="F8" s="10"/>
      <c r="G8" s="10"/>
      <c r="H8" s="10"/>
      <c r="I8" s="10" t="str">
        <f>IFERROR(__xludf.DUMMYFUNCTION("""COMPUTED_VALUE"""),"You can doff this armor as a Magic action. 
Applied to non-magical Base Equipment.")</f>
        <v>You can doff this armor as a Magic action. 
Applied to non-magical Base Equipment.</v>
      </c>
      <c r="L8" s="18">
        <f>IFERROR(__xludf.DUMMYFUNCTION("""COMPUTED_VALUE"""),50.0)</f>
        <v>50</v>
      </c>
    </row>
    <row r="9">
      <c r="A9" s="8" t="str">
        <f>IFERROR(__xludf.DUMMYFUNCTION("""COMPUTED_VALUE"""),"Moon-Touched Sword")</f>
        <v>Moon-Touched Sword</v>
      </c>
      <c r="B9" s="8" t="str">
        <f>IFERROR(__xludf.DUMMYFUNCTION("""COMPUTED_VALUE"""),"DMG'24")</f>
        <v>DMG'24</v>
      </c>
      <c r="C9" s="8" t="str">
        <f>IFERROR(__xludf.DUMMYFUNCTION("""COMPUTED_VALUE"""),"common")</f>
        <v>common</v>
      </c>
      <c r="D9" s="8" t="str">
        <f>IFERROR(__xludf.DUMMYFUNCTION("""COMPUTED_VALUE"""),"Generic Variant")</f>
        <v>Generic Variant</v>
      </c>
      <c r="E9" s="8"/>
      <c r="F9" s="8"/>
      <c r="G9" s="8"/>
      <c r="H9" s="8"/>
      <c r="I9" s="8" t="str">
        <f>IFERROR(__xludf.DUMMYFUNCTION("""COMPUTED_VALUE"""),"In Darkness, the unsheathed blade of this weapon sheds moonlight, creating Bright Light in a 15-foot radius and Dim Light for an additional 15 feet. 
Applied to non-magical Base Equipment.")</f>
        <v>In Darkness, the unsheathed blade of this weapon sheds moonlight, creating Bright Light in a 15-foot radius and Dim Light for an additional 15 feet. 
Applied to non-magical Base Equipment.</v>
      </c>
      <c r="L9" s="19">
        <f>IFERROR(__xludf.DUMMYFUNCTION("""COMPUTED_VALUE"""),50.0)</f>
        <v>50</v>
      </c>
    </row>
    <row r="10">
      <c r="A10" s="10" t="str">
        <f>IFERROR(__xludf.DUMMYFUNCTION("""COMPUTED_VALUE"""),"Shield of Expression")</f>
        <v>Shield of Expression</v>
      </c>
      <c r="B10" s="10" t="str">
        <f>IFERROR(__xludf.DUMMYFUNCTION("""COMPUTED_VALUE"""),"DMG'24")</f>
        <v>DMG'24</v>
      </c>
      <c r="C10" s="10" t="str">
        <f>IFERROR(__xludf.DUMMYFUNCTION("""COMPUTED_VALUE"""),"common")</f>
        <v>common</v>
      </c>
      <c r="D10" s="10" t="str">
        <f>IFERROR(__xludf.DUMMYFUNCTION("""COMPUTED_VALUE"""),"Shield")</f>
        <v>Shield</v>
      </c>
      <c r="E10" s="10"/>
      <c r="F10" s="10" t="str">
        <f>IFERROR(__xludf.DUMMYFUNCTION("""COMPUTED_VALUE"""),"AC +2")</f>
        <v>AC +2</v>
      </c>
      <c r="G10" s="10"/>
      <c r="H10" s="10"/>
      <c r="I10" s="10" t="str">
        <f>IFERROR(__xludf.DUMMYFUNCTION("""COMPUTED_VALUE"""),"The front of this Shield is shaped in the likeness of a face. While bearing the Shield, you can take a Bonus Action to alter the face's expression.")</f>
        <v>The front of this Shield is shaped in the likeness of a face. While bearing the Shield, you can take a Bonus Action to alter the face's expression.</v>
      </c>
      <c r="L10" s="18">
        <f>IFERROR(__xludf.DUMMYFUNCTION("""COMPUTED_VALUE"""),50.0)</f>
        <v>50</v>
      </c>
    </row>
    <row r="11">
      <c r="A11" s="8" t="str">
        <f>IFERROR(__xludf.DUMMYFUNCTION("""COMPUTED_VALUE"""),"Shield of Shouting")</f>
        <v>Shield of Shouting</v>
      </c>
      <c r="B11" s="8" t="str">
        <f>IFERROR(__xludf.DUMMYFUNCTION("""COMPUTED_VALUE"""),"ToA")</f>
        <v>ToA</v>
      </c>
      <c r="C11" s="8" t="str">
        <f>IFERROR(__xludf.DUMMYFUNCTION("""COMPUTED_VALUE"""),"common")</f>
        <v>common</v>
      </c>
      <c r="D11" s="8" t="str">
        <f>IFERROR(__xludf.DUMMYFUNCTION("""COMPUTED_VALUE"""),"Shield")</f>
        <v>Shield</v>
      </c>
      <c r="E11" s="8"/>
      <c r="F11" s="8" t="str">
        <f>IFERROR(__xludf.DUMMYFUNCTION("""COMPUTED_VALUE"""),"AC +2")</f>
        <v>AC +2</v>
      </c>
      <c r="G11" s="8"/>
      <c r="H11" s="8"/>
      <c r="I11" s="8" t="str">
        <f>IFERROR(__xludf.DUMMYFUNCTION("""COMPUTED_VALUE"""),"A detect magic spell reveals an aura of transmutation magic around this shield, which has a minor magical property: words spoken by the shield's bearer are amplified and sound ten times louder than normal.")</f>
        <v>A detect magic spell reveals an aura of transmutation magic around this shield, which has a minor magical property: words spoken by the shield's bearer are amplified and sound ten times louder than normal.</v>
      </c>
      <c r="L11" s="19">
        <f>IFERROR(__xludf.DUMMYFUNCTION("""COMPUTED_VALUE"""),50.0)</f>
        <v>50</v>
      </c>
    </row>
    <row r="12">
      <c r="A12" s="10" t="str">
        <f>IFERROR(__xludf.DUMMYFUNCTION("""COMPUTED_VALUE"""),"Smoldering Armor")</f>
        <v>Smoldering Armor</v>
      </c>
      <c r="B12" s="10" t="str">
        <f>IFERROR(__xludf.DUMMYFUNCTION("""COMPUTED_VALUE"""),"DMG'24")</f>
        <v>DMG'24</v>
      </c>
      <c r="C12" s="10" t="str">
        <f>IFERROR(__xludf.DUMMYFUNCTION("""COMPUTED_VALUE"""),"common")</f>
        <v>common</v>
      </c>
      <c r="D12" s="10" t="str">
        <f>IFERROR(__xludf.DUMMYFUNCTION("""COMPUTED_VALUE"""),"Generic Variant")</f>
        <v>Generic Variant</v>
      </c>
      <c r="E12" s="10"/>
      <c r="F12" s="10"/>
      <c r="G12" s="10"/>
      <c r="H12" s="10"/>
      <c r="I12" s="10" t="str">
        <f>IFERROR(__xludf.DUMMYFUNCTION("""COMPUTED_VALUE"""),"Wisps of harmless, odorless smoke rise from this armor while it is worn. 
Applied to non-magical Base Equipment.")</f>
        <v>Wisps of harmless, odorless smoke rise from this armor while it is worn. 
Applied to non-magical Base Equipment.</v>
      </c>
      <c r="L12" s="18">
        <f>IFERROR(__xludf.DUMMYFUNCTION("""COMPUTED_VALUE"""),50.0)</f>
        <v>50</v>
      </c>
    </row>
    <row r="13">
      <c r="A13" s="8" t="str">
        <f>IFERROR(__xludf.DUMMYFUNCTION("""COMPUTED_VALUE"""),"Staff of Flowers")</f>
        <v>Staff of Flowers</v>
      </c>
      <c r="B13" s="8" t="str">
        <f>IFERROR(__xludf.DUMMYFUNCTION("""COMPUTED_VALUE"""),"DMG'24")</f>
        <v>DMG'24</v>
      </c>
      <c r="C13" s="8" t="str">
        <f>IFERROR(__xludf.DUMMYFUNCTION("""COMPUTED_VALUE"""),"common")</f>
        <v>common</v>
      </c>
      <c r="D13" s="8" t="str">
        <f>IFERROR(__xludf.DUMMYFUNCTION("""COMPUTED_VALUE"""),"Simple Weapon, Melee Weapon")</f>
        <v>Simple Weapon, Melee Weapon</v>
      </c>
      <c r="E13" s="8"/>
      <c r="F13" s="8" t="str">
        <f>IFERROR(__xludf.DUMMYFUNCTION("""COMPUTED_VALUE"""),"1d6 Bludgeoning")</f>
        <v>1d6 Bludgeoning</v>
      </c>
      <c r="G13" s="8" t="str">
        <f>IFERROR(__xludf.DUMMYFUNCTION("""COMPUTED_VALUE"""),"Versatile (1d8)")</f>
        <v>Versatile (1d8)</v>
      </c>
      <c r="H13" s="8" t="str">
        <f>IFERROR(__xludf.DUMMYFUNCTION("""COMPUTED_VALUE"""),"Mastery: Topple")</f>
        <v>Mastery: Topple</v>
      </c>
      <c r="I13" s="8" t="str">
        <f>IFERROR(__xludf.DUMMYFUNCTION("""COMPUTED_VALUE"""),"This wooden staff has 10 charges. While holding it, you can take a Magic action to expend 1 charge from the staff and cause a flower to sprout from a patch of earth or soil within 5 feet of yourself, or from the staff itself. Unless you choose a specific "&amp;"kind of flower, the staff creates a mild-scented daisy. The flower is harmless and nonmagical, and it grows or withers as a normal flower would. Regaining Charges. The staff regains 1d6 + 4 expended charges daily at dawn. If you expend the last charge, ro"&amp;"ll 1d20. On a 1, the staff turns into flower petals and is lost forever. Versatile. A Versatile weapon can be used with one or two hands. A damage value in parentheses appears with the property. The weapon deals that damage when used with two hands to mak"&amp;"e a melee attack. Mastery: Topple. If you hit a creature with this weapon, you can force the creature to make a Constitution saving throw (DC 8 plus the ability modifier used to make the attack roll and your Proficiency Bonus). On a failed save, the creat"&amp;"ure has the Prone condition.")</f>
        <v>This wooden staff has 10 charges. While holding it, you can take a Magic action to expend 1 charge from the staff and cause a flower to sprout from a patch of earth or soil within 5 feet of yourself, or from the staff itself. Unless you choose a specific kind of flower, the staff creates a mild-scented daisy. The flower is harmless and nonmagical, and it grows or withers as a normal flower would. Regaining Charges. The staff regains 1d6 + 4 expended charges daily at dawn. If you expend the last charge, roll 1d20. On a 1, the staff turns into flower petals and is lost forever.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13" s="19">
        <f>IFERROR(__xludf.DUMMYFUNCTION("""COMPUTED_VALUE"""),50.0)</f>
        <v>50</v>
      </c>
    </row>
    <row r="14">
      <c r="A14" s="11" t="str">
        <f>IFERROR(__xludf.DUMMYFUNCTION("""COMPUTED_VALUE"""),"Wand of Conducting")</f>
        <v>Wand of Conducting</v>
      </c>
      <c r="B14" s="11" t="str">
        <f>IFERROR(__xludf.DUMMYFUNCTION("""COMPUTED_VALUE"""),"DMG'24")</f>
        <v>DMG'24</v>
      </c>
      <c r="C14" s="11" t="str">
        <f>IFERROR(__xludf.DUMMYFUNCTION("""COMPUTED_VALUE"""),"common")</f>
        <v>common</v>
      </c>
      <c r="D14" s="11" t="str">
        <f>IFERROR(__xludf.DUMMYFUNCTION("""COMPUTED_VALUE"""),"Wand")</f>
        <v>Wand</v>
      </c>
      <c r="E14" s="11"/>
      <c r="F14" s="11"/>
      <c r="G14" s="11"/>
      <c r="H14" s="11"/>
      <c r="I14" s="11" t="str">
        <f>IFERROR(__xludf.DUMMYFUNCTION("""COMPUTED_VALUE"""),"This wand has 3 charges. While holding it, you can take a Magic action to expend 1 charge and create orchestral music by waving it around. The music can be heard out to 120 feet and ends when you stop waving the wand. Regaining Charges. The wand regains a"&amp;"ll expended charges daily at dawn. If you expend the wand's last charge, roll 1d20. On a 1, a sad tuba sound plays as the wand crumbles into dust and is destroyed.")</f>
        <v>This wand has 3 charges. While holding it, you can take a Magic action to expend 1 charge and create orchestral music by waving it around. The music can be heard out to 120 feet and ends when you stop waving the wand. Regaining Charges. The wand regains all expended charges daily at dawn. If you expend the wand's last charge, roll 1d20. On a 1, a sad tuba sound plays as the wand crumbles into dust and is destroyed.</v>
      </c>
      <c r="L14" s="20">
        <f>IFERROR(__xludf.DUMMYFUNCTION("""COMPUTED_VALUE"""),50.0)</f>
        <v>50</v>
      </c>
    </row>
    <row r="15">
      <c r="A15" s="8" t="str">
        <f>IFERROR(__xludf.DUMMYFUNCTION("""COMPUTED_VALUE"""),"Wand of Pyrotechnics")</f>
        <v>Wand of Pyrotechnics</v>
      </c>
      <c r="B15" s="8" t="str">
        <f>IFERROR(__xludf.DUMMYFUNCTION("""COMPUTED_VALUE"""),"DMG'24")</f>
        <v>DMG'24</v>
      </c>
      <c r="C15" s="8" t="str">
        <f>IFERROR(__xludf.DUMMYFUNCTION("""COMPUTED_VALUE"""),"common")</f>
        <v>common</v>
      </c>
      <c r="D15" s="8" t="str">
        <f>IFERROR(__xludf.DUMMYFUNCTION("""COMPUTED_VALUE"""),"Wand")</f>
        <v>Wand</v>
      </c>
      <c r="E15" s="8"/>
      <c r="F15" s="8"/>
      <c r="G15" s="8"/>
      <c r="H15" s="8"/>
      <c r="I15" s="8" t="str">
        <f>IFERROR(__xludf.DUMMYFUNCTION("""COMPUTED_VALUE"""),"This wand has 7 charges. While holding it, you can take a Magic action to expend 1 charge and create a harmless burst of multicolored light at a point you can see up to 120 feet away. The burst of light is accompanied by a crackling noise that can be hear"&amp;"d up to 300 feet away. The light is as bright as a torch flame but lasts only a second. Regaining Charges. The wand regains 1d6 + 1 expended charges daily at dawn. If you expend the wand's last charge, roll 1d20. On a 1, the wand erupts in a harmless pyro"&amp;"technic display and is destroyed.")</f>
        <v>This wand has 7 charges. While holding it, you can take a Magic action to expend 1 charge and create a harmless burst of multicolored light at a point you can see up to 120 feet away. The burst of light is accompanied by a crackling noise that can be heard up to 300 feet away. The light is as bright as a torch flame but lasts only a second. Regaining Charges. The wand regains 1d6 + 1 expended charges daily at dawn. If you expend the wand's last charge, roll 1d20. On a 1, the wand erupts in a harmless pyrotechnic display and is destroyed.</v>
      </c>
      <c r="L15" s="19">
        <f>IFERROR(__xludf.DUMMYFUNCTION("""COMPUTED_VALUE"""),50.0)</f>
        <v>50</v>
      </c>
    </row>
    <row r="16">
      <c r="A16" s="10" t="str">
        <f>IFERROR(__xludf.DUMMYFUNCTION("""COMPUTED_VALUE"""),"Wand of Scowls")</f>
        <v>Wand of Scowls</v>
      </c>
      <c r="B16" s="10" t="str">
        <f>IFERROR(__xludf.DUMMYFUNCTION("""COMPUTED_VALUE"""),"XGE")</f>
        <v>XGE</v>
      </c>
      <c r="C16" s="10" t="str">
        <f>IFERROR(__xludf.DUMMYFUNCTION("""COMPUTED_VALUE"""),"common")</f>
        <v>common</v>
      </c>
      <c r="D16" s="10" t="str">
        <f>IFERROR(__xludf.DUMMYFUNCTION("""COMPUTED_VALUE"""),"Wand")</f>
        <v>Wand</v>
      </c>
      <c r="E16" s="10"/>
      <c r="F16" s="10"/>
      <c r="G16" s="10"/>
      <c r="H16" s="10"/>
      <c r="I16" s="10" t="str">
        <f>IFERROR(__xludf.DUMMYFUNCTION("""COMPUTED_VALUE"""),"This wand has 3 charges. While holding it, you can use an action to expend 1 of its charges and target a humanoid you can see within 30 feet of you. The target must succeed on a DC 10 Charisma saving throw or be forced to scowl for 1 minute.The wand regai"&amp;"ns all expended charges daily at dawn. If you expend the wand's last charge, roll a d20. On a 1, the wand transforms into a wand of smiles.")</f>
        <v>This wand has 3 charges. While holding it, you can use an action to expend 1 of its charges and target a humanoid you can see within 30 feet of you. The target must succeed on a DC 10 Charisma saving throw or be forced to scowl for 1 minute.The wand regains all expended charges daily at dawn. If you expend the wand's last charge, roll a d20. On a 1, the wand transforms into a wand of smiles.</v>
      </c>
      <c r="L16" s="18">
        <f>IFERROR(__xludf.DUMMYFUNCTION("""COMPUTED_VALUE"""),50.0)</f>
        <v>50</v>
      </c>
    </row>
    <row r="17">
      <c r="A17" s="8" t="str">
        <f>IFERROR(__xludf.DUMMYFUNCTION("""COMPUTED_VALUE"""),"Wand of Smiles")</f>
        <v>Wand of Smiles</v>
      </c>
      <c r="B17" s="8" t="str">
        <f>IFERROR(__xludf.DUMMYFUNCTION("""COMPUTED_VALUE"""),"XGE")</f>
        <v>XGE</v>
      </c>
      <c r="C17" s="8" t="str">
        <f>IFERROR(__xludf.DUMMYFUNCTION("""COMPUTED_VALUE"""),"common")</f>
        <v>common</v>
      </c>
      <c r="D17" s="8" t="str">
        <f>IFERROR(__xludf.DUMMYFUNCTION("""COMPUTED_VALUE"""),"Wand")</f>
        <v>Wand</v>
      </c>
      <c r="E17" s="8"/>
      <c r="F17" s="8"/>
      <c r="G17" s="8"/>
      <c r="H17" s="8"/>
      <c r="I17" s="8" t="str">
        <f>IFERROR(__xludf.DUMMYFUNCTION("""COMPUTED_VALUE"""),"This wand has 3 charges. While holding it, you can use an action to expend 1 of its charges and target a humanoid you can see within 30 feet of you. The target must succeed on a DC 10 Charisma saving throw or be forced to smile for 1 minute.The wand regai"&amp;"ns all expended charges daily at dawn. If you expend the wand's last charge, roll a d20. On a 1, the wand transforms into a wand of scowls.")</f>
        <v>This wand has 3 charges. While holding it, you can use an action to expend 1 of its charges and target a humanoid you can see within 30 feet of you. The target must succeed on a DC 10 Charisma saving throw or be forced to smile for 1 minute.The wand regains all expended charges daily at dawn. If you expend the wand's last charge, roll a d20. On a 1, the wand transforms into a wand of scowls.</v>
      </c>
      <c r="L17" s="19">
        <f>IFERROR(__xludf.DUMMYFUNCTION("""COMPUTED_VALUE"""),50.0)</f>
        <v>50</v>
      </c>
    </row>
    <row r="18">
      <c r="A18" s="12"/>
      <c r="B18" s="12"/>
      <c r="C18" s="12"/>
      <c r="D18" s="12"/>
      <c r="E18" s="12"/>
      <c r="F18" s="12"/>
      <c r="G18" s="12"/>
      <c r="H18" s="12"/>
      <c r="I18" s="12"/>
      <c r="L18" s="21"/>
    </row>
    <row r="19">
      <c r="A19" s="6" t="s">
        <v>32</v>
      </c>
      <c r="L19" s="22"/>
    </row>
    <row r="20">
      <c r="A20" s="8" t="str">
        <f>IFERROR(__xludf.DUMMYFUNCTION("FILTER(MasterList_Hidden!A:K,Search(A19,MasterList_Hidden!M:M),MasterList_Hidden!J:J&lt;&gt;""Free to Guild Adventurers with Item Proficiency"",MasterList_Hidden!J:J&lt;&gt;""Free to Guild Adventurers in Good Standing"",MasterList_Hidden!J:J&lt;&gt;""Artificer Replicate Ma"&amp;"gic Item Only"")"),"+1 Spell attack Roll")</f>
        <v>+1 Spell attack Roll</v>
      </c>
      <c r="B20" s="8" t="str">
        <f>IFERROR(__xludf.DUMMYFUNCTION("""COMPUTED_VALUE"""),"Custom rule")</f>
        <v>Custom rule</v>
      </c>
      <c r="C20" s="8" t="str">
        <f>IFERROR(__xludf.DUMMYFUNCTION("""COMPUTED_VALUE"""),"Uncommon")</f>
        <v>Uncommon</v>
      </c>
      <c r="D20" s="8" t="str">
        <f>IFERROR(__xludf.DUMMYFUNCTION("""COMPUTED_VALUE"""),"Generic Variant")</f>
        <v>Generic Variant</v>
      </c>
      <c r="E20" s="8"/>
      <c r="F20" s="8"/>
      <c r="G20" s="8"/>
      <c r="H20" s="8"/>
      <c r="I20" s="8" t="str">
        <f>IFERROR(__xludf.DUMMYFUNCTION("""COMPUTED_VALUE"""),"You have a +1 bonus to spell attack rolls when using this focus. Available to level 5+.")</f>
        <v>You have a +1 bonus to spell attack rolls when using this focus. Available to level 5+.</v>
      </c>
      <c r="L20" s="8">
        <f>IFERROR(__xludf.DUMMYFUNCTION("FILTER(MasterList_Hidden!J:J,Search(A19,MasterList_Hidden!K:K),MasterList_Hidden!J:J&lt;&gt;""Free to Guild Adventurers with Item Proficiency"",MasterList_Hidden!J:J&lt;&gt;""Free to Guild Adventurers in Good Standing"",MasterList_Hidden!J:J&lt;&gt;""Artificer Replicate Ma"&amp;"gic Item Only"")"),300.0)</f>
        <v>300</v>
      </c>
    </row>
    <row r="21">
      <c r="A21" s="10" t="str">
        <f>IFERROR(__xludf.DUMMYFUNCTION("""COMPUTED_VALUE"""),"+1 Weapon")</f>
        <v>+1 Weapon</v>
      </c>
      <c r="B21" s="10" t="str">
        <f>IFERROR(__xludf.DUMMYFUNCTION("""COMPUTED_VALUE"""),"DMG'24")</f>
        <v>DMG'24</v>
      </c>
      <c r="C21" s="10" t="str">
        <f>IFERROR(__xludf.DUMMYFUNCTION("""COMPUTED_VALUE"""),"uncommon")</f>
        <v>uncommon</v>
      </c>
      <c r="D21" s="10" t="str">
        <f>IFERROR(__xludf.DUMMYFUNCTION("""COMPUTED_VALUE"""),"Generic Variant")</f>
        <v>Generic Variant</v>
      </c>
      <c r="E21" s="10"/>
      <c r="F21" s="10"/>
      <c r="G21" s="10"/>
      <c r="H21" s="10"/>
      <c r="I21" s="10" t="str">
        <f>IFERROR(__xludf.DUMMYFUNCTION("""COMPUTED_VALUE"""),"You have a +1 bonus to attack and damage rolls made with this magic weapon.
Available to level 5+.")</f>
        <v>You have a +1 bonus to attack and damage rolls made with this magic weapon.
Available to level 5+.</v>
      </c>
      <c r="L21" s="18">
        <f>IFERROR(__xludf.DUMMYFUNCTION("""COMPUTED_VALUE"""),300.0)</f>
        <v>300</v>
      </c>
    </row>
    <row r="22">
      <c r="A22" s="8" t="str">
        <f>IFERROR(__xludf.DUMMYFUNCTION("""COMPUTED_VALUE"""),"+1 Spell Save DC")</f>
        <v>+1 Spell Save DC</v>
      </c>
      <c r="B22" s="8" t="str">
        <f>IFERROR(__xludf.DUMMYFUNCTION("""COMPUTED_VALUE"""),"Custom rule")</f>
        <v>Custom rule</v>
      </c>
      <c r="C22" s="8" t="str">
        <f>IFERROR(__xludf.DUMMYFUNCTION("""COMPUTED_VALUE"""),"Rare")</f>
        <v>Rare</v>
      </c>
      <c r="D22" s="8" t="str">
        <f>IFERROR(__xludf.DUMMYFUNCTION("""COMPUTED_VALUE"""),"Generic Variant")</f>
        <v>Generic Variant</v>
      </c>
      <c r="E22" s="8"/>
      <c r="F22" s="8"/>
      <c r="G22" s="8"/>
      <c r="H22" s="8"/>
      <c r="I22" s="8" t="str">
        <f>IFERROR(__xludf.DUMMYFUNCTION("""COMPUTED_VALUE"""),"You have a +1 bonus to your spell save DC when you use this focus. Available to level 5+.")</f>
        <v>You have a +1 bonus to your spell save DC when you use this focus. Available to level 5+.</v>
      </c>
      <c r="L22" s="19">
        <f>IFERROR(__xludf.DUMMYFUNCTION("""COMPUTED_VALUE"""),1200.0)</f>
        <v>1200</v>
      </c>
    </row>
    <row r="23">
      <c r="A23" s="10" t="str">
        <f>IFERROR(__xludf.DUMMYFUNCTION("""COMPUTED_VALUE"""),"+1 Spell Focus")</f>
        <v>+1 Spell Focus</v>
      </c>
      <c r="B23" s="10" t="str">
        <f>IFERROR(__xludf.DUMMYFUNCTION("""COMPUTED_VALUE"""),"Custom rule")</f>
        <v>Custom rule</v>
      </c>
      <c r="C23" s="10" t="str">
        <f>IFERROR(__xludf.DUMMYFUNCTION("""COMPUTED_VALUE"""),"Rare")</f>
        <v>Rare</v>
      </c>
      <c r="D23" s="10" t="str">
        <f>IFERROR(__xludf.DUMMYFUNCTION("""COMPUTED_VALUE"""),"Generic Variant")</f>
        <v>Generic Variant</v>
      </c>
      <c r="E23" s="10"/>
      <c r="F23" s="10"/>
      <c r="G23" s="10"/>
      <c r="H23" s="10"/>
      <c r="I23" s="10" t="str">
        <f>IFERROR(__xludf.DUMMYFUNCTION("""COMPUTED_VALUE"""),"You have a +1 bonus to your spell save DC and to spell attack rolls when using this focus.Available to level 8+")</f>
        <v>You have a +1 bonus to your spell save DC and to spell attack rolls when using this focus.Available to level 8+</v>
      </c>
      <c r="L23" s="18">
        <f>IFERROR(__xludf.DUMMYFUNCTION("""COMPUTED_VALUE"""),1800.0)</f>
        <v>1800</v>
      </c>
    </row>
    <row r="24">
      <c r="A24" s="8" t="str">
        <f>IFERROR(__xludf.DUMMYFUNCTION("""COMPUTED_VALUE"""),"+2 Weapon")</f>
        <v>+2 Weapon</v>
      </c>
      <c r="B24" s="8" t="str">
        <f>IFERROR(__xludf.DUMMYFUNCTION("""COMPUTED_VALUE"""),"Custom rule")</f>
        <v>Custom rule</v>
      </c>
      <c r="C24" s="8" t="str">
        <f>IFERROR(__xludf.DUMMYFUNCTION("""COMPUTED_VALUE"""),"Rare")</f>
        <v>Rare</v>
      </c>
      <c r="D24" s="8" t="str">
        <f>IFERROR(__xludf.DUMMYFUNCTION("""COMPUTED_VALUE"""),"Generic Variant")</f>
        <v>Generic Variant</v>
      </c>
      <c r="E24" s="8"/>
      <c r="F24" s="8"/>
      <c r="G24" s="8"/>
      <c r="H24" s="8"/>
      <c r="I24" s="8" t="str">
        <f>IFERROR(__xludf.DUMMYFUNCTION("""COMPUTED_VALUE"""),"You have a +2 bonus to attack and damage rolls made with this magic weapon. Available to level 8+")</f>
        <v>You have a +2 bonus to attack and damage rolls made with this magic weapon. Available to level 8+</v>
      </c>
      <c r="L24" s="19">
        <f>IFERROR(__xludf.DUMMYFUNCTION("""COMPUTED_VALUE"""),1800.0)</f>
        <v>1800</v>
      </c>
    </row>
    <row r="25">
      <c r="A25" s="10" t="str">
        <f>IFERROR(__xludf.DUMMYFUNCTION("""COMPUTED_VALUE"""),"Vicious Weapon")</f>
        <v>Vicious Weapon</v>
      </c>
      <c r="B25" s="10" t="str">
        <f>IFERROR(__xludf.DUMMYFUNCTION("""COMPUTED_VALUE"""),"DMG'24")</f>
        <v>DMG'24</v>
      </c>
      <c r="C25" s="10" t="str">
        <f>IFERROR(__xludf.DUMMYFUNCTION("""COMPUTED_VALUE"""),"rare")</f>
        <v>rare</v>
      </c>
      <c r="D25" s="10" t="str">
        <f>IFERROR(__xludf.DUMMYFUNCTION("""COMPUTED_VALUE"""),"Generic Variant")</f>
        <v>Generic Variant</v>
      </c>
      <c r="E25" s="10"/>
      <c r="F25" s="10"/>
      <c r="G25" s="10"/>
      <c r="H25" s="10"/>
      <c r="I25" s="10" t="str">
        <f>IFERROR(__xludf.DUMMYFUNCTION("""COMPUTED_VALUE"""),"This magic weapon deals an extra 2d6 damage to any creature it hits. This extra damage is of the same type as the weapon's normal damage. 
Available at level 8+.")</f>
        <v>This magic weapon deals an extra 2d6 damage to any creature it hits. This extra damage is of the same type as the weapon's normal damage. 
Available at level 8+.</v>
      </c>
      <c r="L25" s="18">
        <f>IFERROR(__xludf.DUMMYFUNCTION("""COMPUTED_VALUE"""),1800.0)</f>
        <v>1800</v>
      </c>
    </row>
    <row r="26">
      <c r="A26" s="8" t="str">
        <f>IFERROR(__xludf.DUMMYFUNCTION("""COMPUTED_VALUE"""),"+1 Armor Class")</f>
        <v>+1 Armor Class</v>
      </c>
      <c r="B26" s="8" t="str">
        <f>IFERROR(__xludf.DUMMYFUNCTION("""COMPUTED_VALUE"""),"Custom rule")</f>
        <v>Custom rule</v>
      </c>
      <c r="C26" s="8" t="str">
        <f>IFERROR(__xludf.DUMMYFUNCTION("""COMPUTED_VALUE"""),"Rare")</f>
        <v>Rare</v>
      </c>
      <c r="D26" s="8" t="str">
        <f>IFERROR(__xludf.DUMMYFUNCTION("""COMPUTED_VALUE"""),"Generic Variant")</f>
        <v>Generic Variant</v>
      </c>
      <c r="E26" s="8"/>
      <c r="F26" s="8"/>
      <c r="G26" s="8"/>
      <c r="H26" s="8"/>
      <c r="I26" s="8" t="str">
        <f>IFERROR(__xludf.DUMMYFUNCTION("""COMPUTED_VALUE"""),"You have a +1 bonus to your Armor Class when wearing this armor. Available to level 8+")</f>
        <v>You have a +1 bonus to your Armor Class when wearing this armor. Available to level 8+</v>
      </c>
      <c r="L26" s="19">
        <f>IFERROR(__xludf.DUMMYFUNCTION("""COMPUTED_VALUE"""),2000.0)</f>
        <v>2000</v>
      </c>
    </row>
    <row r="27">
      <c r="A27" s="12"/>
      <c r="B27" s="12"/>
      <c r="C27" s="12"/>
      <c r="D27" s="12"/>
      <c r="E27" s="12"/>
      <c r="F27" s="12"/>
      <c r="G27" s="12"/>
      <c r="H27" s="12"/>
      <c r="I27" s="12"/>
      <c r="J27" s="12"/>
      <c r="K27" s="12"/>
      <c r="L27" s="21"/>
    </row>
    <row r="28">
      <c r="A28" s="6" t="s">
        <v>33</v>
      </c>
      <c r="L28" s="22"/>
    </row>
    <row r="29">
      <c r="A29" s="8" t="str">
        <f>IFERROR(__xludf.DUMMYFUNCTION("FILTER(MasterList_Hidden!A:K,Search(A28,MasterList_Hidden!M:M),MasterList_Hidden!J:J&lt;&gt;""Free to Guild Adventurers with Item Proficiency"",MasterList_Hidden!J:J&lt;&gt;""Free to Guild Adventurers in Good Standing"",MasterList_Hidden!J:J&lt;&gt;""Artificer Replicate Ma"&amp;"gic Item Only"")"),"Wand of the War Mage")</f>
        <v>Wand of the War Mage</v>
      </c>
      <c r="B29" s="8" t="str">
        <f>IFERROR(__xludf.DUMMYFUNCTION("""COMPUTED_VALUE"""),"DMG'24")</f>
        <v>DMG'24</v>
      </c>
      <c r="C29" s="8" t="str">
        <f>IFERROR(__xludf.DUMMYFUNCTION("""COMPUTED_VALUE"""),"uncommon")</f>
        <v>uncommon</v>
      </c>
      <c r="D29" s="8" t="str">
        <f>IFERROR(__xludf.DUMMYFUNCTION("""COMPUTED_VALUE"""),"Wand")</f>
        <v>Wand</v>
      </c>
      <c r="E29" s="8" t="str">
        <f>IFERROR(__xludf.DUMMYFUNCTION("""COMPUTED_VALUE"""),"requires attunement by a spellcaster")</f>
        <v>requires attunement by a spellcaster</v>
      </c>
      <c r="F29" s="8"/>
      <c r="G29" s="8"/>
      <c r="H29" s="8"/>
      <c r="I29" s="8" t="str">
        <f>IFERROR(__xludf.DUMMYFUNCTION("""COMPUTED_VALUE"""),"You ignore Half Cover when making a spell attack roll when using this wand.")</f>
        <v>You ignore Half Cover when making a spell attack roll when using this wand.</v>
      </c>
      <c r="L29" s="8">
        <f>IFERROR(__xludf.DUMMYFUNCTION("FILTER(MasterList_Hidden!J:J,Search(A28,MasterList_Hidden!K:K),MasterList_Hidden!J:J&lt;&gt;""Free to Guild Adventurers with Item Proficiency"",MasterList_Hidden!J:J&lt;&gt;""Free to Guild Adventurers in Good Standing"",MasterList_Hidden!J:J&lt;&gt;""Artificer Replicate Ma"&amp;"gic Item Only"")"),200.0)</f>
        <v>200</v>
      </c>
    </row>
    <row r="30">
      <c r="A30" s="10" t="str">
        <f>IFERROR(__xludf.DUMMYFUNCTION("""COMPUTED_VALUE"""),"Adamantine Armor")</f>
        <v>Adamantine Armor</v>
      </c>
      <c r="B30" s="10" t="str">
        <f>IFERROR(__xludf.DUMMYFUNCTION("""COMPUTED_VALUE"""),"DMG'24")</f>
        <v>DMG'24</v>
      </c>
      <c r="C30" s="10" t="str">
        <f>IFERROR(__xludf.DUMMYFUNCTION("""COMPUTED_VALUE"""),"uncommon")</f>
        <v>uncommon</v>
      </c>
      <c r="D30" s="10" t="str">
        <f>IFERROR(__xludf.DUMMYFUNCTION("""COMPUTED_VALUE"""),"Generic Variant")</f>
        <v>Generic Variant</v>
      </c>
      <c r="E30" s="10"/>
      <c r="F30" s="10"/>
      <c r="G30" s="10"/>
      <c r="H30" s="10"/>
      <c r="I30" s="10" t="str">
        <f>IFERROR(__xludf.DUMMYFUNCTION("""COMPUTED_VALUE"""),"This suit of armor is reinforced with adamantine, one of the hardest substances in existence. While you're wearing it, any Critical Hit against you becomes a normal hit. 
Applied to non-magical Base Equipment.")</f>
        <v>This suit of armor is reinforced with adamantine, one of the hardest substances in existence. While you're wearing it, any Critical Hit against you becomes a normal hit. 
Applied to non-magical Base Equipment.</v>
      </c>
      <c r="L30" s="18">
        <f>IFERROR(__xludf.DUMMYFUNCTION("""COMPUTED_VALUE"""),250.0)</f>
        <v>250</v>
      </c>
    </row>
    <row r="31">
      <c r="A31" s="8" t="str">
        <f>IFERROR(__xludf.DUMMYFUNCTION("""COMPUTED_VALUE"""),"Boomerang Shield")</f>
        <v>Boomerang Shield</v>
      </c>
      <c r="B31" s="8" t="str">
        <f>IFERROR(__xludf.DUMMYFUNCTION("""COMPUTED_VALUE"""),"BMT")</f>
        <v>BMT</v>
      </c>
      <c r="C31" s="8" t="str">
        <f>IFERROR(__xludf.DUMMYFUNCTION("""COMPUTED_VALUE"""),"uncommon")</f>
        <v>uncommon</v>
      </c>
      <c r="D31" s="8" t="str">
        <f>IFERROR(__xludf.DUMMYFUNCTION("""COMPUTED_VALUE"""),"Shield")</f>
        <v>Shield</v>
      </c>
      <c r="E31" s="8" t="str">
        <f>IFERROR(__xludf.DUMMYFUNCTION("""COMPUTED_VALUE"""),"requires attunement")</f>
        <v>requires attunement</v>
      </c>
      <c r="F31" s="8" t="str">
        <f>IFERROR(__xludf.DUMMYFUNCTION("""COMPUTED_VALUE"""),"AC +2")</f>
        <v>AC +2</v>
      </c>
      <c r="G31" s="8"/>
      <c r="H31" s="8"/>
      <c r="I31" s="8" t="str">
        <f>IFERROR(__xludf.DUMMYFUNCTION("""COMPUTED_VALUE"""),"You can make a ranged weapon attack with this magic shield. It has a normal range of 20 feet and a long range of 60 feet, and it uses your Strength or Dexterity for the attack roll (your choice). If you're proficient with shields, you are proficient with "&amp;"attacks made using this shield. On a hit, it deals 1d6 slashing damage. If you throw the shield, it reappears in your hand the instant after it hits or misses a target.")</f>
        <v>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v>
      </c>
      <c r="L31" s="19">
        <f>IFERROR(__xludf.DUMMYFUNCTION("""COMPUTED_VALUE"""),250.0)</f>
        <v>250</v>
      </c>
    </row>
    <row r="32">
      <c r="A32" s="10" t="str">
        <f>IFERROR(__xludf.DUMMYFUNCTION("""COMPUTED_VALUE"""),"Armor of Fungal Spores")</f>
        <v>Armor of Fungal Spores</v>
      </c>
      <c r="B32" s="10" t="str">
        <f>IFERROR(__xludf.DUMMYFUNCTION("""COMPUTED_VALUE"""),"BMT")</f>
        <v>BMT</v>
      </c>
      <c r="C32" s="10" t="str">
        <f>IFERROR(__xludf.DUMMYFUNCTION("""COMPUTED_VALUE"""),"uncommon")</f>
        <v>uncommon</v>
      </c>
      <c r="D32" s="10" t="str">
        <f>IFERROR(__xludf.DUMMYFUNCTION("""COMPUTED_VALUE"""),"Generic Variant")</f>
        <v>Generic Variant</v>
      </c>
      <c r="E32" s="10"/>
      <c r="F32" s="10"/>
      <c r="G32" s="10"/>
      <c r="H32" s="10"/>
      <c r="I32" s="10" t="str">
        <f>IFERROR(__xludf.DUMMYFUNCTION("""COMPUTED_VALUE"""),"While wearing this armor, you can take a bonus action to make the armor emit poisonous spores, which fill a 10-foot-radius sphere centered on yourself. Each creature in that area must succeed on a DC 15 Constitution saving throw or have the poisoned condi"&amp;"tion until the end of your next turn. Once this property is used, it can't be used again until the next dawn. 
Applied to non-magical Base Equipment.")</f>
        <v>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 
Applied to non-magical Base Equipment.</v>
      </c>
      <c r="L32" s="18">
        <f>IFERROR(__xludf.DUMMYFUNCTION("""COMPUTED_VALUE"""),300.0)</f>
        <v>300</v>
      </c>
    </row>
    <row r="33">
      <c r="A33" s="8" t="str">
        <f>IFERROR(__xludf.DUMMYFUNCTION("""COMPUTED_VALUE"""),"Mithral Armor")</f>
        <v>Mithral Armor</v>
      </c>
      <c r="B33" s="8" t="str">
        <f>IFERROR(__xludf.DUMMYFUNCTION("""COMPUTED_VALUE"""),"DMG'24")</f>
        <v>DMG'24</v>
      </c>
      <c r="C33" s="8" t="str">
        <f>IFERROR(__xludf.DUMMYFUNCTION("""COMPUTED_VALUE"""),"uncommon")</f>
        <v>uncommon</v>
      </c>
      <c r="D33" s="8" t="str">
        <f>IFERROR(__xludf.DUMMYFUNCTION("""COMPUTED_VALUE"""),"Generic Variant")</f>
        <v>Generic Variant</v>
      </c>
      <c r="E33" s="8"/>
      <c r="F33" s="8"/>
      <c r="G33" s="8"/>
      <c r="H33" s="8"/>
      <c r="I33" s="8" t="str">
        <f>IFERROR(__xludf.DUMMYFUNCTION("""COMPUTED_VALUE"""),"Mithral is a light, flexible metal. A mithral chain shirt or breastplate can be worn under normal clothes.If the armor normally imposes disadvantage on Dexterity (Stealth) checks or has a Strength requirement, the mithral version of the armor doesn't. 
Ap"&amp;"plied to non-magical Base Equipment.")</f>
        <v>Mithral is a light, flexible metal. A mithral chain shirt or breastplate can be worn under normal clothes.If the armor normally imposes disadvantage on Dexterity (Stealth) checks or has a Strength requirement, the mithral version of the armor doesn't. 
Applied to non-magical Base Equipment.</v>
      </c>
      <c r="L33" s="19">
        <f>IFERROR(__xludf.DUMMYFUNCTION("""COMPUTED_VALUE"""),350.0)</f>
        <v>350</v>
      </c>
    </row>
    <row r="34">
      <c r="A34" s="10" t="str">
        <f>IFERROR(__xludf.DUMMYFUNCTION("""COMPUTED_VALUE"""),"Trident of Fish Command")</f>
        <v>Trident of Fish Command</v>
      </c>
      <c r="B34" s="10" t="str">
        <f>IFERROR(__xludf.DUMMYFUNCTION("""COMPUTED_VALUE"""),"DMG'24")</f>
        <v>DMG'24</v>
      </c>
      <c r="C34" s="10" t="str">
        <f>IFERROR(__xludf.DUMMYFUNCTION("""COMPUTED_VALUE"""),"uncommon")</f>
        <v>uncommon</v>
      </c>
      <c r="D34" s="10" t="str">
        <f>IFERROR(__xludf.DUMMYFUNCTION("""COMPUTED_VALUE"""),"Martial Weapon, Melee Weapon")</f>
        <v>Martial Weapon, Melee Weapon</v>
      </c>
      <c r="E34" s="10" t="str">
        <f>IFERROR(__xludf.DUMMYFUNCTION("""COMPUTED_VALUE"""),"requires attunement")</f>
        <v>requires attunement</v>
      </c>
      <c r="F34" s="10" t="str">
        <f>IFERROR(__xludf.DUMMYFUNCTION("""COMPUTED_VALUE"""),"1d8 Piercing")</f>
        <v>1d8 Piercing</v>
      </c>
      <c r="G34" s="10" t="str">
        <f>IFERROR(__xludf.DUMMYFUNCTION("""COMPUTED_VALUE"""),"Thrown (20/60 ft.), Versatile (1d10)")</f>
        <v>Thrown (20/60 ft.), Versatile (1d10)</v>
      </c>
      <c r="H34" s="10" t="str">
        <f>IFERROR(__xludf.DUMMYFUNCTION("""COMPUTED_VALUE"""),"Mastery: Topple")</f>
        <v>Mastery: Topple</v>
      </c>
      <c r="I34" s="10" t="str">
        <f>IFERROR(__xludf.DUMMYFUNCTION("""COMPUTED_VALUE"""),"This magic weapon has 3 charges, and it regains 1d3 expended charges daily at dawn. While you carry it, you can expend 1 charge to cast Dominate Beast (save DC 15) from it on a Beast that has a Swim Speed. Thrown. If a weapon has the Thrown property, you "&amp;"can throw the weapon to make a ranged attack, and you can draw that weapon as part of the attack. If the weapon is a Melee weapon, use the same ability modifier for the attack and damage rolls that you use for a melee attack with that weapon. Versatile. A"&amp;" Versatile weapon can be used with one or two hands. A damage value in parentheses appears with the property. The weapon deals that damage when used with two hands to make a melee attack. Mastery: Topple. If you hit a creature with this weapon, you can fo"&amp;"rce the creature to make a Constitution saving throw (DC 8 plus the ability modifier used to make the attack roll and your Proficiency Bonus). On a failed save, the creature has the Prone condition.")</f>
        <v>This magic weapon has 3 charges, and it regains 1d3 expended charges daily at dawn. While you carry it, you can expend 1 charge to cast Dominate Beast (save DC 15) from it on a Beast that has a Swim Speed.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34" s="18">
        <f>IFERROR(__xludf.DUMMYFUNCTION("""COMPUTED_VALUE"""),350.0)</f>
        <v>350</v>
      </c>
    </row>
    <row r="35">
      <c r="A35" s="8" t="str">
        <f>IFERROR(__xludf.DUMMYFUNCTION("""COMPUTED_VALUE"""),"All-Purpose Tool")</f>
        <v>All-Purpose Tool</v>
      </c>
      <c r="B35" s="8" t="str">
        <f>IFERROR(__xludf.DUMMYFUNCTION("""COMPUTED_VALUE"""),"TCE")</f>
        <v>TCE</v>
      </c>
      <c r="C35" s="8" t="str">
        <f>IFERROR(__xludf.DUMMYFUNCTION("""COMPUTED_VALUE"""),"uncommon")</f>
        <v>uncommon</v>
      </c>
      <c r="D35" s="8" t="str">
        <f>IFERROR(__xludf.DUMMYFUNCTION("""COMPUTED_VALUE"""),"Wondrous Item, Spellcasting Focus")</f>
        <v>Wondrous Item, Spellcasting Focus</v>
      </c>
      <c r="E35" s="8" t="str">
        <f>IFERROR(__xludf.DUMMYFUNCTION("""COMPUTED_VALUE"""),"requires attunement by an artificer")</f>
        <v>requires attunement by an artificer</v>
      </c>
      <c r="F35" s="8"/>
      <c r="G35" s="8"/>
      <c r="H35" s="8"/>
      <c r="I35" s="8" t="str">
        <f>IFERROR(__xludf.DUMMYFUNCTION("""COMPUTED_VALUE"""),"This simple screwdriver can transform into a variety of tools; as an action, you can touch the item and transform it into any type of artisan's tool of your choice (see the ""Equipment"" chapter in the Player's Handbook for a list of artisan's tools). Wha"&amp;"tever form the tool takes, you are proficient with it. As an action, you can focus on the tool to channel your creative forces. Choose a cantrip that you don't know from any class list. For 8 hours, you can cast that cantrip, and it counts as an artificer"&amp;" cantrip for you. Once this property is used, it can't be used again until the next dawn.")</f>
        <v>This simple screwdriver can transform into a variety of tools; as an action, you can touch the item and transform it into any type of artisan's tool of your choice (see the "Equipment" chapter in the Player's Handbook for a list of artisan's tools). Whatever form the tool takes, you are proficient with it.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v>
      </c>
      <c r="L35" s="19">
        <f>IFERROR(__xludf.DUMMYFUNCTION("""COMPUTED_VALUE"""),400.0)</f>
        <v>400</v>
      </c>
    </row>
    <row r="36">
      <c r="A36" s="10" t="str">
        <f>IFERROR(__xludf.DUMMYFUNCTION("""COMPUTED_VALUE"""),"Armor of Weightlessness")</f>
        <v>Armor of Weightlessness</v>
      </c>
      <c r="B36" s="10" t="str">
        <f>IFERROR(__xludf.DUMMYFUNCTION("""COMPUTED_VALUE"""),"BMT")</f>
        <v>BMT</v>
      </c>
      <c r="C36" s="10" t="str">
        <f>IFERROR(__xludf.DUMMYFUNCTION("""COMPUTED_VALUE"""),"uncommon")</f>
        <v>uncommon</v>
      </c>
      <c r="D36" s="10" t="str">
        <f>IFERROR(__xludf.DUMMYFUNCTION("""COMPUTED_VALUE"""),"Generic Variant")</f>
        <v>Generic Variant</v>
      </c>
      <c r="E36" s="10" t="str">
        <f>IFERROR(__xludf.DUMMYFUNCTION("""COMPUTED_VALUE"""),"requires attunement")</f>
        <v>requires attunement</v>
      </c>
      <c r="F36" s="10"/>
      <c r="G36" s="10"/>
      <c r="H36" s="10"/>
      <c r="I36" s="10" t="str">
        <f>IFERROR(__xludf.DUMMYFUNCTION("""COMPUTED_VALUE"""),"This armor has 5 charges. While you wear it, you can use a bonus action to expend 1 or more charges to cast one of the following spells from the armor, targeting yourself: Jump (1 charge) or Levitate (2 charges).This armor regains 1d4 + 1 expended charges"&amp;" daily at dawn. 
Applied to non-magical Base Equipment.")</f>
        <v>This armor has 5 charges. While you wear it, you can use a bonus action to expend 1 or more charges to cast one of the following spells from the armor, targeting yourself: Jump (1 charge) or Levitate (2 charges).This armor regains 1d4 + 1 expended charges daily at dawn. 
Applied to non-magical Base Equipment.</v>
      </c>
      <c r="L36" s="18">
        <f>IFERROR(__xludf.DUMMYFUNCTION("""COMPUTED_VALUE"""),400.0)</f>
        <v>400</v>
      </c>
    </row>
    <row r="37">
      <c r="A37" s="8" t="str">
        <f>IFERROR(__xludf.DUMMYFUNCTION("""COMPUTED_VALUE"""),"Wand of Magic Detection")</f>
        <v>Wand of Magic Detection</v>
      </c>
      <c r="B37" s="8" t="str">
        <f>IFERROR(__xludf.DUMMYFUNCTION("""COMPUTED_VALUE"""),"DMG'24")</f>
        <v>DMG'24</v>
      </c>
      <c r="C37" s="8" t="str">
        <f>IFERROR(__xludf.DUMMYFUNCTION("""COMPUTED_VALUE"""),"uncommon")</f>
        <v>uncommon</v>
      </c>
      <c r="D37" s="8" t="str">
        <f>IFERROR(__xludf.DUMMYFUNCTION("""COMPUTED_VALUE"""),"Wand")</f>
        <v>Wand</v>
      </c>
      <c r="E37" s="8"/>
      <c r="F37" s="8"/>
      <c r="G37" s="8"/>
      <c r="H37" s="8"/>
      <c r="I37" s="8" t="str">
        <f>IFERROR(__xludf.DUMMYFUNCTION("""COMPUTED_VALUE"""),"This wand has 3 charges. While holding it, you can expend 1 charge to cast Detect Magic from it. The wand regains 1d3 expended charges daily at dawn.")</f>
        <v>This wand has 3 charges. While holding it, you can expend 1 charge to cast Detect Magic from it. The wand regains 1d3 expended charges daily at dawn.</v>
      </c>
      <c r="L37" s="19">
        <f>IFERROR(__xludf.DUMMYFUNCTION("""COMPUTED_VALUE"""),400.0)</f>
        <v>400</v>
      </c>
    </row>
    <row r="38">
      <c r="A38" s="10" t="str">
        <f>IFERROR(__xludf.DUMMYFUNCTION("""COMPUTED_VALUE"""),"Rhythm-Maker's Drum")</f>
        <v>Rhythm-Maker's Drum</v>
      </c>
      <c r="B38" s="10" t="str">
        <f>IFERROR(__xludf.DUMMYFUNCTION("""COMPUTED_VALUE"""),"TCE")</f>
        <v>TCE</v>
      </c>
      <c r="C38" s="10" t="str">
        <f>IFERROR(__xludf.DUMMYFUNCTION("""COMPUTED_VALUE"""),"uncommon")</f>
        <v>uncommon</v>
      </c>
      <c r="D38" s="10" t="str">
        <f>IFERROR(__xludf.DUMMYFUNCTION("""COMPUTED_VALUE"""),"Wondrous Item, Instrument")</f>
        <v>Wondrous Item, Instrument</v>
      </c>
      <c r="E38" s="10" t="str">
        <f>IFERROR(__xludf.DUMMYFUNCTION("""COMPUTED_VALUE"""),"requires attunement by a bard")</f>
        <v>requires attunement by a bard</v>
      </c>
      <c r="F38" s="10"/>
      <c r="G38" s="10"/>
      <c r="H38" s="10"/>
      <c r="I38" s="10" t="str">
        <f>IFERROR(__xludf.DUMMYFUNCTION("""COMPUTED_VALUE"""),"As an action, you can play the drum to regain one use of your Bardic Inspiration feature. This property of the drum can't be used again until the next dawn.If you have proficiency with a given musical instrument, you can add your proficiency bonus to any "&amp;"ability checks you make to play music with the instrument. A bard can use a musical instrument as a spellcasting focus. Each type of musical instrument requires a separate proficiency.See the Tool Proficiencies entry for more information.Proficiency with "&amp;"a musical instrument indicates you are familiar with the techniques used to play it. You also have knowledge of some songs commonly performed with that instrument. History. Your expertise aids you in recalling lore related to your instrument. Performance."&amp;" Your ability to put on a good show is improved when you incorporate an instrument into your act. Compose a Tune. As part of a long rest, you can compose a new tune and lyrics for your instrument. You might use this ability to impress a noble or spread sc"&amp;"andalous rumors with a catchy tune.Musical InstrumentActivityDCIdentify a tune10Improvise a tune20")</f>
        <v>As an action, you can play the drum to regain one use of your Bardic Inspiration feature. This property of the drum can't be used again until the next dawn.If you have proficiency with a given musical instrument, you can add your proficiency bonus to any ability checks you make to play music with the instrument. A bard can use a musical instrument as a spellcasting focus. Each type of musical instrument requires a separate proficiency.See the Tool Proficiencies entry for more information.Proficiency with a musical instrument indicates you are familiar with the techniques used to play it. You also have knowledge of some songs commonly performed with that instrument. History. Your expertise aids you in recalling lore related to your instrument. Performance. Your ability to put on a good show is improved when you incorporate an instrument into your act. Compose a Tune. As part of a long rest, you can compose a new tune and lyrics for your instrument. You might use this ability to impress a noble or spread scandalous rumors with a catchy tune.Musical InstrumentActivityDCIdentify a tune10Improvise a tune20</v>
      </c>
      <c r="L38" s="18">
        <f>IFERROR(__xludf.DUMMYFUNCTION("""COMPUTED_VALUE"""),450.0)</f>
        <v>450</v>
      </c>
    </row>
    <row r="39">
      <c r="A39" s="8" t="str">
        <f>IFERROR(__xludf.DUMMYFUNCTION("""COMPUTED_VALUE"""),"Moon Sickle")</f>
        <v>Moon Sickle</v>
      </c>
      <c r="B39" s="8" t="str">
        <f>IFERROR(__xludf.DUMMYFUNCTION("""COMPUTED_VALUE"""),"TCE")</f>
        <v>TCE</v>
      </c>
      <c r="C39" s="8" t="str">
        <f>IFERROR(__xludf.DUMMYFUNCTION("""COMPUTED_VALUE"""),"uncommon")</f>
        <v>uncommon</v>
      </c>
      <c r="D39" s="8" t="str">
        <f>IFERROR(__xludf.DUMMYFUNCTION("""COMPUTED_VALUE"""),"Simple Weapon, Melee Weapon")</f>
        <v>Simple Weapon, Melee Weapon</v>
      </c>
      <c r="E39" s="8" t="str">
        <f>IFERROR(__xludf.DUMMYFUNCTION("""COMPUTED_VALUE"""),"requires attunement by a druid or ranger")</f>
        <v>requires attunement by a druid or ranger</v>
      </c>
      <c r="F39" s="8" t="str">
        <f>IFERROR(__xludf.DUMMYFUNCTION("""COMPUTED_VALUE"""),"1d4 Slashing")</f>
        <v>1d4 Slashing</v>
      </c>
      <c r="G39" s="8" t="str">
        <f>IFERROR(__xludf.DUMMYFUNCTION("""COMPUTED_VALUE"""),"light")</f>
        <v>light</v>
      </c>
      <c r="H39" s="8"/>
      <c r="I39" s="8" t="str">
        <f>IFERROR(__xludf.DUMMYFUNCTION("""COMPUTED_VALUE"""),"This silver-bladed sickle glimmers softly with moonlight. In addition, you can use the sickle as a spellcasting focus for your druid and ranger spells.When you cast a spell that restores hit points, you can roll a d4 and add the number rolled to the amoun"&amp;"t of hit points restored, provided you are holding the sickle. Light. A light weapon is small and easy to handle, making it ideal for use when fighting with two weapons.")</f>
        <v>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v>
      </c>
      <c r="L39" s="19">
        <f>IFERROR(__xludf.DUMMYFUNCTION("""COMPUTED_VALUE"""),550.0)</f>
        <v>550</v>
      </c>
    </row>
    <row r="40">
      <c r="A40" s="10" t="str">
        <f>IFERROR(__xludf.DUMMYFUNCTION("""COMPUTED_VALUE"""),"Duplicitous Manuscript")</f>
        <v>Duplicitous Manuscript</v>
      </c>
      <c r="B40" s="10" t="str">
        <f>IFERROR(__xludf.DUMMYFUNCTION("""COMPUTED_VALUE"""),"TCE")</f>
        <v>TCE</v>
      </c>
      <c r="C40" s="10" t="str">
        <f>IFERROR(__xludf.DUMMYFUNCTION("""COMPUTED_VALUE"""),"rare")</f>
        <v>rare</v>
      </c>
      <c r="D40" s="10" t="str">
        <f>IFERROR(__xludf.DUMMYFUNCTION("""COMPUTED_VALUE"""),"Wondrous Item, Spellcasting Focus")</f>
        <v>Wondrous Item, Spellcasting Focus</v>
      </c>
      <c r="E40" s="10" t="str">
        <f>IFERROR(__xludf.DUMMYFUNCTION("""COMPUTED_VALUE"""),"requires attunement by a wizard")</f>
        <v>requires attunement by a wizard</v>
      </c>
      <c r="F40" s="10"/>
      <c r="G40" s="10"/>
      <c r="H40" s="10"/>
      <c r="I40" s="10" t="str">
        <f>IFERROR(__xludf.DUMMYFUNCTION("""COMPUTED_VALUE"""),"To you, this book is a magical spellbook. To anyone else, the book appears to be a volume of verbose romance fiction. As an action, you can change the book's appearance and alter the plot of the romance. When found, the book contains the following spells:"&amp;" hallucinatory terrain, major image, mirror image, mislead, Nystul's magic aura, phantasmal force, and silent image. It functions as a spellbook for you.While you are holding the book, you can use it as a spellcasting focus for your wizard spells. The boo"&amp;"k has 3 charges, and it regains 1d3 expended charges daily at dawn. You can use the charges in the following ways while holding it:If you spend 1 minute studying the book, you can expend 1 charge to replace one of your prepared wizard spells with a differ"&amp;"ent spell in the book. The new spell must be of the illusion school. When a creature you can see makes an Intelligence (Investigation) check to discern the true nature of an illusion spell you cast, or makes a saving throw against an illusion spell you ca"&amp;"st, you can use your reaction and expend 1 charge to impose disadvantage on the roll.")</f>
        <v>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v>
      </c>
      <c r="L40" s="18">
        <f>IFERROR(__xludf.DUMMYFUNCTION("""COMPUTED_VALUE"""),550.0)</f>
        <v>550</v>
      </c>
    </row>
    <row r="41">
      <c r="A41" s="8" t="str">
        <f>IFERROR(__xludf.DUMMYFUNCTION("""COMPUTED_VALUE"""),"Alchemical Compendium")</f>
        <v>Alchemical Compendium</v>
      </c>
      <c r="B41" s="8" t="str">
        <f>IFERROR(__xludf.DUMMYFUNCTION("""COMPUTED_VALUE"""),"TCE")</f>
        <v>TCE</v>
      </c>
      <c r="C41" s="8" t="str">
        <f>IFERROR(__xludf.DUMMYFUNCTION("""COMPUTED_VALUE"""),"rare")</f>
        <v>rare</v>
      </c>
      <c r="D41" s="8" t="str">
        <f>IFERROR(__xludf.DUMMYFUNCTION("""COMPUTED_VALUE"""),"Wondrous Item, Spellcasting Focus")</f>
        <v>Wondrous Item, Spellcasting Focus</v>
      </c>
      <c r="E41" s="8" t="str">
        <f>IFERROR(__xludf.DUMMYFUNCTION("""COMPUTED_VALUE"""),"requires attunement by a wizard")</f>
        <v>requires attunement by a wizard</v>
      </c>
      <c r="F41" s="8"/>
      <c r="G41" s="8"/>
      <c r="H41" s="8"/>
      <c r="I41" s="8" t="str">
        <f>IFERROR(__xludf.DUMMYFUNCTION("""COMPUTED_VALUE"""),"Acrid odors cling to this stained, heavy volume. The book's metal fittings are copper, iron, lead, silver, and gold, some frozen mid-transition from one metal to another. When found, the book contains the following spells: enlarge/reduce, feather fall, fl"&amp;"esh to stone, gaseous form, magic weapon, and polymorph. It functions as a spellbook for you.While you are holding the book, you can use it as a spellcasting focus for your wizard spells.The book has 3 charges, and it regains 1d3 expended charges daily at"&amp;" dawn. You can use the charges in the following ways while holding it:If you spend 1 minute studying the book, you can expend 1 charge to replace one of your prepared wizard spells with a different spell in the book. The new spell must be of the transmuta"&amp;"tion school.As an action, you can touch a nonmagical object that isn't being worn or carried and spend a number of charges to transform the target into another object. For 1 charge, the object can be no larger than 1 foot on a side. You can spend addition"&amp;"al charges to increase the maximum dimensions by 2 feet per charge. The new object must have a gold value equal to or less than the original.")</f>
        <v>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you.While you are holding the book, you can use it as a spellcasting focus for your wizard spells.The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transmutation school.As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v>
      </c>
      <c r="L41" s="19">
        <f>IFERROR(__xludf.DUMMYFUNCTION("""COMPUTED_VALUE"""),650.0)</f>
        <v>650</v>
      </c>
    </row>
    <row r="42">
      <c r="A42" s="10" t="str">
        <f>IFERROR(__xludf.DUMMYFUNCTION("""COMPUTED_VALUE"""),"Amulet of the Devout")</f>
        <v>Amulet of the Devout</v>
      </c>
      <c r="B42" s="10" t="str">
        <f>IFERROR(__xludf.DUMMYFUNCTION("""COMPUTED_VALUE"""),"TCE")</f>
        <v>TCE</v>
      </c>
      <c r="C42" s="10" t="str">
        <f>IFERROR(__xludf.DUMMYFUNCTION("""COMPUTED_VALUE"""),"uncommon")</f>
        <v>uncommon</v>
      </c>
      <c r="D42" s="10" t="str">
        <f>IFERROR(__xludf.DUMMYFUNCTION("""COMPUTED_VALUE"""),"Wondrous Item")</f>
        <v>Wondrous Item</v>
      </c>
      <c r="E42" s="10" t="str">
        <f>IFERROR(__xludf.DUMMYFUNCTION("""COMPUTED_VALUE"""),"requires attunement by a cleric or paladin")</f>
        <v>requires attunement by a cleric or paladin</v>
      </c>
      <c r="F42" s="10"/>
      <c r="G42" s="10"/>
      <c r="H42" s="10"/>
      <c r="I42" s="10" t="str">
        <f>IFERROR(__xludf.DUMMYFUNCTION("""COMPUTED_VALUE"""),"This amulet bears the symbol of a deity inlaid with precious stones or metals.While you wear this amulet, you can use your Channel Divinity feature without expending one of the feature's uses. Once this property is used, it can't be used again until the n"&amp;"ext dawn.")</f>
        <v>This amulet bears the symbol of a deity inlaid with precious stones or metals.While you wear this amulet, you can use your Channel Divinity feature without expending one of the feature's uses. Once this property is used, it can't be used again until the next dawn.</v>
      </c>
      <c r="L42" s="18">
        <f>IFERROR(__xludf.DUMMYFUNCTION("""COMPUTED_VALUE"""),750.0)</f>
        <v>750</v>
      </c>
    </row>
    <row r="43">
      <c r="A43" s="8" t="str">
        <f>IFERROR(__xludf.DUMMYFUNCTION("""COMPUTED_VALUE"""),"Arcane Grimoire")</f>
        <v>Arcane Grimoire</v>
      </c>
      <c r="B43" s="8" t="str">
        <f>IFERROR(__xludf.DUMMYFUNCTION("""COMPUTED_VALUE"""),"TCE")</f>
        <v>TCE</v>
      </c>
      <c r="C43" s="8" t="str">
        <f>IFERROR(__xludf.DUMMYFUNCTION("""COMPUTED_VALUE"""),"uncommon")</f>
        <v>uncommon</v>
      </c>
      <c r="D43" s="8" t="str">
        <f>IFERROR(__xludf.DUMMYFUNCTION("""COMPUTED_VALUE"""),"Wondrous Item, Spellcasting Focus")</f>
        <v>Wondrous Item, Spellcasting Focus</v>
      </c>
      <c r="E43" s="8" t="str">
        <f>IFERROR(__xludf.DUMMYFUNCTION("""COMPUTED_VALUE"""),"requires attunement by a wizard")</f>
        <v>requires attunement by a wizard</v>
      </c>
      <c r="F43" s="8"/>
      <c r="G43" s="8"/>
      <c r="H43" s="8"/>
      <c r="I43" s="8" t="str">
        <f>IFERROR(__xludf.DUMMYFUNCTION("""COMPUTED_VALUE"""),"While you are holding this leather-bound book, you can use it as a spellcasting focus for your wizard spells.You can use this book as a spellbook. In addition, when you use your Arcane Recovery feature, you can increase the number of spell slot levels you"&amp;" regain by 1.")</f>
        <v>While you are holding this leather-bound book, you can use it as a spellcasting focus for your wizard spells.You can use this book as a spellbook. In addition, when you use your Arcane Recovery feature, you can increase the number of spell slot levels you regain by 1.</v>
      </c>
      <c r="L43" s="19">
        <f>IFERROR(__xludf.DUMMYFUNCTION("""COMPUTED_VALUE"""),750.0)</f>
        <v>750</v>
      </c>
    </row>
    <row r="44">
      <c r="A44" s="10" t="str">
        <f>IFERROR(__xludf.DUMMYFUNCTION("""COMPUTED_VALUE"""),"Bloodwell Vial")</f>
        <v>Bloodwell Vial</v>
      </c>
      <c r="B44" s="10" t="str">
        <f>IFERROR(__xludf.DUMMYFUNCTION("""COMPUTED_VALUE"""),"TCE")</f>
        <v>TCE</v>
      </c>
      <c r="C44" s="10" t="str">
        <f>IFERROR(__xludf.DUMMYFUNCTION("""COMPUTED_VALUE"""),"uncommon")</f>
        <v>uncommon</v>
      </c>
      <c r="D44" s="10" t="str">
        <f>IFERROR(__xludf.DUMMYFUNCTION("""COMPUTED_VALUE"""),"Wondrous Item, Spellcasting Focus")</f>
        <v>Wondrous Item, Spellcasting Focus</v>
      </c>
      <c r="E44" s="10" t="str">
        <f>IFERROR(__xludf.DUMMYFUNCTION("""COMPUTED_VALUE"""),"requires attunement by a sorcerer")</f>
        <v>requires attunement by a sorcerer</v>
      </c>
      <c r="F44" s="10"/>
      <c r="G44" s="10"/>
      <c r="H44" s="10"/>
      <c r="I44" s="10" t="str">
        <f>IFERROR(__xludf.DUMMYFUNCTION("""COMPUTED_VALUE"""),"To attune to this vial, you must place a few drops of your blood into it. The vial can't be opened while your attunement to it lasts. If your attunement to the vial ends, the contained blood turns to ash. You can use the vial as a spellcasting focus for y"&amp;"our spells while wearing or holding it. In addition, when you roll any Hit Dice to recover hit points while you are carrying the vial, you can regain 5 sorcery points. This property of the vial can't be used again until the next dawn.")</f>
        <v>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In addition, when you roll any Hit Dice to recover hit points while you are carrying the vial, you can regain 5 sorcery points. This property of the vial can't be used again until the next dawn.</v>
      </c>
      <c r="L44" s="18">
        <f>IFERROR(__xludf.DUMMYFUNCTION("""COMPUTED_VALUE"""),750.0)</f>
        <v>750</v>
      </c>
    </row>
    <row r="45">
      <c r="A45" s="8" t="str">
        <f>IFERROR(__xludf.DUMMYFUNCTION("""COMPUTED_VALUE"""),"Enspelled Armor (Cantrip)")</f>
        <v>Enspelled Armor (Cantrip)</v>
      </c>
      <c r="B45" s="8" t="str">
        <f>IFERROR(__xludf.DUMMYFUNCTION("""COMPUTED_VALUE"""),"DMG'24")</f>
        <v>DMG'24</v>
      </c>
      <c r="C45" s="8" t="str">
        <f>IFERROR(__xludf.DUMMYFUNCTION("""COMPUTED_VALUE"""),"uncommon")</f>
        <v>uncommon</v>
      </c>
      <c r="D45" s="8" t="str">
        <f>IFERROR(__xludf.DUMMYFUNCTION("""COMPUTED_VALUE"""),"Generic Variant")</f>
        <v>Generic Variant</v>
      </c>
      <c r="E45" s="8" t="str">
        <f>IFERROR(__xludf.DUMMYFUNCTION("""COMPUTED_VALUE"""),"requires attunement")</f>
        <v>requires attunement</v>
      </c>
      <c r="F45" s="8"/>
      <c r="G45" s="8"/>
      <c r="H45" s="8"/>
      <c r="I45" s="8" t="str">
        <f>IFERROR(__xludf.DUMMYFUNCTION("""COMPUTED_VALUE"""),"Bound into this armor is a cantrip. The cantrip is determined when the armor is created and must belong to the Abjuration or Illusion school of magic. The armor has 6 charges and regains 1d6 expended charges daily at dawn. While wearing the armor, you can"&amp;" expend 1 charge to cast its spell.The spell's saving throw DC is 13, and its attack bonus is +5. 
Applied to non-magical Base Equipment.")</f>
        <v>Bound into this armor is a cantrip. The cantrip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45" s="19">
        <f>IFERROR(__xludf.DUMMYFUNCTION("""COMPUTED_VALUE"""),750.0)</f>
        <v>750</v>
      </c>
    </row>
    <row r="46">
      <c r="A46" s="10" t="str">
        <f>IFERROR(__xludf.DUMMYFUNCTION("""COMPUTED_VALUE"""),"Enspelled Staff (Cantrip)")</f>
        <v>Enspelled Staff (Cantrip)</v>
      </c>
      <c r="B46" s="10" t="str">
        <f>IFERROR(__xludf.DUMMYFUNCTION("""COMPUTED_VALUE"""),"DMG'24")</f>
        <v>DMG'24</v>
      </c>
      <c r="C46" s="10" t="str">
        <f>IFERROR(__xludf.DUMMYFUNCTION("""COMPUTED_VALUE"""),"uncommon")</f>
        <v>uncommon</v>
      </c>
      <c r="D46" s="10" t="str">
        <f>IFERROR(__xludf.DUMMYFUNCTION("""COMPUTED_VALUE"""),"Simple Weapon, Melee Weapon")</f>
        <v>Simple Weapon, Melee Weapon</v>
      </c>
      <c r="E46" s="10" t="str">
        <f>IFERROR(__xludf.DUMMYFUNCTION("""COMPUTED_VALUE"""),"requires attunement by a Spellcaster")</f>
        <v>requires attunement by a Spellcaster</v>
      </c>
      <c r="F46" s="10" t="str">
        <f>IFERROR(__xludf.DUMMYFUNCTION("""COMPUTED_VALUE"""),"1d6 Bludgeoning")</f>
        <v>1d6 Bludgeoning</v>
      </c>
      <c r="G46" s="10" t="str">
        <f>IFERROR(__xludf.DUMMYFUNCTION("""COMPUTED_VALUE"""),"Versatile (1d8)")</f>
        <v>Versatile (1d8)</v>
      </c>
      <c r="H46" s="10" t="str">
        <f>IFERROR(__xludf.DUMMYFUNCTION("""COMPUTED_VALUE"""),"Mastery: Topple")</f>
        <v>Mastery: Topple</v>
      </c>
      <c r="I46" s="10" t="str">
        <f>IFERROR(__xludf.DUMMYFUNCTION("""COMPUTED_VALUE"""),"Bound into this staff is a cantrip. The cantrip is determined when the staff is created and can be of any school of magic. The staff has 6 charges and regains 1d6 expended charges daily at dawn. While holding the staff, you can expend 1 charge to cast its"&amp;" spell. If you expend the staff's last charge, roll 1d20. On a 1, the staff loses its properties and becomes a nonmagical Quarterstaff.The spell's saving throw DC is 13, and its attack bonus is +5. Versatile. A Versatile weapon can be used with one or two"&amp;" hands. A damage value in parentheses appears with the property. The weapon deals that damage when used with two hands to make a melee attack. Mastery: Topple. If you hit a creature with this weapon, you can force the creature to make a Constitution savin"&amp;"g throw (DC 8 plus the ability modifier used to make the attack roll and your Proficiency Bonus). On a failed save, the creature has the Prone condition.")</f>
        <v>Bound into this staff is a cantrip. The cantrip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46" s="18">
        <f>IFERROR(__xludf.DUMMYFUNCTION("""COMPUTED_VALUE"""),750.0)</f>
        <v>750</v>
      </c>
    </row>
    <row r="47">
      <c r="A47" s="8" t="str">
        <f>IFERROR(__xludf.DUMMYFUNCTION("""COMPUTED_VALUE"""),"Enspelled Weapon (Cantrip)")</f>
        <v>Enspelled Weapon (Cantrip)</v>
      </c>
      <c r="B47" s="8" t="str">
        <f>IFERROR(__xludf.DUMMYFUNCTION("""COMPUTED_VALUE"""),"DMG'24")</f>
        <v>DMG'24</v>
      </c>
      <c r="C47" s="8" t="str">
        <f>IFERROR(__xludf.DUMMYFUNCTION("""COMPUTED_VALUE"""),"uncommon")</f>
        <v>uncommon</v>
      </c>
      <c r="D47" s="8" t="str">
        <f>IFERROR(__xludf.DUMMYFUNCTION("""COMPUTED_VALUE"""),"Generic Variant")</f>
        <v>Generic Variant</v>
      </c>
      <c r="E47" s="8" t="str">
        <f>IFERROR(__xludf.DUMMYFUNCTION("""COMPUTED_VALUE"""),"requires attunement")</f>
        <v>requires attunement</v>
      </c>
      <c r="F47" s="8"/>
      <c r="G47" s="8"/>
      <c r="H47" s="8"/>
      <c r="I47" s="8" t="str">
        <f>IFERROR(__xludf.DUMMYFUNCTION("""COMPUTED_VALUE"""),"Bound into this weapon is a cantrip. The cantrip is determined when the weapon is created and must belong to the Conjuration, Divination, Evocation, Necromancy, or Transmutation school of magic. The weapon has 6 charges and regains 1d6 expended charges da"&amp;"ily at dawn. While holding the weapon, you can expend 1 charge to cast its spell.The spell's saving throw DC is 13, and its attack bonus is +5. 
Applied to non-magical Base Equipment.")</f>
        <v>Bound into this weapon is a cantrip. The cantrip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47" s="19">
        <f>IFERROR(__xludf.DUMMYFUNCTION("""COMPUTED_VALUE"""),750.0)</f>
        <v>750</v>
      </c>
    </row>
    <row r="48">
      <c r="A48" s="10" t="str">
        <f>IFERROR(__xludf.DUMMYFUNCTION("""COMPUTED_VALUE"""),"Feywild Shard")</f>
        <v>Feywild Shard</v>
      </c>
      <c r="B48" s="10" t="str">
        <f>IFERROR(__xludf.DUMMYFUNCTION("""COMPUTED_VALUE"""),"TCE")</f>
        <v>TCE</v>
      </c>
      <c r="C48" s="10" t="str">
        <f>IFERROR(__xludf.DUMMYFUNCTION("""COMPUTED_VALUE"""),"uncommon")</f>
        <v>uncommon</v>
      </c>
      <c r="D48" s="10" t="str">
        <f>IFERROR(__xludf.DUMMYFUNCTION("""COMPUTED_VALUE"""),"Wondrous Item, Spellcasting Focus")</f>
        <v>Wondrous Item, Spellcasting Focus</v>
      </c>
      <c r="E48" s="10" t="str">
        <f>IFERROR(__xludf.DUMMYFUNCTION("""COMPUTED_VALUE"""),"requires attunement by a sorcerer")</f>
        <v>requires attunement by a sorcerer</v>
      </c>
      <c r="F48" s="10"/>
      <c r="G48" s="10"/>
      <c r="H48" s="10"/>
      <c r="I48" s="10" t="str">
        <f>IFERROR(__xludf.DUMMYFUNCTION("""COMPUTED_VALUE"""),"This warm crystal glints with the sunset colors of the Feywild sky and evokes whispers of emotional memory. As an action, you can attach the shard to a Tiny object (such as a weapon or a piece of jewelry) or detach it. It falls off if your attunement to i"&amp;"t ends. You can use the shard as a spellcasting focus while you hold or wear it.When you use a Metamagic option on a spell while you are holding or wearing the shard, you can roll on the Wild Magic Surge table in the Player's Handbook. If the result is a "&amp;"spell, it is too wild to be affected by your Metamagic, and if it normally requires concentration, it doesn't require concentration in this case; the spell lasts for its full duration.If you don't have the Wild Magic Sorcerous Origin, once this property i"&amp;"s used to roll on the Wild Magic Surge table, it can't be used again until the next dawn.")</f>
        <v>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duration.If you don't have the Wild Magic Sorcerous Origin, once this property is used to roll on the Wild Magic Surge table, it can't be used again until the next dawn.</v>
      </c>
      <c r="L48" s="18">
        <f>IFERROR(__xludf.DUMMYFUNCTION("""COMPUTED_VALUE"""),750.0)</f>
        <v>750</v>
      </c>
    </row>
    <row r="49">
      <c r="A49" s="8" t="str">
        <f>IFERROR(__xludf.DUMMYFUNCTION("""COMPUTED_VALUE"""),"Rod of the Pact Keeper")</f>
        <v>Rod of the Pact Keeper</v>
      </c>
      <c r="B49" s="8" t="str">
        <f>IFERROR(__xludf.DUMMYFUNCTION("""COMPUTED_VALUE"""),"DMG'24")</f>
        <v>DMG'24</v>
      </c>
      <c r="C49" s="8" t="str">
        <f>IFERROR(__xludf.DUMMYFUNCTION("""COMPUTED_VALUE"""),"uncommon")</f>
        <v>uncommon</v>
      </c>
      <c r="D49" s="8" t="str">
        <f>IFERROR(__xludf.DUMMYFUNCTION("""COMPUTED_VALUE"""),"Wondrous Item, Rod")</f>
        <v>Wondrous Item, Rod</v>
      </c>
      <c r="E49" s="8" t="str">
        <f>IFERROR(__xludf.DUMMYFUNCTION("""COMPUTED_VALUE"""),"requires attunement by a warlock")</f>
        <v>requires attunement by a warlock</v>
      </c>
      <c r="F49" s="8"/>
      <c r="G49" s="8"/>
      <c r="H49" s="8"/>
      <c r="I49" s="8" t="str">
        <f>IFERROR(__xludf.DUMMYFUNCTION("""COMPUTED_VALUE"""),"You can regain one spell slot as a Magic action while holding the rod. You can't use this property again until you finish a Long Rest.")</f>
        <v>You can regain one spell slot as a Magic action while holding the rod. You can't use this property again until you finish a Long Rest.</v>
      </c>
      <c r="L49" s="19">
        <f>IFERROR(__xludf.DUMMYFUNCTION("""COMPUTED_VALUE"""),750.0)</f>
        <v>750</v>
      </c>
    </row>
    <row r="50">
      <c r="A50" s="10" t="str">
        <f>IFERROR(__xludf.DUMMYFUNCTION("""COMPUTED_VALUE"""),"Spiked Shield")</f>
        <v>Spiked Shield</v>
      </c>
      <c r="B50" s="10" t="str">
        <f>IFERROR(__xludf.DUMMYFUNCTION("""COMPUTED_VALUE"""),"WttHC")</f>
        <v>WttHC</v>
      </c>
      <c r="C50" s="10" t="str">
        <f>IFERROR(__xludf.DUMMYFUNCTION("""COMPUTED_VALUE"""),"uncommon")</f>
        <v>uncommon</v>
      </c>
      <c r="D50" s="10" t="str">
        <f>IFERROR(__xludf.DUMMYFUNCTION("""COMPUTED_VALUE"""),"Shield")</f>
        <v>Shield</v>
      </c>
      <c r="E50" s="10" t="str">
        <f>IFERROR(__xludf.DUMMYFUNCTION("""COMPUTED_VALUE"""),"requires attunement")</f>
        <v>requires attunement</v>
      </c>
      <c r="F50" s="10" t="str">
        <f>IFERROR(__xludf.DUMMYFUNCTION("""COMPUTED_VALUE"""),"AC +2")</f>
        <v>AC +2</v>
      </c>
      <c r="G50" s="10"/>
      <c r="H50" s="10"/>
      <c r="I50" s="10" t="str">
        <f>IFERROR(__xludf.DUMMYFUNCTION("""COMPUTED_VALUE"""),"Crude metal spikes adorn this magic Shield. It has the following properties that you can use while holding it. Shield Bash. When you take the Attack action, you can make one of the attack rolls using the Shield against a target within 5 feet of yourself. "&amp;"Apply your Proficiency Bonus and Strength modifier to the attack roll. On a hit, the Shield deals Piercing damage equal to 2d6 plus your Strength modifier. Spike Salvo. As a Magic action, you can cause spikes to erupt from the Shield in a 30-foot Cone. Ea"&amp;"ch creature in the Cone makes a DC 13 Dexterity saving throw, taking 3d6 Piercing damage on a failed save or half as much damage on a successful one. Once this property is used, it can't be used again until the next dawn.")</f>
        <v>Crude metal spikes adorn this magic Shield. It has the following properties that you can use while holding it. Shield Bash. When you take the Attack action, you can make one of the attack rolls using the Shield against a target within 5 feet of yourself. Apply your Proficiency Bonus and Strength modifier to the attack roll. On a hit, the Shield deals Piercing damage equal to 2d6 plus your Strength modifier. Spike Salvo. As a Magic action, you can cause spikes to erupt from the Shield in a 30-foot Cone. Each creature in the Cone makes a DC 13 Dexterity saving throw, taking 3d6 Piercing damage on a failed save or half as much damage on a successful one. Once this property is used, it can't be used again until the next dawn.</v>
      </c>
      <c r="L50" s="18">
        <f>IFERROR(__xludf.DUMMYFUNCTION("""COMPUTED_VALUE"""),750.0)</f>
        <v>750</v>
      </c>
    </row>
    <row r="51">
      <c r="A51" s="8" t="str">
        <f>IFERROR(__xludf.DUMMYFUNCTION("""COMPUTED_VALUE"""),"Astromancy Archive")</f>
        <v>Astromancy Archive</v>
      </c>
      <c r="B51" s="8" t="str">
        <f>IFERROR(__xludf.DUMMYFUNCTION("""COMPUTED_VALUE"""),"TCE")</f>
        <v>TCE</v>
      </c>
      <c r="C51" s="8" t="str">
        <f>IFERROR(__xludf.DUMMYFUNCTION("""COMPUTED_VALUE"""),"rare")</f>
        <v>rare</v>
      </c>
      <c r="D51" s="8" t="str">
        <f>IFERROR(__xludf.DUMMYFUNCTION("""COMPUTED_VALUE"""),"Wondrous Item, Spellcasting Focus")</f>
        <v>Wondrous Item, Spellcasting Focus</v>
      </c>
      <c r="E51" s="8" t="str">
        <f>IFERROR(__xludf.DUMMYFUNCTION("""COMPUTED_VALUE"""),"requires attunement by a wizard")</f>
        <v>requires attunement by a wizard</v>
      </c>
      <c r="F51" s="8"/>
      <c r="G51" s="8"/>
      <c r="H51" s="8"/>
      <c r="I51" s="8" t="str">
        <f>IFERROR(__xludf.DUMMYFUNCTION("""COMPUTED_VALUE"""),"This brass disc of articulated, concentric rings unfolds into an armillary sphere. As a bonus action, you can unfold it into the sphere or back into a disc. When found, it contains the following spells, which are wizard spells for you while you are attune"&amp;"d to it: augury, divination, find the path, foresight, locate creature, and locate object. It functions as a spellbook for you, with spells encoded on the rings.While you are holding the archive, you can use it as a spellcasting focus for your wizard spel"&amp;"ls.The archive has 3 charges, and it regains 1d3 expended charges daily at dawn. You can use the charges in the following ways while holding it:If you spend 1 minute studying the archive, you can expend 1 charge to replace one of your prepared wizard spel"&amp;"ls with a different spell in the archive. The new spell must be of the divination school. When a creature you can see within 30 feet of you makes an attack roll, an ability check, or a saving throw, you can use your reaction to expend 1 charge and force t"&amp;"he creature to roll a d4 and apply the number rolled as a bonus or penalty (your choice) to the original roll. You can do this after you see the roll but before its effects are applied.")</f>
        <v>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rings.While you are holding the archive, you can use it as a spellcasting focus for your wizard spells.The archive has 3 charges, and it regains 1d3 expended charges daily at dawn. You can use the charges in the following ways while holding it:If you spend 1 minute studying the archive, you can expend 1 charge to replace one of your prepared wizard spells with a different spell in the archive. The new spell must be of the divination school.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v>
      </c>
      <c r="L51" s="19">
        <f>IFERROR(__xludf.DUMMYFUNCTION("""COMPUTED_VALUE"""),750.0)</f>
        <v>750</v>
      </c>
    </row>
    <row r="52">
      <c r="A52" s="10" t="str">
        <f>IFERROR(__xludf.DUMMYFUNCTION("""COMPUTED_VALUE"""),"Grasping Whip")</f>
        <v>Grasping Whip</v>
      </c>
      <c r="B52" s="10" t="str">
        <f>IFERROR(__xludf.DUMMYFUNCTION("""COMPUTED_VALUE"""),"BMT")</f>
        <v>BMT</v>
      </c>
      <c r="C52" s="10" t="str">
        <f>IFERROR(__xludf.DUMMYFUNCTION("""COMPUTED_VALUE"""),"rare")</f>
        <v>rare</v>
      </c>
      <c r="D52" s="10" t="str">
        <f>IFERROR(__xludf.DUMMYFUNCTION("""COMPUTED_VALUE"""),"Martial Weapon, Melee Weapon")</f>
        <v>Martial Weapon, Melee Weapon</v>
      </c>
      <c r="E52" s="10"/>
      <c r="F52" s="10" t="str">
        <f>IFERROR(__xludf.DUMMYFUNCTION("""COMPUTED_VALUE"""),"1d4 Slashing")</f>
        <v>1d4 Slashing</v>
      </c>
      <c r="G52" s="10" t="str">
        <f>IFERROR(__xludf.DUMMYFUNCTION("""COMPUTED_VALUE"""),"finesse, reach")</f>
        <v>finesse, reach</v>
      </c>
      <c r="H52" s="10"/>
      <c r="I52" s="10" t="str">
        <f>IFERROR(__xludf.DUMMYFUNCTION("""COMPUTED_VALUE""")," When you hit a creature or object that is Large or smaller with this whip, you can pull that creature or object 5 feet toward you instead of dealing damage. Finesse. When making an attack with a finesse weapon, you use your choice of your Strength or Dex"&amp;"terity modifier for the attack and damage rolls. You must use the same modifier for both rolls. Reach. This weapon adds 5 feet to your reach when you attack with it. This property also determines your reach for opportunity attacks with a reach weapon.")</f>
        <v> When you hit a creature or object that is Large or smaller with this whip, you can pull that creature or object 5 feet toward you instead of dealing damage.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L52" s="18">
        <f>IFERROR(__xludf.DUMMYFUNCTION("""COMPUTED_VALUE"""),750.0)</f>
        <v>750</v>
      </c>
    </row>
    <row r="53">
      <c r="A53" s="8" t="str">
        <f>IFERROR(__xludf.DUMMYFUNCTION("""COMPUTED_VALUE"""),"Outer Essence Shard (Lawful)")</f>
        <v>Outer Essence Shard (Lawful)</v>
      </c>
      <c r="B53" s="8" t="str">
        <f>IFERROR(__xludf.DUMMYFUNCTION("""COMPUTED_VALUE"""),"TCE")</f>
        <v>TCE</v>
      </c>
      <c r="C53" s="8" t="str">
        <f>IFERROR(__xludf.DUMMYFUNCTION("""COMPUTED_VALUE"""),"rare")</f>
        <v>rare</v>
      </c>
      <c r="D53" s="8" t="str">
        <f>IFERROR(__xludf.DUMMYFUNCTION("""COMPUTED_VALUE"""),"Wondrous Item, Spellcasting Focus")</f>
        <v>Wondrous Item, Spellcasting Focus</v>
      </c>
      <c r="E53" s="8" t="str">
        <f>IFERROR(__xludf.DUMMYFUNCTION("""COMPUTED_VALUE"""),"requires attunement by a sorcerer")</f>
        <v>requires attunement by a sorcerer</v>
      </c>
      <c r="F53" s="8"/>
      <c r="G53" s="8"/>
      <c r="H53" s="8"/>
      <c r="I53"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can end one of the following conditions affecting yourself or one creature you can see within "&amp;"30 feet of you: charmed, blinded, deafened, frightened, poisoned, or stunned.")</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can end one of the following conditions affecting yourself or one creature you can see within 30 feet of you: charmed, blinded, deafened, frightened, poisoned, or stunned.</v>
      </c>
      <c r="L53" s="19">
        <f>IFERROR(__xludf.DUMMYFUNCTION("""COMPUTED_VALUE"""),750.0)</f>
        <v>750</v>
      </c>
    </row>
    <row r="54">
      <c r="A54" s="10" t="str">
        <f>IFERROR(__xludf.DUMMYFUNCTION("""COMPUTED_VALUE"""),"Protective Verses")</f>
        <v>Protective Verses</v>
      </c>
      <c r="B54" s="10" t="str">
        <f>IFERROR(__xludf.DUMMYFUNCTION("""COMPUTED_VALUE"""),"TCE")</f>
        <v>TCE</v>
      </c>
      <c r="C54" s="10" t="str">
        <f>IFERROR(__xludf.DUMMYFUNCTION("""COMPUTED_VALUE"""),"rare")</f>
        <v>rare</v>
      </c>
      <c r="D54" s="10" t="str">
        <f>IFERROR(__xludf.DUMMYFUNCTION("""COMPUTED_VALUE"""),"Wondrous Item, Spellcasting Focus")</f>
        <v>Wondrous Item, Spellcasting Focus</v>
      </c>
      <c r="E54" s="10" t="str">
        <f>IFERROR(__xludf.DUMMYFUNCTION("""COMPUTED_VALUE"""),"requires attunement by a wizard")</f>
        <v>requires attunement by a wizard</v>
      </c>
      <c r="F54" s="10"/>
      <c r="G54" s="10"/>
      <c r="H54" s="10"/>
      <c r="I54" s="10" t="str">
        <f>IFERROR(__xludf.DUMMYFUNCTION("""COMPUTED_VALUE"""),"This leather-bound spellbook is reinforced with iron and silver fittings and an iron lock (DC 20 to open). As an action, you can touch the book's cover and cause it to lock as if you cast arcane lock on it. When found, the book contains the following spel"&amp;"ls: arcane lock, dispel magic, globe of invulnerability, glyph of warding, Mordenkainen's private sanctum, protection from evil, and symbol. It functions as a spellbook for you. While you are holding the book, you can use it as a spellcasting focus for yo"&amp;"ur wizard spells. The book has 3 charges, and it regains 1d3 expended charges daily at dawn. You can use the charges in the following ways while holding it:If you spend 1 minute studying the book, you can expend 1 charge to replace one of your prepared wi"&amp;"zard spells with a different spell in the book. The new spell must be of the abjuration school. When you cast an abjuration spell, you can expend 1 charge to grant a creature you can see within 30 feet of you 2d10 temporary hit points.")</f>
        <v>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symbol.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abjuration school. When you cast an abjuration spell, you can expend 1 charge to grant a creature you can see within 30 feet of you 2d10 temporary hit points.</v>
      </c>
      <c r="L54" s="18">
        <f>IFERROR(__xludf.DUMMYFUNCTION("""COMPUTED_VALUE"""),750.0)</f>
        <v>750</v>
      </c>
    </row>
    <row r="55">
      <c r="A55" s="8" t="str">
        <f>IFERROR(__xludf.DUMMYFUNCTION("""COMPUTED_VALUE"""),"Armor of Safeguarding")</f>
        <v>Armor of Safeguarding</v>
      </c>
      <c r="B55" s="8" t="str">
        <f>IFERROR(__xludf.DUMMYFUNCTION("""COMPUTED_VALUE"""),"BGG")</f>
        <v>BGG</v>
      </c>
      <c r="C55" s="8" t="str">
        <f>IFERROR(__xludf.DUMMYFUNCTION("""COMPUTED_VALUE"""),"very rare")</f>
        <v>very rare</v>
      </c>
      <c r="D55" s="8" t="str">
        <f>IFERROR(__xludf.DUMMYFUNCTION("""COMPUTED_VALUE"""),"Generic Variant")</f>
        <v>Generic Variant</v>
      </c>
      <c r="E55" s="8" t="str">
        <f>IFERROR(__xludf.DUMMYFUNCTION("""COMPUTED_VALUE"""),"requires attunement")</f>
        <v>requires attunement</v>
      </c>
      <c r="F55" s="8"/>
      <c r="G55" s="8"/>
      <c r="H55" s="8"/>
      <c r="I55" s="8" t="str">
        <f>IFERROR(__xludf.DUMMYFUNCTION("""COMPUTED_VALUE"""),"Set in the center of this armor's chest is a citrine engraved with the shield rune.While wearing this armor, your hit point maximum increases by an amount equal to 10 + your level. Invoking the Rune. As an action, you can invoke the armor's rune to cast t"&amp;"he beacon of hope spell with it; the spell has a duration of 1 minute and doesn't require concentration. Once the rune has been invoked, it can't be invoked again until the next dawn. 
Applied to non-magical Base Equipment.")</f>
        <v>Set in the center of this armor's chest is a citrine engraved with the shield rune.While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 
Applied to non-magical Base Equipment.</v>
      </c>
      <c r="L55" s="19">
        <f>IFERROR(__xludf.DUMMYFUNCTION("""COMPUTED_VALUE"""),750.0)</f>
        <v>750</v>
      </c>
    </row>
    <row r="56">
      <c r="A56" s="10" t="str">
        <f>IFERROR(__xludf.DUMMYFUNCTION("""COMPUTED_VALUE"""),"Crystalline Chronicle")</f>
        <v>Crystalline Chronicle</v>
      </c>
      <c r="B56" s="10" t="str">
        <f>IFERROR(__xludf.DUMMYFUNCTION("""COMPUTED_VALUE"""),"TCE")</f>
        <v>TCE</v>
      </c>
      <c r="C56" s="10" t="str">
        <f>IFERROR(__xludf.DUMMYFUNCTION("""COMPUTED_VALUE"""),"very rare")</f>
        <v>very rare</v>
      </c>
      <c r="D56" s="10" t="str">
        <f>IFERROR(__xludf.DUMMYFUNCTION("""COMPUTED_VALUE"""),"Wondrous Item, Spellcasting Focus")</f>
        <v>Wondrous Item, Spellcasting Focus</v>
      </c>
      <c r="E56" s="10" t="str">
        <f>IFERROR(__xludf.DUMMYFUNCTION("""COMPUTED_VALUE"""),"requires attunement by a wizard")</f>
        <v>requires attunement by a wizard</v>
      </c>
      <c r="F56" s="10"/>
      <c r="G56" s="10"/>
      <c r="H56" s="10"/>
      <c r="I56" s="10" t="str">
        <f>IFERROR(__xludf.DUMMYFUNCTION("""COMPUTED_VALUE"""),"An etched crystal sphere the size of a grapefruit hums faintly and pulses with irregular flares of inner light. While you are touching the crystal, you can retrieve and store information and spells within the crystal at the same rate as reading and writin"&amp;"g. When found, the crystal contains the following spells: detect thoughts, intellect fortress, Rary's telepathic bond, sending, telekinesis, Tasha's mind whip, and Tenser's floating disk. It functions as a spellbook for you, with its spells and other writ"&amp;"ing psychically encoded within it.While you are holding the crystal, you can use it as a spellcasting focus for your wizard spells, and you know the mage hand, mind sliver (appears in this book), and message cantrips if you don't already know them.The cry"&amp;"stal has 3 charges, and it regains 1d3 expended charges daily at dawn. You can use the charges in the following ways while holding it:If you spend 1 minute studying the information within the crystal, you can expend 1 charge to replace one of your prepare"&amp;"d wizard spells with a different spell in the book.When you cast a wizard spell, you can expend 1 charge to cast the spell without verbal, somatic, or material components of up to 100 gp value.")</f>
        <v>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it.While you are holding the crystal, you can use it as a spellcasting focus for your wizard spells, and you know the mage hand, mind sliver (appears in this book), and message cantrips if you don't already know them.The crystal has 3 charges, and it regains 1d3 expended charges daily at dawn. You can use the charges in the following ways while holding it:If you spend 1 minute studying the information within the crystal, you can expend 1 charge to replace one of your prepared wizard spells with a different spell in the book.When you cast a wizard spell, you can expend 1 charge to cast the spell without verbal, somatic, or material components of up to 100 gp value.</v>
      </c>
      <c r="L56" s="18">
        <f>IFERROR(__xludf.DUMMYFUNCTION("""COMPUTED_VALUE"""),750.0)</f>
        <v>750</v>
      </c>
    </row>
    <row r="57">
      <c r="A57" s="8" t="str">
        <f>IFERROR(__xludf.DUMMYFUNCTION("""COMPUTED_VALUE"""),"Wand of Entangle")</f>
        <v>Wand of Entangle</v>
      </c>
      <c r="B57" s="8" t="str">
        <f>IFERROR(__xludf.DUMMYFUNCTION("""COMPUTED_VALUE"""),"TftYP")</f>
        <v>TftYP</v>
      </c>
      <c r="C57" s="8" t="str">
        <f>IFERROR(__xludf.DUMMYFUNCTION("""COMPUTED_VALUE"""),"uncommon")</f>
        <v>uncommon</v>
      </c>
      <c r="D57" s="8" t="str">
        <f>IFERROR(__xludf.DUMMYFUNCTION("""COMPUTED_VALUE"""),"Wand")</f>
        <v>Wand</v>
      </c>
      <c r="E57" s="8" t="str">
        <f>IFERROR(__xludf.DUMMYFUNCTION("""COMPUTED_VALUE"""),"requires attunement by a spellcaster")</f>
        <v>requires attunement by a spellcaster</v>
      </c>
      <c r="F57" s="8"/>
      <c r="G57" s="8"/>
      <c r="H57" s="8"/>
      <c r="I57" s="8" t="str">
        <f>IFERROR(__xludf.DUMMYFUNCTION("""COMPUTED_VALUE"""),"This wand has 7 charges. While holding it, you can use an action to expend 1 of its charges to cast the entangle spell (save DC 13) from it.The wand regains 1d6 + 1 expended charges daily at dawn. If you expend the wand's last charge, roll a d20. On a 1, "&amp;"the wand crumbles into ashes and is destroyed.")</f>
        <v>This wand has 7 charges. While holding it, you can use an action to expend 1 of its charges to cast the entangle spell (save DC 13) from it.The wand regains 1d6 + 1 expended charges daily at dawn. If you expend the wand's last charge, roll a d20. On a 1, the wand crumbles into ashes and is destroyed.</v>
      </c>
      <c r="L57" s="19">
        <f>IFERROR(__xludf.DUMMYFUNCTION("""COMPUTED_VALUE"""),800.0)</f>
        <v>800</v>
      </c>
    </row>
    <row r="58">
      <c r="A58" s="10" t="str">
        <f>IFERROR(__xludf.DUMMYFUNCTION("""COMPUTED_VALUE"""),"Elemental Essence Shard (Fire)")</f>
        <v>Elemental Essence Shard (Fire)</v>
      </c>
      <c r="B58" s="10" t="str">
        <f>IFERROR(__xludf.DUMMYFUNCTION("""COMPUTED_VALUE"""),"TCE")</f>
        <v>TCE</v>
      </c>
      <c r="C58" s="10" t="str">
        <f>IFERROR(__xludf.DUMMYFUNCTION("""COMPUTED_VALUE"""),"rare")</f>
        <v>rare</v>
      </c>
      <c r="D58" s="10" t="str">
        <f>IFERROR(__xludf.DUMMYFUNCTION("""COMPUTED_VALUE"""),"Wondrous Item, Spellcasting Focus")</f>
        <v>Wondrous Item, Spellcasting Focus</v>
      </c>
      <c r="E58" s="10" t="str">
        <f>IFERROR(__xludf.DUMMYFUNCTION("""COMPUTED_VALUE"""),"requires attunement by a sorcerer")</f>
        <v>requires attunement by a sorcerer</v>
      </c>
      <c r="F58" s="10"/>
      <c r="G58" s="10"/>
      <c r="H58" s="10"/>
      <c r="I58"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One target of the spell that you can see catches fire. The burning target takes 2d1"&amp;"0 fire damage at the start of its next turn, and then the flames go out.")</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One target of the spell that you can see catches fire. The burning target takes 2d10 fire damage at the start of its next turn, and then the flames go out.</v>
      </c>
      <c r="L58" s="18">
        <f>IFERROR(__xludf.DUMMYFUNCTION("""COMPUTED_VALUE"""),800.0)</f>
        <v>800</v>
      </c>
    </row>
    <row r="59">
      <c r="A59" s="8" t="str">
        <f>IFERROR(__xludf.DUMMYFUNCTION("""COMPUTED_VALUE"""),"Far Realm Shard")</f>
        <v>Far Realm Shard</v>
      </c>
      <c r="B59" s="8" t="str">
        <f>IFERROR(__xludf.DUMMYFUNCTION("""COMPUTED_VALUE"""),"TCE")</f>
        <v>TCE</v>
      </c>
      <c r="C59" s="8" t="str">
        <f>IFERROR(__xludf.DUMMYFUNCTION("""COMPUTED_VALUE"""),"rare")</f>
        <v>rare</v>
      </c>
      <c r="D59" s="8" t="str">
        <f>IFERROR(__xludf.DUMMYFUNCTION("""COMPUTED_VALUE"""),"Wondrous Item, Spellcasting Focus")</f>
        <v>Wondrous Item, Spellcasting Focus</v>
      </c>
      <c r="E59" s="8" t="str">
        <f>IFERROR(__xludf.DUMMYFUNCTION("""COMPUTED_VALUE"""),"requires attunement by a sorcerer")</f>
        <v>requires attunement by a sorcerer</v>
      </c>
      <c r="F59" s="8"/>
      <c r="G59" s="8"/>
      <c r="H59" s="8"/>
      <c r="I59" s="8" t="str">
        <f>IFERROR(__xludf.DUMMYFUNCTION("""COMPUTED_VALUE"""),"This writhing crystal is steeped in the warped essence of the Far Realm. As an action, you can attach the shard to a Tiny object (such as a weapon or a piece of jewelry) or detach it. It falls off if your attunement to it ends. You can use the shard as a "&amp;"spellcasting focus while you hold or wear it.When you use a Metamagic option on a spell while you are holding or wearing the shard, you can cause a slimy tentacle to rip through the fabric of reality and strike one creature you can see within 30 feet of y"&amp;"ou. The creature must succeed on a Charisma saving throw against your spell save DC or take 3d6 psychic damage and become frightened of you until the start of your next turn.")</f>
        <v>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v>
      </c>
      <c r="L59" s="19">
        <f>IFERROR(__xludf.DUMMYFUNCTION("""COMPUTED_VALUE"""),800.0)</f>
        <v>800</v>
      </c>
    </row>
    <row r="60">
      <c r="A60" s="10" t="str">
        <f>IFERROR(__xludf.DUMMYFUNCTION("""COMPUTED_VALUE"""),"Outer Essence Shard (Chaotic)")</f>
        <v>Outer Essence Shard (Chaotic)</v>
      </c>
      <c r="B60" s="10" t="str">
        <f>IFERROR(__xludf.DUMMYFUNCTION("""COMPUTED_VALUE"""),"TCE")</f>
        <v>TCE</v>
      </c>
      <c r="C60" s="10" t="str">
        <f>IFERROR(__xludf.DUMMYFUNCTION("""COMPUTED_VALUE"""),"rare")</f>
        <v>rare</v>
      </c>
      <c r="D60" s="10" t="str">
        <f>IFERROR(__xludf.DUMMYFUNCTION("""COMPUTED_VALUE"""),"Wondrous Item, Spellcasting Focus")</f>
        <v>Wondrous Item, Spellcasting Focus</v>
      </c>
      <c r="E60" s="10" t="str">
        <f>IFERROR(__xludf.DUMMYFUNCTION("""COMPUTED_VALUE"""),"requires attunement by a sorcerer")</f>
        <v>requires attunement by a sorcerer</v>
      </c>
      <c r="F60" s="10"/>
      <c r="G60" s="10"/>
      <c r="H60" s="10"/>
      <c r="I60"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has disadvantage on attack rolls "&amp;"and ability checks made before the start of your next turn.")</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has disadvantage on attack rolls and ability checks made before the start of your next turn.</v>
      </c>
      <c r="L60" s="18">
        <f>IFERROR(__xludf.DUMMYFUNCTION("""COMPUTED_VALUE"""),800.0)</f>
        <v>800</v>
      </c>
    </row>
    <row r="61">
      <c r="A61" s="8" t="str">
        <f>IFERROR(__xludf.DUMMYFUNCTION("""COMPUTED_VALUE"""),"Outer Essence Shard (Good)")</f>
        <v>Outer Essence Shard (Good)</v>
      </c>
      <c r="B61" s="8" t="str">
        <f>IFERROR(__xludf.DUMMYFUNCTION("""COMPUTED_VALUE"""),"TCE")</f>
        <v>TCE</v>
      </c>
      <c r="C61" s="8" t="str">
        <f>IFERROR(__xludf.DUMMYFUNCTION("""COMPUTED_VALUE"""),"rare")</f>
        <v>rare</v>
      </c>
      <c r="D61" s="8" t="str">
        <f>IFERROR(__xludf.DUMMYFUNCTION("""COMPUTED_VALUE"""),"Wondrous Item, Spellcasting Focus")</f>
        <v>Wondrous Item, Spellcasting Focus</v>
      </c>
      <c r="E61" s="8" t="str">
        <f>IFERROR(__xludf.DUMMYFUNCTION("""COMPUTED_VALUE"""),"requires attunement by a sorcerer")</f>
        <v>requires attunement by a sorcerer</v>
      </c>
      <c r="F61" s="8"/>
      <c r="G61" s="8"/>
      <c r="H61" s="8"/>
      <c r="I61"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or one creature of your choice that you can see within 30 feet of you gains 3d6 temporary hit "&amp;"points.")</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or one creature of your choice that you can see within 30 feet of you gains 3d6 temporary hit points.</v>
      </c>
      <c r="L61" s="19">
        <f>IFERROR(__xludf.DUMMYFUNCTION("""COMPUTED_VALUE"""),800.0)</f>
        <v>800</v>
      </c>
    </row>
    <row r="62">
      <c r="A62" s="10" t="str">
        <f>IFERROR(__xludf.DUMMYFUNCTION("""COMPUTED_VALUE"""),"Fool's Blade")</f>
        <v>Fool's Blade</v>
      </c>
      <c r="B62" s="10" t="str">
        <f>IFERROR(__xludf.DUMMYFUNCTION("""COMPUTED_VALUE"""),"BMT")</f>
        <v>BMT</v>
      </c>
      <c r="C62" s="10" t="str">
        <f>IFERROR(__xludf.DUMMYFUNCTION("""COMPUTED_VALUE"""),"very rare")</f>
        <v>very rare</v>
      </c>
      <c r="D62" s="10" t="str">
        <f>IFERROR(__xludf.DUMMYFUNCTION("""COMPUTED_VALUE"""),"Generic Variant")</f>
        <v>Generic Variant</v>
      </c>
      <c r="E62" s="10" t="str">
        <f>IFERROR(__xludf.DUMMYFUNCTION("""COMPUTED_VALUE"""),"requires attunement")</f>
        <v>requires attunement</v>
      </c>
      <c r="F62" s="10"/>
      <c r="G62" s="10"/>
      <c r="H62" s="10"/>
      <c r="I62" s="10" t="str">
        <f>IFERROR(__xludf.DUMMYFUNCTION("""COMPUTED_VALUE"""),"This weapon appears ordinary, but it bears strong illusion magic that allows its wielder to skillfully deceive opponents. While wielding it, you also gain the following benefits:Fool's Feint. As a bonus action, you can feint, choosing a creature within 5 "&amp;"feet of you as your target. Until the start of your next turn, you have advantage on attack rolls against the target. Once this bonus action is used, it can't be used again until the next dawn.Misdirect. When a creature within 60 feet of you targets you w"&amp;"ith an attack roll, you can use your reaction to require that creature to make a DC 15 Intelligence saving throw. On a failed save, the attack instead targets another creature of your choice that is within the attacker's reach. Once this reaction has been"&amp;" used, it can't be used again until the next dawn. 
Applied to non-magical Base Equipment.")</f>
        <v>This weapon appears ordinary, but it bears strong illusion magic that allows its wielder to skillfully deceive opponents. While wielding it, you also gain the following benefits:Fool's Feint. As a bonus action, you can feint, choosing a creature within 5 feet of you as your target. Until the start of your next turn, you have advantage on attack rolls against the target. Once this bonus action is used, it can't be used again until the next dawn.Misdirect.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 
Applied to non-magical Base Equipment.</v>
      </c>
      <c r="L62" s="18">
        <f>IFERROR(__xludf.DUMMYFUNCTION("""COMPUTED_VALUE"""),800.0)</f>
        <v>800</v>
      </c>
    </row>
    <row r="63">
      <c r="A63" s="8" t="str">
        <f>IFERROR(__xludf.DUMMYFUNCTION("""COMPUTED_VALUE"""),"Poison Soaked Kukri")</f>
        <v>Poison Soaked Kukri</v>
      </c>
      <c r="B63" s="8" t="str">
        <f>IFERROR(__xludf.DUMMYFUNCTION("""COMPUTED_VALUE"""),"WttHC")</f>
        <v>WttHC</v>
      </c>
      <c r="C63" s="8" t="str">
        <f>IFERROR(__xludf.DUMMYFUNCTION("""COMPUTED_VALUE"""),"uncommon")</f>
        <v>uncommon</v>
      </c>
      <c r="D63" s="8" t="str">
        <f>IFERROR(__xludf.DUMMYFUNCTION("""COMPUTED_VALUE"""),"Simple Weapon, Melee Weapon")</f>
        <v>Simple Weapon, Melee Weapon</v>
      </c>
      <c r="E63" s="8" t="str">
        <f>IFERROR(__xludf.DUMMYFUNCTION("""COMPUTED_VALUE"""),"requires attunement")</f>
        <v>requires attunement</v>
      </c>
      <c r="F63" s="8" t="str">
        <f>IFERROR(__xludf.DUMMYFUNCTION("""COMPUTED_VALUE"""),"1d4 Piercing")</f>
        <v>1d4 Piercing</v>
      </c>
      <c r="G63" s="8" t="str">
        <f>IFERROR(__xludf.DUMMYFUNCTION("""COMPUTED_VALUE"""),"Finesse, Light, Thrown (20/60 ft.)")</f>
        <v>Finesse, Light, Thrown (20/60 ft.)</v>
      </c>
      <c r="H63" s="8" t="str">
        <f>IFERROR(__xludf.DUMMYFUNCTION("""COMPUTED_VALUE"""),"Mastery: Nick")</f>
        <v>Mastery: Nick</v>
      </c>
      <c r="I63" s="8" t="str">
        <f>IFERROR(__xludf.DUMMYFUNCTION("""COMPUTED_VALUE"""),"You can take a Bonus Action to magically coat the blade of this Dagger with poison. The poison remains for 1 minute or until an attack using this weapon hits a creature. That creature must succeed on a DC 13 Constitution saving throw or take 2d8 Poison da"&amp;"mage and have the Poisoned condition for 1 minute. This Bonus Action can't be used again this way until the next dawn. Finesse. When making an attack with a Finesse weapon, use your choice of your Strength or Dexterity modifier for the attack and damage r"&amp;"olls. You must use the same modifier for both rolls. Light. When you take the Attack action on your turn and attack with a Light weapon, you can make one extra attack as a Bonus Action later on the same turn. That extra attack must be made with a differen"&amp;"t Light weapon, and you don't add your ability modifier to the extra attack's damage unless that modifier is negative. For example, you can attack with a Shortsword in one hand and a Dagger in the other using the Attack action and a Bonus Action, but you "&amp;"don't add your Strength or Dexterity modifier to the damage roll of the Bonus Action unless that modifier is negative. Thrown. If a weapon has the Thrown property, you can throw the weapon to make a ranged attack, and you can draw that weapon as part of t"&amp;"he attack. If the weapon is a Melee weapon, use the same ability modifier for the attack and damage rolls that you use for a melee attack with that weapon. Mastery: Nick. When you make the extra attack of the Light property, you can make it as part of the"&amp;" Attack action instead of as a Bonus Action. You can make this extra attack only once per turn.")</f>
        <v>You can take a Bonus Action to magically coat the blade of this Dagger with poison. The poison remains for 1 minute or until an attack using this weapon hits a creature. That creature must succeed on a DC 13 Constitution saving throw or take 2d8 Poison damage and have the Poisoned condition for 1 minute. This Bonus Action can't be used again this way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L63" s="19">
        <f>IFERROR(__xludf.DUMMYFUNCTION("""COMPUTED_VALUE"""),850.0)</f>
        <v>850</v>
      </c>
    </row>
    <row r="64">
      <c r="A64" s="10" t="str">
        <f>IFERROR(__xludf.DUMMYFUNCTION("""COMPUTED_VALUE"""),"Astral Shard")</f>
        <v>Astral Shard</v>
      </c>
      <c r="B64" s="10" t="str">
        <f>IFERROR(__xludf.DUMMYFUNCTION("""COMPUTED_VALUE"""),"TCE")</f>
        <v>TCE</v>
      </c>
      <c r="C64" s="10" t="str">
        <f>IFERROR(__xludf.DUMMYFUNCTION("""COMPUTED_VALUE"""),"rare")</f>
        <v>rare</v>
      </c>
      <c r="D64" s="10" t="str">
        <f>IFERROR(__xludf.DUMMYFUNCTION("""COMPUTED_VALUE"""),"Wondrous Item, Spellcasting Focus")</f>
        <v>Wondrous Item, Spellcasting Focus</v>
      </c>
      <c r="E64" s="10" t="str">
        <f>IFERROR(__xludf.DUMMYFUNCTION("""COMPUTED_VALUE"""),"requires attunement by a sorcerer")</f>
        <v>requires attunement by a sorcerer</v>
      </c>
      <c r="F64" s="10"/>
      <c r="G64" s="10"/>
      <c r="H64" s="10"/>
      <c r="I64" s="10" t="str">
        <f>IFERROR(__xludf.DUMMYFUNCTION("""COMPUTED_VALUE"""),"This crystal is a solidified shard of the Astral Plane, swirling with silver mist. As an action, you can attach the shard to a Tiny object (such as a weapon or a piece of jewelry) or detach it. It falls off if your attunement to it ends. You can use the s"&amp;"hard as a spellcasting focus while you hold or wear it. When you use a Metamagic option on a spell while you are holding or wearing the shard, immediately after casting the spell you can teleport to an unoccupied space you can see within 30 feet of you.")</f>
        <v>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v>
      </c>
      <c r="L64" s="18">
        <f>IFERROR(__xludf.DUMMYFUNCTION("""COMPUTED_VALUE"""),850.0)</f>
        <v>850</v>
      </c>
    </row>
    <row r="65">
      <c r="A65" s="8" t="str">
        <f>IFERROR(__xludf.DUMMYFUNCTION("""COMPUTED_VALUE"""),"Dwarven Plate")</f>
        <v>Dwarven Plate</v>
      </c>
      <c r="B65" s="8" t="str">
        <f>IFERROR(__xludf.DUMMYFUNCTION("""COMPUTED_VALUE"""),"DMG'24")</f>
        <v>DMG'24</v>
      </c>
      <c r="C65" s="8" t="str">
        <f>IFERROR(__xludf.DUMMYFUNCTION("""COMPUTED_VALUE"""),"very rare")</f>
        <v>very rare</v>
      </c>
      <c r="D65" s="8" t="str">
        <f>IFERROR(__xludf.DUMMYFUNCTION("""COMPUTED_VALUE"""),"Generic Variant")</f>
        <v>Generic Variant</v>
      </c>
      <c r="E65" s="8"/>
      <c r="F65" s="8"/>
      <c r="G65" s="8"/>
      <c r="H65" s="8"/>
      <c r="I65" s="8" t="str">
        <f>IFERROR(__xludf.DUMMYFUNCTION("""COMPUTED_VALUE"""),"If an effect moves you against your will along the ground, you can take a Reaction to reduce the distance you are moved by up to 10 feet. 
Applied to non-magical Base Equipment.")</f>
        <v>If an effect moves you against your will along the ground, you can take a Reaction to reduce the distance you are moved by up to 10 feet. 
Applied to non-magical Base Equipment.</v>
      </c>
      <c r="L65" s="19">
        <f>IFERROR(__xludf.DUMMYFUNCTION("""COMPUTED_VALUE"""),850.0)</f>
        <v>850</v>
      </c>
    </row>
    <row r="66">
      <c r="A66" s="10" t="str">
        <f>IFERROR(__xludf.DUMMYFUNCTION("""COMPUTED_VALUE"""),"Enspelled Armor (Level 1)")</f>
        <v>Enspelled Armor (Level 1)</v>
      </c>
      <c r="B66" s="10" t="str">
        <f>IFERROR(__xludf.DUMMYFUNCTION("""COMPUTED_VALUE"""),"DMG'24")</f>
        <v>DMG'24</v>
      </c>
      <c r="C66" s="10" t="str">
        <f>IFERROR(__xludf.DUMMYFUNCTION("""COMPUTED_VALUE"""),"uncommon")</f>
        <v>uncommon</v>
      </c>
      <c r="D66" s="10" t="str">
        <f>IFERROR(__xludf.DUMMYFUNCTION("""COMPUTED_VALUE"""),"Generic Variant")</f>
        <v>Generic Variant</v>
      </c>
      <c r="E66" s="10" t="str">
        <f>IFERROR(__xludf.DUMMYFUNCTION("""COMPUTED_VALUE"""),"requires attunement")</f>
        <v>requires attunement</v>
      </c>
      <c r="F66" s="10"/>
      <c r="G66" s="10"/>
      <c r="H66" s="10"/>
      <c r="I66" s="10" t="str">
        <f>IFERROR(__xludf.DUMMYFUNCTION("""COMPUTED_VALUE"""),"Bound into this armor is a level 1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1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66" s="18">
        <f>IFERROR(__xludf.DUMMYFUNCTION("""COMPUTED_VALUE"""),900.0)</f>
        <v>900</v>
      </c>
    </row>
    <row r="67">
      <c r="A67" s="8" t="str">
        <f>IFERROR(__xludf.DUMMYFUNCTION("""COMPUTED_VALUE"""),"Enspelled Staff (Level 1)")</f>
        <v>Enspelled Staff (Level 1)</v>
      </c>
      <c r="B67" s="8" t="str">
        <f>IFERROR(__xludf.DUMMYFUNCTION("""COMPUTED_VALUE"""),"DMG'24")</f>
        <v>DMG'24</v>
      </c>
      <c r="C67" s="8" t="str">
        <f>IFERROR(__xludf.DUMMYFUNCTION("""COMPUTED_VALUE"""),"uncommon")</f>
        <v>uncommon</v>
      </c>
      <c r="D67" s="8" t="str">
        <f>IFERROR(__xludf.DUMMYFUNCTION("""COMPUTED_VALUE"""),"Simple Weapon, Melee Weapon")</f>
        <v>Simple Weapon, Melee Weapon</v>
      </c>
      <c r="E67" s="8" t="str">
        <f>IFERROR(__xludf.DUMMYFUNCTION("""COMPUTED_VALUE"""),"requires attunement by a Spellcaster")</f>
        <v>requires attunement by a Spellcaster</v>
      </c>
      <c r="F67" s="8" t="str">
        <f>IFERROR(__xludf.DUMMYFUNCTION("""COMPUTED_VALUE"""),"1d6 Bludgeoning")</f>
        <v>1d6 Bludgeoning</v>
      </c>
      <c r="G67" s="8" t="str">
        <f>IFERROR(__xludf.DUMMYFUNCTION("""COMPUTED_VALUE"""),"Versatile (1d8)")</f>
        <v>Versatile (1d8)</v>
      </c>
      <c r="H67" s="8" t="str">
        <f>IFERROR(__xludf.DUMMYFUNCTION("""COMPUTED_VALUE"""),"Mastery: Topple")</f>
        <v>Mastery: Topple</v>
      </c>
      <c r="I67" s="8" t="str">
        <f>IFERROR(__xludf.DUMMYFUNCTION("""COMPUTED_VALUE"""),"Bound into this staff is a level 1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1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67" s="19">
        <f>IFERROR(__xludf.DUMMYFUNCTION("""COMPUTED_VALUE"""),900.0)</f>
        <v>900</v>
      </c>
    </row>
    <row r="68">
      <c r="A68" s="10" t="str">
        <f>IFERROR(__xludf.DUMMYFUNCTION("""COMPUTED_VALUE"""),"Enspelled Weapon (Level 1)")</f>
        <v>Enspelled Weapon (Level 1)</v>
      </c>
      <c r="B68" s="10" t="str">
        <f>IFERROR(__xludf.DUMMYFUNCTION("""COMPUTED_VALUE"""),"DMG'24")</f>
        <v>DMG'24</v>
      </c>
      <c r="C68" s="10" t="str">
        <f>IFERROR(__xludf.DUMMYFUNCTION("""COMPUTED_VALUE"""),"uncommon")</f>
        <v>uncommon</v>
      </c>
      <c r="D68" s="10" t="str">
        <f>IFERROR(__xludf.DUMMYFUNCTION("""COMPUTED_VALUE"""),"Generic Variant")</f>
        <v>Generic Variant</v>
      </c>
      <c r="E68" s="10" t="str">
        <f>IFERROR(__xludf.DUMMYFUNCTION("""COMPUTED_VALUE"""),"requires attunement")</f>
        <v>requires attunement</v>
      </c>
      <c r="F68" s="10"/>
      <c r="G68" s="10"/>
      <c r="H68" s="10"/>
      <c r="I68" s="10" t="str">
        <f>IFERROR(__xludf.DUMMYFUNCTION("""COMPUTED_VALUE"""),"Bound into this weapon is a level 1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1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68" s="18">
        <f>IFERROR(__xludf.DUMMYFUNCTION("""COMPUTED_VALUE"""),900.0)</f>
        <v>900</v>
      </c>
    </row>
    <row r="69">
      <c r="A69" s="8" t="str">
        <f>IFERROR(__xludf.DUMMYFUNCTION("""COMPUTED_VALUE"""),"Quarterstaff of the Acrobat")</f>
        <v>Quarterstaff of the Acrobat</v>
      </c>
      <c r="B69" s="8" t="str">
        <f>IFERROR(__xludf.DUMMYFUNCTION("""COMPUTED_VALUE"""),"DMG'24")</f>
        <v>DMG'24</v>
      </c>
      <c r="C69" s="8" t="str">
        <f>IFERROR(__xludf.DUMMYFUNCTION("""COMPUTED_VALUE"""),"very rare")</f>
        <v>very rare</v>
      </c>
      <c r="D69" s="8" t="str">
        <f>IFERROR(__xludf.DUMMYFUNCTION("""COMPUTED_VALUE"""),"Simple Weapon, Melee Weapon")</f>
        <v>Simple Weapon, Melee Weapon</v>
      </c>
      <c r="E69" s="8" t="str">
        <f>IFERROR(__xludf.DUMMYFUNCTION("""COMPUTED_VALUE"""),"requires attunement")</f>
        <v>requires attunement</v>
      </c>
      <c r="F69" s="8" t="str">
        <f>IFERROR(__xludf.DUMMYFUNCTION("""COMPUTED_VALUE"""),"1d6 Bludgeoning")</f>
        <v>1d6 Bludgeoning</v>
      </c>
      <c r="G69" s="8" t="str">
        <f>IFERROR(__xludf.DUMMYFUNCTION("""COMPUTED_VALUE"""),"Thrown (30/120 ft.), Versatile (1d8)")</f>
        <v>Thrown (30/120 ft.), Versatile (1d8)</v>
      </c>
      <c r="H69" s="8" t="str">
        <f>IFERROR(__xludf.DUMMYFUNCTION("""COMPUTED_VALUE"""),"Mastery: Topple")</f>
        <v>Mastery: Topple</v>
      </c>
      <c r="I69" s="8" t="str">
        <f>IFERROR(__xludf.DUMMYFUNCTION("""COMPUTED_VALUE"""),"While holding this weapon, you can cause it to emit green Dim Light out to 10 feet, either as a Bonus Action or after you roll Initiative, or you can extinguish the light as a Bonus Action.While holding this weapon, you can take a Bonus Action to alter it"&amp;"s form, turning it into a 6-inch rod (for ease of storage) or a 10-foot pole, or reverting it a Quarterstaff; the weapon will elongate only as far as the surrounding space allows.In certain forms, the weapon has the following additional properties. Acroba"&amp;"tic Assist (Quarterstaff and 10-Foot Pole Forms Only). While holding this weapon, you have Advantage on Dexterity (Acrobatics) checks. Attack Deflection (Quarterstaff Form Only). When you are hit by an attack while holding the weapon, you can take a React"&amp;"ion to twirl the weapon around you, gaining a +5 bonus to your Armor Class against the triggering attack, potentially causing the attack to miss you. You can't use this property again until you finish a Short or Long Rest. Ranged Weapon (Quarterstaff Form"&amp;" Only). This weapon has Thrown with a normal range of 30 feet and a long range of 120 feet. Immediately after you make a ranged attack with the weapon, it flies back to your hand. Thrown. If a weapon has the Thrown property, you can throw the weapon to ma"&amp;"ke a ranged attack, and you can draw that weapon as part of the attack. If the weapon is a Melee weapon, use the same ability modifier for the attack and damage rolls that you use for a melee attack with that weapon. Versatile. A Versatile weapon can be u"&amp;"sed with one or two hands. A damage value in parentheses appears with the property. The weapon deals that damage when used with two hands to make a melee attack. Mastery: Topple. If you hit a creature with this weapon, you can force the creature to make a"&amp;" Constitution saving throw (DC 8 plus the ability modifier used to make the attack roll and your Proficiency Bonus). On a failed save, the creature has the Prone condition.")</f>
        <v>While holding this weapon, you can cause it to emit green Dim Light out to 10 feet, either as a Bonus Action or after you roll Initiative, or you can extinguish the light as a Bonus Action.While holding this weapon, you can take a Bonus Action to alter its form, turning it into a 6-inch rod (for ease of storage) or a 10-foot pole, or reverting it a Quarterstaff; the weapon will elongate only as far as the surrounding space allows.In certain forms, the weapon has the following additional properties. Acrobatic Assist (Quarterstaff and 10-Foot Pole Forms Only). While holding this weapon, you have Advantage on Dexterity (Acrobatics) checks. Attack Deflection (Quarterstaff Form Only). When you are hit by an attack while holding the weapon, you can take a Reaction to twirl the weapon around you, gaining a +5 bonus to your Armor Class against the triggering attack, potentially causing the attack to miss you. You can't use this property again until you finish a Short or Long Rest. Ranged Weapon (Quarterstaff Form Only). This weapon has Thrown with a normal range of 30 feet and a long range of 120 feet. Immediately after you make a ranged attack with the weapon, it flies back to your hand.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69" s="19">
        <f>IFERROR(__xludf.DUMMYFUNCTION("""COMPUTED_VALUE"""),900.0)</f>
        <v>900</v>
      </c>
    </row>
    <row r="70">
      <c r="A70" s="10" t="str">
        <f>IFERROR(__xludf.DUMMYFUNCTION("""COMPUTED_VALUE"""),"Dagger of Blindsight")</f>
        <v>Dagger of Blindsight</v>
      </c>
      <c r="B70" s="10" t="str">
        <f>IFERROR(__xludf.DUMMYFUNCTION("""COMPUTED_VALUE"""),"WDMM")</f>
        <v>WDMM</v>
      </c>
      <c r="C70" s="10" t="str">
        <f>IFERROR(__xludf.DUMMYFUNCTION("""COMPUTED_VALUE"""),"rare")</f>
        <v>rare</v>
      </c>
      <c r="D70" s="10" t="str">
        <f>IFERROR(__xludf.DUMMYFUNCTION("""COMPUTED_VALUE"""),"Simple Weapon, Melee Weapon")</f>
        <v>Simple Weapon, Melee Weapon</v>
      </c>
      <c r="E70" s="10" t="str">
        <f>IFERROR(__xludf.DUMMYFUNCTION("""COMPUTED_VALUE"""),"requires attunement")</f>
        <v>requires attunement</v>
      </c>
      <c r="F70" s="10" t="str">
        <f>IFERROR(__xludf.DUMMYFUNCTION("""COMPUTED_VALUE"""),"1d4 Piercing")</f>
        <v>1d4 Piercing</v>
      </c>
      <c r="G70" s="10" t="str">
        <f>IFERROR(__xludf.DUMMYFUNCTION("""COMPUTED_VALUE"""),"finesse, light, thrown (20/60 ft.)")</f>
        <v>finesse, light, thrown (20/60 ft.)</v>
      </c>
      <c r="H70" s="10"/>
      <c r="I70" s="10" t="str">
        <f>IFERROR(__xludf.DUMMYFUNCTION("""COMPUTED_VALUE"""),"This rare magic item requires attunement. A creature attuned to it gains blindsight out to a range of 30 feet. The dagger has a saw-toothed edge and a black pearl nested in its pommel. Finesse. When making an attack with a finesse weapon, you use your cho"&amp;"ice of your Strength or Dexterity modifier for the attack and damage rolls. You must use the same modifier for both rolls. Light. A light weapon is small and easy to handle, making it ideal for use when fighting with two weapons. Thrown. If a weapon has t"&amp;"he thrown property, you can throw the weapon to make a ranged attack. If the weapon is a melee weapon, you use the same ability modifier for that attack roll and damage roll that you would use for a melee attack with the weapon. For example, if you throw "&amp;"a handaxe, you use your Strength, but if you throw a dagger, you can use either your Strength or your Dexterity, since the dagger has the finesse property.")</f>
        <v>This rare magic item requires attunement. A creature attuned to it gains blindsight out to a range of 30 feet. The dagger has a saw-toothed edge and a black pearl nested in its pommel.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L70" s="18">
        <f>IFERROR(__xludf.DUMMYFUNCTION("""COMPUTED_VALUE"""),950.0)</f>
        <v>950</v>
      </c>
    </row>
    <row r="71">
      <c r="A71" s="8" t="str">
        <f>IFERROR(__xludf.DUMMYFUNCTION("""COMPUTED_VALUE"""),"Dagger of Venom")</f>
        <v>Dagger of Venom</v>
      </c>
      <c r="B71" s="8" t="str">
        <f>IFERROR(__xludf.DUMMYFUNCTION("""COMPUTED_VALUE"""),"DMG'24")</f>
        <v>DMG'24</v>
      </c>
      <c r="C71" s="8" t="str">
        <f>IFERROR(__xludf.DUMMYFUNCTION("""COMPUTED_VALUE"""),"rare")</f>
        <v>rare</v>
      </c>
      <c r="D71" s="8" t="str">
        <f>IFERROR(__xludf.DUMMYFUNCTION("""COMPUTED_VALUE"""),"Simple Weapon, Melee Weapon")</f>
        <v>Simple Weapon, Melee Weapon</v>
      </c>
      <c r="E71" s="8"/>
      <c r="F71" s="8" t="str">
        <f>IFERROR(__xludf.DUMMYFUNCTION("""COMPUTED_VALUE"""),"1d4 Piercing")</f>
        <v>1d4 Piercing</v>
      </c>
      <c r="G71" s="8" t="str">
        <f>IFERROR(__xludf.DUMMYFUNCTION("""COMPUTED_VALUE"""),"Finesse, Light, Thrown (20/60 ft.)")</f>
        <v>Finesse, Light, Thrown (20/60 ft.)</v>
      </c>
      <c r="H71" s="8" t="str">
        <f>IFERROR(__xludf.DUMMYFUNCTION("""COMPUTED_VALUE"""),"Mastery: Nick")</f>
        <v>Mastery: Nick</v>
      </c>
      <c r="I71" s="8" t="str">
        <f>IFERROR(__xludf.DUMMYFUNCTION("""COMPUTED_VALUE"""),"You can take a Bonus Action to magically coat the blade with poison. The poison remains for 1 minute or until an attack using this weapon hits a creature. That creature must succeed on a DC 15 Constitution saving throw or take 2d10 Poison damage and have "&amp;"the Poisoned condition for 1 minute. The weapon can't be used this way again until the next dawn. Finesse. When making an attack with a Finesse weapon, use your choice of your Strength or Dexterity modifier for the attack and damage rolls. You must use th"&amp;"e same modifier for both rolls. Light. When you take the Attack action on your turn and attack with a Light weapon, you can make one extra attack as a Bonus Action later on the same turn. That extra attack must be made with a different Light weapon, and y"&amp;"ou don't add your ability modifier to the extra attack's damage unless that modifier is negative. For example, you can attack with a Shortsword in one hand and a Dagger in the other using the Attack action and a Bonus Action, but you don't add your Streng"&amp;"th or Dexterity modifier to the damage roll of the Bonus Action unless that modifier is negative. Thrown. If a weapon has the Thrown property, you can throw the weapon to make a ranged attack, and you can draw that weapon as part of the attack. If the wea"&amp;"pon is a Melee weapon, use the same ability modifier for the attack and damage rolls that you use for a melee attack with that weapon. Mastery: Nick. When you make the extra attack of the Light property, you can make it as part of the Attack action instea"&amp;"d of as a Bonus Action. You can make this extra attack only once per turn.")</f>
        <v>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L71" s="19">
        <f>IFERROR(__xludf.DUMMYFUNCTION("""COMPUTED_VALUE"""),950.0)</f>
        <v>950</v>
      </c>
    </row>
    <row r="72">
      <c r="A72" s="10" t="str">
        <f>IFERROR(__xludf.DUMMYFUNCTION("""COMPUTED_VALUE"""),"Fulminating Treatise")</f>
        <v>Fulminating Treatise</v>
      </c>
      <c r="B72" s="10" t="str">
        <f>IFERROR(__xludf.DUMMYFUNCTION("""COMPUTED_VALUE"""),"TCE")</f>
        <v>TCE</v>
      </c>
      <c r="C72" s="10" t="str">
        <f>IFERROR(__xludf.DUMMYFUNCTION("""COMPUTED_VALUE"""),"rare")</f>
        <v>rare</v>
      </c>
      <c r="D72" s="10" t="str">
        <f>IFERROR(__xludf.DUMMYFUNCTION("""COMPUTED_VALUE"""),"Wondrous Item, Spellcasting Focus")</f>
        <v>Wondrous Item, Spellcasting Focus</v>
      </c>
      <c r="E72" s="10" t="str">
        <f>IFERROR(__xludf.DUMMYFUNCTION("""COMPUTED_VALUE"""),"requires attunement by a wizard")</f>
        <v>requires attunement by a wizard</v>
      </c>
      <c r="F72" s="10"/>
      <c r="G72" s="10"/>
      <c r="H72" s="10"/>
      <c r="I72" s="10" t="str">
        <f>IFERROR(__xludf.DUMMYFUNCTION("""COMPUTED_VALUE"""),"This thick, scorched spellbook reeks of smoke and ozone, and sparks of energy crackles along the edges of its pages. When found, the book contains the following spells: contingency, fireball, gust of wind, Leomund's tiny hut, magic missile, thunderwave, a"&amp;"nd wall of force. It functions as a spellbook for you. While you are holding the book, you can use it as a spellcasting focus for your wizard spells. The book has 3 charges, and it regains 1d3 expended charges daily at dawn. You can use the charges in the"&amp;" following ways while holding it:If you spend 1 minute studying the book, you can expend 1 charge to replace one of your prepared wizard spells with a different spell in the book. The new spell must be of the evocation school .When one creature you can se"&amp;"e takes damage from an evocation spell you cast, you can use your reaction and expend 1 charge to deal an extra 2d6 force damage to the creature and knock the creature prone if it is Large or smaller.")</f>
        <v>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v>
      </c>
      <c r="L72" s="18">
        <f>IFERROR(__xludf.DUMMYFUNCTION("""COMPUTED_VALUE"""),950.0)</f>
        <v>950</v>
      </c>
    </row>
    <row r="73">
      <c r="A73" s="8" t="str">
        <f>IFERROR(__xludf.DUMMYFUNCTION("""COMPUTED_VALUE"""),"Lash of Immolation")</f>
        <v>Lash of Immolation</v>
      </c>
      <c r="B73" s="8" t="str">
        <f>IFERROR(__xludf.DUMMYFUNCTION("""COMPUTED_VALUE"""),"BGG")</f>
        <v>BGG</v>
      </c>
      <c r="C73" s="8" t="str">
        <f>IFERROR(__xludf.DUMMYFUNCTION("""COMPUTED_VALUE"""),"rare")</f>
        <v>rare</v>
      </c>
      <c r="D73" s="8" t="str">
        <f>IFERROR(__xludf.DUMMYFUNCTION("""COMPUTED_VALUE"""),"Martial Weapon, Melee Weapon")</f>
        <v>Martial Weapon, Melee Weapon</v>
      </c>
      <c r="E73" s="8"/>
      <c r="F73" s="8" t="str">
        <f>IFERROR(__xludf.DUMMYFUNCTION("""COMPUTED_VALUE"""),"1d4 Slashing")</f>
        <v>1d4 Slashing</v>
      </c>
      <c r="G73" s="8" t="str">
        <f>IFERROR(__xludf.DUMMYFUNCTION("""COMPUTED_VALUE"""),"finesse, reach")</f>
        <v>finesse, reach</v>
      </c>
      <c r="H73" s="8"/>
      <c r="I73" s="8" t="str">
        <f>IFERROR(__xludf.DUMMYFUNCTION("""COMPUTED_VALUE"""),"The handle of this dark leather whip bears the fire rune, and embers dance around the whip's tail. On a hit, the whip deals an extra 1d6 fire damage. When you score a critical hit with an attack using this whip, the target also has the restrained conditio"&amp;"n until the start of your next turn, as fiery bands lash around the target. Invoking the Rune. When you make an attack with the whip and hit, you can use your reaction to invoke the whip's rune. Doing so increases the extra fire damage dealt by the whip t"&amp;"o 2d6.Once the rune has been invoked, it can't be invoked again until the next dawn. Finesse. When making an attack with a finesse weapon, you use your choice of your Strength or Dexterity modifier for the attack and damage rolls. You must use the same mo"&amp;"difier for both rolls. Reach. This weapon adds 5 feet to your reach when you attack with it. This property also determines your reach for opportunity attacks with a reach weapon.")</f>
        <v>The handle of this dark leather whip bears the fire rune, and embers dance around the whip's tail.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2d6.Once the rune has been invoked, it can't be invoked again until the next dawn.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L73" s="19">
        <f>IFERROR(__xludf.DUMMYFUNCTION("""COMPUTED_VALUE"""),950.0)</f>
        <v>950</v>
      </c>
    </row>
    <row r="74">
      <c r="A74" s="10" t="str">
        <f>IFERROR(__xludf.DUMMYFUNCTION("""COMPUTED_VALUE"""),"Libram of Souls and Flesh")</f>
        <v>Libram of Souls and Flesh</v>
      </c>
      <c r="B74" s="10" t="str">
        <f>IFERROR(__xludf.DUMMYFUNCTION("""COMPUTED_VALUE"""),"TCE")</f>
        <v>TCE</v>
      </c>
      <c r="C74" s="10" t="str">
        <f>IFERROR(__xludf.DUMMYFUNCTION("""COMPUTED_VALUE"""),"rare")</f>
        <v>rare</v>
      </c>
      <c r="D74" s="10" t="str">
        <f>IFERROR(__xludf.DUMMYFUNCTION("""COMPUTED_VALUE"""),"Wondrous Item, Spellcasting Focus")</f>
        <v>Wondrous Item, Spellcasting Focus</v>
      </c>
      <c r="E74" s="10" t="str">
        <f>IFERROR(__xludf.DUMMYFUNCTION("""COMPUTED_VALUE"""),"requires attunement by a wizard")</f>
        <v>requires attunement by a wizard</v>
      </c>
      <c r="F74" s="10"/>
      <c r="G74" s="10"/>
      <c r="H74" s="10"/>
      <c r="I74" s="10" t="str">
        <f>IFERROR(__xludf.DUMMYFUNCTION("""COMPUTED_VALUE"""),"With covers made of skin and fittings of bone, this tome is cold to the touch, and it whispers faintly. When found, the book contains the following spells, which are wizard spells for you while you are attuned to the book: animate dead, circle of death, f"&amp;"alse life, finger of death, speak with dead, summon undead, and vampiric touch. It functions as a spellbook for you.While you are holding the book, you can use it as a spellcasting focus for your wizard spells. The book has 3 charges, and it regains 1d3 e"&amp;"xpended charges daily at dawn. You can use the charges in the following ways while holding it:If you spend 1 minute studying the book, you can expend 1 charge to replace one of your prepared wizard spells with a different spell in the book. The new spell "&amp;"must be of the necromancy school. As an action, you can expend 1 charge to take on a semblance of undeath for 10 minutes. For the duration, you take on a deathly appearance, and undead creatures are indifferent to you, unless you have damaged them. You al"&amp;"so appear undead to all outward inspection and to spells used to determine the target's status. The effect ends if you deal damage or force a creature to make a saving throw.")</f>
        <v>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and vampiric touch.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necromancy school.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v>
      </c>
      <c r="L74" s="18">
        <f>IFERROR(__xludf.DUMMYFUNCTION("""COMPUTED_VALUE"""),950.0)</f>
        <v>950</v>
      </c>
    </row>
    <row r="75">
      <c r="A75" s="8" t="str">
        <f>IFERROR(__xludf.DUMMYFUNCTION("""COMPUTED_VALUE"""),"Stirring Dragon's Wrath Weapon")</f>
        <v>Stirring Dragon's Wrath Weapon</v>
      </c>
      <c r="B75" s="8" t="str">
        <f>IFERROR(__xludf.DUMMYFUNCTION("""COMPUTED_VALUE"""),"FTD")</f>
        <v>FTD</v>
      </c>
      <c r="C75" s="8" t="str">
        <f>IFERROR(__xludf.DUMMYFUNCTION("""COMPUTED_VALUE"""),"rare")</f>
        <v>rare</v>
      </c>
      <c r="D75" s="8" t="str">
        <f>IFERROR(__xludf.DUMMYFUNCTION("""COMPUTED_VALUE"""),"Generic Variant")</f>
        <v>Generic Variant</v>
      </c>
      <c r="E75" s="8" t="str">
        <f>IFERROR(__xludf.DUMMYFUNCTION("""COMPUTED_VALUE"""),"requires attunement")</f>
        <v>requires attunement</v>
      </c>
      <c r="F75" s="8"/>
      <c r="G75" s="8"/>
      <c r="H75" s="8"/>
      <c r="I75" s="8" t="str">
        <f>IFERROR(__xludf.DUMMYFUNCTION("""COMPUTED_VALUE"""),"This weapon is decorated with dragon heads, claws, wings, scales, or Draconic letters. When it steeps in a dragon's hoard, it absorbs the energy of the dragon's breath weapon and deals damage of that type with its special properties. Whenever you roll a 2"&amp;"0 on your attack roll with this weapon, each creature of your choice within 5 feet of the target takes 5 damage of the type dealt by the dragon's breath weapon. On a hit, the weapon deals an extra 1d6 damage of the type dealt by the dragon's breath weapon"&amp;". 
Applied to non-magical Base Equipment.")</f>
        <v>This weapon is decorated with dragon heads, claws, wings, scales, or Draconic letters. When it steeps in a dragon's hoard, it absorbs the energy of the dragon's breath weapon and deals damage of that type with its special properties. Whenever you roll a 20 on your attack roll with this weapon, each creature of your choice within 5 feet of the target takes 5 damage of the type dealt by the dragon's breath weapon. On a hit, the weapon deals an extra 1d6 damage of the type dealt by the dragon's breath weapon. 
Applied to non-magical Base Equipment.</v>
      </c>
      <c r="L75" s="19">
        <f>IFERROR(__xludf.DUMMYFUNCTION("""COMPUTED_VALUE"""),950.0)</f>
        <v>950</v>
      </c>
    </row>
    <row r="76">
      <c r="A76" s="10" t="str">
        <f>IFERROR(__xludf.DUMMYFUNCTION("""COMPUTED_VALUE"""),"Heart Weaver's Primer")</f>
        <v>Heart Weaver's Primer</v>
      </c>
      <c r="B76" s="10" t="str">
        <f>IFERROR(__xludf.DUMMYFUNCTION("""COMPUTED_VALUE"""),"TCE")</f>
        <v>TCE</v>
      </c>
      <c r="C76" s="10" t="str">
        <f>IFERROR(__xludf.DUMMYFUNCTION("""COMPUTED_VALUE"""),"rare")</f>
        <v>rare</v>
      </c>
      <c r="D76" s="10" t="str">
        <f>IFERROR(__xludf.DUMMYFUNCTION("""COMPUTED_VALUE"""),"Wondrous Item, Spellcasting Focus")</f>
        <v>Wondrous Item, Spellcasting Focus</v>
      </c>
      <c r="E76" s="10" t="str">
        <f>IFERROR(__xludf.DUMMYFUNCTION("""COMPUTED_VALUE"""),"requires attunement by a wizard")</f>
        <v>requires attunement by a wizard</v>
      </c>
      <c r="F76" s="10"/>
      <c r="G76" s="10"/>
      <c r="H76" s="10"/>
      <c r="I76" s="10" t="str">
        <f>IFERROR(__xludf.DUMMYFUNCTION("""COMPUTED_VALUE"""),"This pristine book smells faintly of a random scent you find pleasing. When found, the book contains the following spells: antipathy/sympathy, charm person, dominate person, enthrall, hypnotic pattern, modify memory, and suggestion. It functions as a spel"&amp;"lbook for you. While you are holding the book, you can use it as a spellcasting focus for your wizard spells. The book has 3 charges, and it regains 1d3 expended charges daily at dawn. You can use the charges in the following ways while holding it:If you "&amp;"spend 1 minute studying the book, you can expend 1 charge to replace one of your prepared wizard spells with a different spell in the book. The new spell must be of the enchantment school. When you cast an enchantment spell, you can expend 1 charge to imp"&amp;"ose disadvantage on the first saving throw one target makes against the spell.")</f>
        <v>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v>
      </c>
      <c r="L76" s="18">
        <f>IFERROR(__xludf.DUMMYFUNCTION("""COMPUTED_VALUE"""),1000.0)</f>
        <v>1000</v>
      </c>
    </row>
    <row r="77">
      <c r="A77" s="8" t="str">
        <f>IFERROR(__xludf.DUMMYFUNCTION("""COMPUTED_VALUE"""),"Mizzium Armor")</f>
        <v>Mizzium Armor</v>
      </c>
      <c r="B77" s="8" t="str">
        <f>IFERROR(__xludf.DUMMYFUNCTION("""COMPUTED_VALUE"""),"GGR")</f>
        <v>GGR</v>
      </c>
      <c r="C77" s="8" t="str">
        <f>IFERROR(__xludf.DUMMYFUNCTION("""COMPUTED_VALUE"""),"rare")</f>
        <v>rare</v>
      </c>
      <c r="D77" s="8" t="str">
        <f>IFERROR(__xludf.DUMMYFUNCTION("""COMPUTED_VALUE"""),"Generic Variant")</f>
        <v>Generic Variant</v>
      </c>
      <c r="E77" s="8"/>
      <c r="F77" s="8"/>
      <c r="G77" s="8"/>
      <c r="H77" s="8"/>
      <c r="I77" s="8" t="str">
        <f>IFERROR(__xludf.DUMMYFUNCTION("""COMPUTED_VALUE"""),"This suit of armor is reinforced with a magically enhanced metal alloy called mizzium, which is made in Izzet foundries. While you're wearing the armor, any critical hit against you becomes a normal hit. In addition, when you are subjected to a magical ef"&amp;"fect that allows you to make a Strength or Constitution saving throw to take only half damage, you instead take no damage if you succeed on the saving throw. 
Applied to non-magical Base Equipment.")</f>
        <v>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 
Applied to non-magical Base Equipment.</v>
      </c>
      <c r="L77" s="19">
        <f>IFERROR(__xludf.DUMMYFUNCTION("""COMPUTED_VALUE"""),1000.0)</f>
        <v>1000</v>
      </c>
    </row>
    <row r="78">
      <c r="A78" s="10" t="str">
        <f>IFERROR(__xludf.DUMMYFUNCTION("""COMPUTED_VALUE"""),"Outer Essence Shard (Evil)")</f>
        <v>Outer Essence Shard (Evil)</v>
      </c>
      <c r="B78" s="10" t="str">
        <f>IFERROR(__xludf.DUMMYFUNCTION("""COMPUTED_VALUE"""),"TCE")</f>
        <v>TCE</v>
      </c>
      <c r="C78" s="10" t="str">
        <f>IFERROR(__xludf.DUMMYFUNCTION("""COMPUTED_VALUE"""),"rare")</f>
        <v>rare</v>
      </c>
      <c r="D78" s="10" t="str">
        <f>IFERROR(__xludf.DUMMYFUNCTION("""COMPUTED_VALUE"""),"Wondrous Item, Spellcasting Focus")</f>
        <v>Wondrous Item, Spellcasting Focus</v>
      </c>
      <c r="E78" s="10" t="str">
        <f>IFERROR(__xludf.DUMMYFUNCTION("""COMPUTED_VALUE"""),"requires attunement by a sorcerer")</f>
        <v>requires attunement by a sorcerer</v>
      </c>
      <c r="F78" s="10"/>
      <c r="G78" s="10"/>
      <c r="H78" s="10"/>
      <c r="I78"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takes an extra 3d6 necrotic damag"&amp;"e.")</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takes an extra 3d6 necrotic damage.</v>
      </c>
      <c r="L78" s="18">
        <f>IFERROR(__xludf.DUMMYFUNCTION("""COMPUTED_VALUE"""),1000.0)</f>
        <v>1000</v>
      </c>
    </row>
    <row r="79">
      <c r="A79" s="8" t="str">
        <f>IFERROR(__xludf.DUMMYFUNCTION("""COMPUTED_VALUE"""),"Planecaller's Codex")</f>
        <v>Planecaller's Codex</v>
      </c>
      <c r="B79" s="8" t="str">
        <f>IFERROR(__xludf.DUMMYFUNCTION("""COMPUTED_VALUE"""),"TCE")</f>
        <v>TCE</v>
      </c>
      <c r="C79" s="8" t="str">
        <f>IFERROR(__xludf.DUMMYFUNCTION("""COMPUTED_VALUE"""),"rare")</f>
        <v>rare</v>
      </c>
      <c r="D79" s="8" t="str">
        <f>IFERROR(__xludf.DUMMYFUNCTION("""COMPUTED_VALUE"""),"Wondrous Item, Spellcasting Focus")</f>
        <v>Wondrous Item, Spellcasting Focus</v>
      </c>
      <c r="E79" s="8" t="str">
        <f>IFERROR(__xludf.DUMMYFUNCTION("""COMPUTED_VALUE"""),"requires attunement by a wizard")</f>
        <v>requires attunement by a wizard</v>
      </c>
      <c r="F79" s="8"/>
      <c r="G79" s="8"/>
      <c r="H79" s="8"/>
      <c r="I79" s="8" t="str">
        <f>IFERROR(__xludf.DUMMYFUNCTION("""COMPUTED_VALUE"""),"The pages of this book are bound in fiend hide, and its cover is embossed with a diagram of the Great Wheel of the multiverse. When found, the book contains the following spells: banishment, find familiar, gate, magic circle, planar binding, and summon el"&amp;"emental. It functions as a spellbook for you. While you are holding the book, you can use it as a spellcasting focus for your wizard spells. The book has 3 charges, and it regains 1d3 expended charges daily at dawn. You can use the charges in the followin"&amp;"g ways while holding it:If you spend 1 minute studying the book, you can expend 1 charge to replace one of your prepared wizard spells with a different spell in the book. The new spell must be of the conjuration school. When you cast a conjuration spell t"&amp;"hat summons or creates one creature, you can expend 1 charge to grant that creature advantage on attack rolls for 1 minute.")</f>
        <v>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cast a conjuration spell that summons or creates one creature, you can expend 1 charge to grant that creature advantage on attack rolls for 1 minute.</v>
      </c>
      <c r="L79" s="19">
        <f>IFERROR(__xludf.DUMMYFUNCTION("""COMPUTED_VALUE"""),1000.0)</f>
        <v>1000</v>
      </c>
    </row>
    <row r="80">
      <c r="A80" s="10" t="str">
        <f>IFERROR(__xludf.DUMMYFUNCTION("""COMPUTED_VALUE"""),"Animated Shield")</f>
        <v>Animated Shield</v>
      </c>
      <c r="B80" s="10" t="str">
        <f>IFERROR(__xludf.DUMMYFUNCTION("""COMPUTED_VALUE"""),"DMG'24")</f>
        <v>DMG'24</v>
      </c>
      <c r="C80" s="10" t="str">
        <f>IFERROR(__xludf.DUMMYFUNCTION("""COMPUTED_VALUE"""),"very rare")</f>
        <v>very rare</v>
      </c>
      <c r="D80" s="10" t="str">
        <f>IFERROR(__xludf.DUMMYFUNCTION("""COMPUTED_VALUE"""),"Shield")</f>
        <v>Shield</v>
      </c>
      <c r="E80" s="10" t="str">
        <f>IFERROR(__xludf.DUMMYFUNCTION("""COMPUTED_VALUE"""),"requires attunement")</f>
        <v>requires attunement</v>
      </c>
      <c r="F80" s="10" t="str">
        <f>IFERROR(__xludf.DUMMYFUNCTION("""COMPUTED_VALUE"""),"AC +2")</f>
        <v>AC +2</v>
      </c>
      <c r="G80" s="10"/>
      <c r="H80" s="10"/>
      <c r="I80" s="10" t="str">
        <f>IFERROR(__xludf.DUMMYFUNCTION("""COMPUTED_VALUE"""),"While holding this Shield, you can take a Bonus Action to cause it to animate. The Shield leaps into the air and hovers in your space to protect you as if you were wielding it, leaving your hands free. The Shield remains animate for 1 minute, until you ta"&amp;"ke a Bonus Action to end this effect, or until you die or have the Incapacitated condition, at which point the Shield falls to the ground or into your hand if you have one free.")</f>
        <v>While holding this Shield, you can take a Bonus Action to cause it to animate. The Shield leaps into the air and hovers in your space to protect you as if you were wielding it, leaving your hands free. The Shield remains animate for 1 minute, until you take a Bonus Action to end this effect, or until you die or have the Incapacitated condition, at which point the Shield falls to the ground or into your hand if you have one free.</v>
      </c>
      <c r="L80" s="18">
        <f>IFERROR(__xludf.DUMMYFUNCTION("""COMPUTED_VALUE"""),1000.0)</f>
        <v>1000</v>
      </c>
    </row>
    <row r="81">
      <c r="A81" s="8" t="str">
        <f>IFERROR(__xludf.DUMMYFUNCTION("""COMPUTED_VALUE"""),"Scimitar of Speed")</f>
        <v>Scimitar of Speed</v>
      </c>
      <c r="B81" s="8" t="str">
        <f>IFERROR(__xludf.DUMMYFUNCTION("""COMPUTED_VALUE"""),"DMG'24")</f>
        <v>DMG'24</v>
      </c>
      <c r="C81" s="8" t="str">
        <f>IFERROR(__xludf.DUMMYFUNCTION("""COMPUTED_VALUE"""),"very rare")</f>
        <v>very rare</v>
      </c>
      <c r="D81" s="8" t="str">
        <f>IFERROR(__xludf.DUMMYFUNCTION("""COMPUTED_VALUE"""),"Martial Weapon, Melee Weapon")</f>
        <v>Martial Weapon, Melee Weapon</v>
      </c>
      <c r="E81" s="8" t="str">
        <f>IFERROR(__xludf.DUMMYFUNCTION("""COMPUTED_VALUE"""),"requires attunement")</f>
        <v>requires attunement</v>
      </c>
      <c r="F81" s="8" t="str">
        <f>IFERROR(__xludf.DUMMYFUNCTION("""COMPUTED_VALUE"""),"1d6 Slashing")</f>
        <v>1d6 Slashing</v>
      </c>
      <c r="G81" s="8" t="str">
        <f>IFERROR(__xludf.DUMMYFUNCTION("""COMPUTED_VALUE"""),"Finesse, Light")</f>
        <v>Finesse, Light</v>
      </c>
      <c r="H81" s="8" t="str">
        <f>IFERROR(__xludf.DUMMYFUNCTION("""COMPUTED_VALUE"""),"Mastery: Nick")</f>
        <v>Mastery: Nick</v>
      </c>
      <c r="I81" s="8" t="str">
        <f>IFERROR(__xludf.DUMMYFUNCTION("""COMPUTED_VALUE"""),"You can make one attack with it as a Bonus Action on each of your turns. Finesse. When making an attack with a Finesse weapon, use your choice of your Strength or Dexterity modifier for the attack and damage rolls. You must use the same modifier for both "&amp;"rolls. Light. When you take the Attack action on your turn and attack with a Light weapon, you can make one extra attack as a Bonus Action later on the same turn. That extra attack must be made with a different Light weapon, and you don't add your ability"&amp;" modifier to the extra attack's damage unless that modifier is negative. For example, you can attack with a Shortsword in one hand and a Dagger in the other using the Attack action and a Bonus Action, but you don't add your Strength or Dexterity modifier "&amp;"to the damage roll of the Bonus Action unless that modifier is negative. Mastery: Nick. When you make the extra attack of the Light property, you can make it as part of the Attack action instead of as a Bonus Action. You can make this extra attack only on"&amp;"ce per turn.")</f>
        <v>You can make one attack with it as a Bonus Action on each of your turns.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v>
      </c>
      <c r="L81" s="19">
        <f>IFERROR(__xludf.DUMMYFUNCTION("""COMPUTED_VALUE"""),1000.0)</f>
        <v>1000</v>
      </c>
    </row>
    <row r="82">
      <c r="A82" s="10" t="str">
        <f>IFERROR(__xludf.DUMMYFUNCTION("""COMPUTED_VALUE"""),"Starshot Crossbow")</f>
        <v>Starshot Crossbow</v>
      </c>
      <c r="B82" s="10" t="str">
        <f>IFERROR(__xludf.DUMMYFUNCTION("""COMPUTED_VALUE"""),"BMT")</f>
        <v>BMT</v>
      </c>
      <c r="C82" s="10" t="str">
        <f>IFERROR(__xludf.DUMMYFUNCTION("""COMPUTED_VALUE"""),"rare")</f>
        <v>rare</v>
      </c>
      <c r="D82" s="10" t="str">
        <f>IFERROR(__xludf.DUMMYFUNCTION("""COMPUTED_VALUE"""),"Generic Variant")</f>
        <v>Generic Variant</v>
      </c>
      <c r="E82" s="10" t="str">
        <f>IFERROR(__xludf.DUMMYFUNCTION("""COMPUTED_VALUE"""),"requires attunement")</f>
        <v>requires attunement</v>
      </c>
      <c r="F82" s="10"/>
      <c r="G82" s="10"/>
      <c r="H82" s="10"/>
      <c r="I82" s="10" t="str">
        <f>IFERROR(__xludf.DUMMYFUNCTION("""COMPUTED_VALUE"""),"This crossbow is crafted from blackened wood, and its limbs bear pearl inlays depicting constellations. You ignore the loading property with this crossbow. If you load no ammunition in the weapon, it produces its own, automatically creating one piece of m"&amp;"agic ammunition when you make a ranged attack with it. The ammunition created by the weapon vanishes the instant after it hits or misses a target. The crossbow has 3 charges and regains 1d3 expended charges daily at dawn. Constellations. The crossbow is d"&amp;"ecorated with three constellations. As a bonus action, you can tap one of the constellations to invoke it, expending 1 charge and producing one of the following effects:Balance. The next time you hit a creature with a ranged attack roll using this crossbo"&amp;"w before the end of your next turn, you or another creature of your choice within 30 feet of you can regain hit points equal to 1d8 plus your proficiency bonus. Flames. Until the end of your next turn, when you hit a creature with a ranged attack roll usi"&amp;"ng this crossbow, the attack deals an additional 2d8 fire damage. Rogue. Until the end of your next turn, you have the invisible condition, and anything you are wearing or carrying is also invisible. 
Applied to non-magical Base Equipment.")</f>
        <v>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 
Applied to non-magical Base Equipment.</v>
      </c>
      <c r="L82" s="18">
        <f>IFERROR(__xludf.DUMMYFUNCTION("""COMPUTED_VALUE"""),1100.0)</f>
        <v>1100</v>
      </c>
    </row>
    <row r="83">
      <c r="A83" s="8" t="str">
        <f>IFERROR(__xludf.DUMMYFUNCTION("""COMPUTED_VALUE"""),"Fate Cutter Shears")</f>
        <v>Fate Cutter Shears</v>
      </c>
      <c r="B83" s="8" t="str">
        <f>IFERROR(__xludf.DUMMYFUNCTION("""COMPUTED_VALUE"""),"BMT")</f>
        <v>BMT</v>
      </c>
      <c r="C83" s="8" t="str">
        <f>IFERROR(__xludf.DUMMYFUNCTION("""COMPUTED_VALUE"""),"very rare")</f>
        <v>very rare</v>
      </c>
      <c r="D83" s="8" t="str">
        <f>IFERROR(__xludf.DUMMYFUNCTION("""COMPUTED_VALUE"""),"Simple Weapon, Melee Weapon")</f>
        <v>Simple Weapon, Melee Weapon</v>
      </c>
      <c r="E83" s="8" t="str">
        <f>IFERROR(__xludf.DUMMYFUNCTION("""COMPUTED_VALUE"""),"requires attunement")</f>
        <v>requires attunement</v>
      </c>
      <c r="F83" s="8" t="str">
        <f>IFERROR(__xludf.DUMMYFUNCTION("""COMPUTED_VALUE"""),"1d4 Piercing")</f>
        <v>1d4 Piercing</v>
      </c>
      <c r="G83" s="8" t="str">
        <f>IFERROR(__xludf.DUMMYFUNCTION("""COMPUTED_VALUE"""),"finesse, light, thrown (20/60 ft.)")</f>
        <v>finesse, light, thrown (20/60 ft.)</v>
      </c>
      <c r="H83" s="8"/>
      <c r="I83" s="8" t="str">
        <f>IFERROR(__xludf.DUMMYFUNCTION("""COMPUTED_VALUE"""),"The blades of these pruning shears bear many nicks and dents but still cut cleanly. The shears function as a magic dagger. The weapon has the following properties:Ever Sharp. When you hit with an attack using the shears, the target takes an extra 1d6 forc"&amp;"e damage.Sever Threads. When you hit a creature with the shears, you can cut that creature's fate. Until the target finishes a long rest, attack rolls against it score a critical hit on a roll of 19 or 20 on the d20. Once this property is used, it can't b"&amp;"e used again until the next dawn. Finesse. When making an attack with a finesse weapon, you use your choice of your Strength or Dexterity modifier for the attack and damage rolls. You must use the same modifier for both rolls. Light. A light weapon is sma"&amp;"ll and easy to handle, making it ideal for use when fighting with two weapons. Thrown. If a weapon has the thrown property, you can throw the weapon to make a ranged attack. If the weapon is a melee weapon, you use the same ability modifier for that attac"&amp;"k roll and damage roll that you would use for a melee attack with the weapon. For example, if you throw a handaxe, you use your Strength, but if you throw a dagger, you can use either your Strength or your Dexterity, since the dagger has the finesse prope"&amp;"rty.")</f>
        <v>The blades of these pruning shears bear many nicks and dents but still cut cleanly. The shears function as a magic dagger. The weapon has the following properties:Ever Sharp. When you hit with an attack using the shears, the target takes an extra 1d6 force damage.Sever Threads. When you hit a creature with the shears, you can cut that creature's fate. Until the target finishes a long rest, attack rolls against it score a critical hit on a roll of 19 or 20 on the d20. Once this property is used, it can't be used again until the next dawn.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L83" s="19">
        <f>IFERROR(__xludf.DUMMYFUNCTION("""COMPUTED_VALUE"""),1100.0)</f>
        <v>1100</v>
      </c>
    </row>
    <row r="84">
      <c r="A84" s="10" t="str">
        <f>IFERROR(__xludf.DUMMYFUNCTION("""COMPUTED_VALUE"""),"Wand of Magic Missiles")</f>
        <v>Wand of Magic Missiles</v>
      </c>
      <c r="B84" s="10" t="str">
        <f>IFERROR(__xludf.DUMMYFUNCTION("""COMPUTED_VALUE"""),"DMG'24")</f>
        <v>DMG'24</v>
      </c>
      <c r="C84" s="10" t="str">
        <f>IFERROR(__xludf.DUMMYFUNCTION("""COMPUTED_VALUE"""),"uncommon")</f>
        <v>uncommon</v>
      </c>
      <c r="D84" s="10" t="str">
        <f>IFERROR(__xludf.DUMMYFUNCTION("""COMPUTED_VALUE"""),"Wand")</f>
        <v>Wand</v>
      </c>
      <c r="E84" s="10"/>
      <c r="F84" s="10"/>
      <c r="G84" s="10"/>
      <c r="H84" s="10"/>
      <c r="I84" s="10" t="str">
        <f>IFERROR(__xludf.DUMMYFUNCTION("""COMPUTED_VALUE"""),"This wand has 7 charges. While holding it, you can expend no more than 3 charges to cast Magic Missile from it. For 1 charge, you cast the level 1 version of the spell. You can increase the spell's level by 1 for each additional charge you expend. Regaini"&amp;"ng Charges. The wand regains 1d6 + 1 expended charges daily at dawn. If you expend the wand's last charge, roll 1d20. On a 1, the wand crumbles into ashes and is destroyed.")</f>
        <v>This wand has 7 charges. While holding it, you can expend no more than 3 charges to cast Magic Missile from it. For 1 charge, you cast the level 1 version of the spell. You can increase the spell's level by 1 for each additional charge you expend. Regaining Charges. The wand regains 1d6 + 1 expended charges daily at dawn. If you expend the wand's last charge, roll 1d20. On a 1, the wand crumbles into ashes and is destroyed.</v>
      </c>
      <c r="L84" s="18">
        <f>IFERROR(__xludf.DUMMYFUNCTION("""COMPUTED_VALUE"""),1200.0)</f>
        <v>1200</v>
      </c>
    </row>
    <row r="85">
      <c r="A85" s="8" t="str">
        <f>IFERROR(__xludf.DUMMYFUNCTION("""COMPUTED_VALUE"""),"Weapon of Warning")</f>
        <v>Weapon of Warning</v>
      </c>
      <c r="B85" s="8" t="str">
        <f>IFERROR(__xludf.DUMMYFUNCTION("""COMPUTED_VALUE"""),"DMG'24")</f>
        <v>DMG'24</v>
      </c>
      <c r="C85" s="8" t="str">
        <f>IFERROR(__xludf.DUMMYFUNCTION("""COMPUTED_VALUE"""),"uncommon")</f>
        <v>uncommon</v>
      </c>
      <c r="D85" s="8" t="str">
        <f>IFERROR(__xludf.DUMMYFUNCTION("""COMPUTED_VALUE"""),"Generic Variant")</f>
        <v>Generic Variant</v>
      </c>
      <c r="E85" s="8" t="str">
        <f>IFERROR(__xludf.DUMMYFUNCTION("""COMPUTED_VALUE"""),"requires attunement")</f>
        <v>requires attunement</v>
      </c>
      <c r="F85" s="8"/>
      <c r="G85" s="8"/>
      <c r="H85" s="8"/>
      <c r="I85" s="8" t="str">
        <f>IFERROR(__xludf.DUMMYFUNCTION("""COMPUTED_VALUE"""),"As long as this weapon is within your reach and you are attuned to it, you and allies within 30 feet of you gain the following benefits. Alarm. The weapon magically awakens each subject who is sleeping naturally when combat begins. This benefit doesn't wa"&amp;"ke a subject from magically induced sleep. Supernatural Readiness. Each subject has Advantage on its Initiative rolls. 
Applied to non-magical Base Equipment.")</f>
        <v>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Applied to non-magical Base Equipment.</v>
      </c>
      <c r="L85" s="19">
        <f>IFERROR(__xludf.DUMMYFUNCTION("""COMPUTED_VALUE"""),1200.0)</f>
        <v>1200</v>
      </c>
    </row>
    <row r="86">
      <c r="A86" s="10" t="str">
        <f>IFERROR(__xludf.DUMMYFUNCTION("""COMPUTED_VALUE"""),"Arrow-Catching Shield")</f>
        <v>Arrow-Catching Shield</v>
      </c>
      <c r="B86" s="10" t="str">
        <f>IFERROR(__xludf.DUMMYFUNCTION("""COMPUTED_VALUE"""),"DMG'24")</f>
        <v>DMG'24</v>
      </c>
      <c r="C86" s="10" t="str">
        <f>IFERROR(__xludf.DUMMYFUNCTION("""COMPUTED_VALUE"""),"rare")</f>
        <v>rare</v>
      </c>
      <c r="D86" s="10" t="str">
        <f>IFERROR(__xludf.DUMMYFUNCTION("""COMPUTED_VALUE"""),"Shield")</f>
        <v>Shield</v>
      </c>
      <c r="E86" s="10" t="str">
        <f>IFERROR(__xludf.DUMMYFUNCTION("""COMPUTED_VALUE"""),"requires attunement")</f>
        <v>requires attunement</v>
      </c>
      <c r="F86" s="10" t="str">
        <f>IFERROR(__xludf.DUMMYFUNCTION("""COMPUTED_VALUE"""),"AC +2")</f>
        <v>AC +2</v>
      </c>
      <c r="G86" s="10"/>
      <c r="H86" s="10"/>
      <c r="I86" s="10" t="str">
        <f>IFERROR(__xludf.DUMMYFUNCTION("""COMPUTED_VALUE"""),"You gain a +2 bonus to Armor Class against ranged attack rolls while you wield this Shield. This bonus is in addition to the Shield's normal bonus to AC. Whenever an attacker makes a ranged attack roll against a target within 5 feet of you, you can take a"&amp;" Reaction to become the target of the attack instead.")</f>
        <v>You gain a +2 bonus to Armor Class against ranged attack rolls while you wield this Shield. This bonus is in addition to the Shield's normal bonus to AC. Whenever an attacker makes a ranged attack roll against a target within 5 feet of you, you can take a Reaction to become the target of the attack instead.</v>
      </c>
      <c r="L86" s="18">
        <f>IFERROR(__xludf.DUMMYFUNCTION("""COMPUTED_VALUE"""),1200.0)</f>
        <v>1200</v>
      </c>
    </row>
    <row r="87">
      <c r="A87" s="8" t="str">
        <f>IFERROR(__xludf.DUMMYFUNCTION("""COMPUTED_VALUE"""),"Atlas of Endless Horizons")</f>
        <v>Atlas of Endless Horizons</v>
      </c>
      <c r="B87" s="8" t="str">
        <f>IFERROR(__xludf.DUMMYFUNCTION("""COMPUTED_VALUE"""),"TCE")</f>
        <v>TCE</v>
      </c>
      <c r="C87" s="8" t="str">
        <f>IFERROR(__xludf.DUMMYFUNCTION("""COMPUTED_VALUE"""),"rare")</f>
        <v>rare</v>
      </c>
      <c r="D87" s="8" t="str">
        <f>IFERROR(__xludf.DUMMYFUNCTION("""COMPUTED_VALUE"""),"Wondrous Item, Spellcasting Focus")</f>
        <v>Wondrous Item, Spellcasting Focus</v>
      </c>
      <c r="E87" s="8" t="str">
        <f>IFERROR(__xludf.DUMMYFUNCTION("""COMPUTED_VALUE"""),"requires attunement by a wizard")</f>
        <v>requires attunement by a wizard</v>
      </c>
      <c r="F87" s="8"/>
      <c r="G87" s="8"/>
      <c r="H87" s="8"/>
      <c r="I87" s="8" t="str">
        <f>IFERROR(__xludf.DUMMYFUNCTION("""COMPUTED_VALUE"""),"This thick book is bound in dark leather, crisscrossed with inlaid silver lines suggesting a map or chart. When found, the book contains the following spells, which are wizard spells for you while you are attuned to the book: arcane gate, dimension door, "&amp;"gate, misty step, plane shift, teleportation circle, and word of recall. It functions as a spellbook for you.While you are holding the book, you can use it as a spellcasting focus for your wizard spells. The book has 3 charges, and it regains 1d3 expended"&amp;" charges daily at dawn. You can use the charges in the following ways while holding it:If you spend 1 minute studying the book, you can expend 1 charge to replace one of your prepared wizard spells with a different spell in the book. The new spell must be"&amp;" of the conjuration school. When you are hit by an attack, you can use your reaction to expend 1 charge to teleport up to 10 feet to an unoccupied space you can see. If your new position is out of range of the attack, it misses you.")</f>
        <v>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are hit by an attack, you can use your reaction to expend 1 charge to teleport up to 10 feet to an unoccupied space you can see. If your new position is out of range of the attack, it misses you.</v>
      </c>
      <c r="L87" s="19">
        <f>IFERROR(__xludf.DUMMYFUNCTION("""COMPUTED_VALUE"""),1200.0)</f>
        <v>1200</v>
      </c>
    </row>
    <row r="88">
      <c r="A88" s="10" t="str">
        <f>IFERROR(__xludf.DUMMYFUNCTION("""COMPUTED_VALUE"""),"Bow of Conflagration")</f>
        <v>Bow of Conflagration</v>
      </c>
      <c r="B88" s="10" t="str">
        <f>IFERROR(__xludf.DUMMYFUNCTION("""COMPUTED_VALUE"""),"BMT")</f>
        <v>BMT</v>
      </c>
      <c r="C88" s="10" t="str">
        <f>IFERROR(__xludf.DUMMYFUNCTION("""COMPUTED_VALUE"""),"rare")</f>
        <v>rare</v>
      </c>
      <c r="D88" s="10" t="str">
        <f>IFERROR(__xludf.DUMMYFUNCTION("""COMPUTED_VALUE"""),"Generic Variant")</f>
        <v>Generic Variant</v>
      </c>
      <c r="E88" s="10" t="str">
        <f>IFERROR(__xludf.DUMMYFUNCTION("""COMPUTED_VALUE"""),"requires attunement")</f>
        <v>requires attunement</v>
      </c>
      <c r="F88" s="10"/>
      <c r="G88" s="10"/>
      <c r="H88" s="10"/>
      <c r="I88" s="10" t="str">
        <f>IFERROR(__xludf.DUMMYFUNCTION("""COMPUTED_VALUE"""),"Ammunition fired from this bow blazes brightly. When you hit with an attack roll using this bow, the target takes an extra 1d6 fire damage. If the target is a flammable, nonmagical object, it catches fire, taking 1d6 fire damage at the start of each of yo"&amp;"ur turns until a creature uses an action to extinguish the flames. 
Applied to non-magical Base Equipment.")</f>
        <v>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 
Applied to non-magical Base Equipment.</v>
      </c>
      <c r="L88" s="18">
        <f>IFERROR(__xludf.DUMMYFUNCTION("""COMPUTED_VALUE"""),1200.0)</f>
        <v>1200</v>
      </c>
    </row>
    <row r="89">
      <c r="A89" s="8" t="str">
        <f>IFERROR(__xludf.DUMMYFUNCTION("""COMPUTED_VALUE"""),"Crystal Blade")</f>
        <v>Crystal Blade</v>
      </c>
      <c r="B89" s="8" t="str">
        <f>IFERROR(__xludf.DUMMYFUNCTION("""COMPUTED_VALUE"""),"FTD")</f>
        <v>FTD</v>
      </c>
      <c r="C89" s="8" t="str">
        <f>IFERROR(__xludf.DUMMYFUNCTION("""COMPUTED_VALUE"""),"rare")</f>
        <v>rare</v>
      </c>
      <c r="D89" s="8" t="str">
        <f>IFERROR(__xludf.DUMMYFUNCTION("""COMPUTED_VALUE"""),"Generic Variant")</f>
        <v>Generic Variant</v>
      </c>
      <c r="E89" s="8" t="str">
        <f>IFERROR(__xludf.DUMMYFUNCTION("""COMPUTED_VALUE"""),"requires attunement")</f>
        <v>requires attunement</v>
      </c>
      <c r="F89" s="8"/>
      <c r="G89" s="8"/>
      <c r="H89" s="8"/>
      <c r="I89" s="8" t="str">
        <f>IFERROR(__xludf.DUMMYFUNCTION("""COMPUTED_VALUE"""),"This magic sword's blade is fashioned from a horn or spine from a crystal dragon. When you hit with an attack roll using this sword, the target takes an extra 1d8 radiant damage. The sword has 3 charges and regains 1d3 expended charges daily at dawn. When"&amp;" you hit a creature with an attack roll using the sword, you can expend 1 charge to regain a number of hit points equal to the extra radiant damage the sword dealt. While you're holding the sword, you can use a bonus action to cause it to shed bright ligh"&amp;"t in a 30-foot radius and dim light for an additional 30 feet, to cause it to shed dim light in a 10-foot radius, or to douse the light. 
Applied to non-magical Base Equipment.")</f>
        <v>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 
Applied to non-magical Base Equipment.</v>
      </c>
      <c r="L89" s="19">
        <f>IFERROR(__xludf.DUMMYFUNCTION("""COMPUTED_VALUE"""),1200.0)</f>
        <v>1200</v>
      </c>
    </row>
    <row r="90">
      <c r="A90" s="10" t="str">
        <f>IFERROR(__xludf.DUMMYFUNCTION("""COMPUTED_VALUE"""),"Devotee's Censer")</f>
        <v>Devotee's Censer</v>
      </c>
      <c r="B90" s="10" t="str">
        <f>IFERROR(__xludf.DUMMYFUNCTION("""COMPUTED_VALUE"""),"TCE")</f>
        <v>TCE</v>
      </c>
      <c r="C90" s="10" t="str">
        <f>IFERROR(__xludf.DUMMYFUNCTION("""COMPUTED_VALUE"""),"rare")</f>
        <v>rare</v>
      </c>
      <c r="D90" s="10" t="str">
        <f>IFERROR(__xludf.DUMMYFUNCTION("""COMPUTED_VALUE"""),"Martial Weapon, Melee Weapon")</f>
        <v>Martial Weapon, Melee Weapon</v>
      </c>
      <c r="E90" s="10" t="str">
        <f>IFERROR(__xludf.DUMMYFUNCTION("""COMPUTED_VALUE"""),"requires attunement by a cleric or paladin")</f>
        <v>requires attunement by a cleric or paladin</v>
      </c>
      <c r="F90" s="10" t="str">
        <f>IFERROR(__xludf.DUMMYFUNCTION("""COMPUTED_VALUE"""),"1d8 Bludgeoning")</f>
        <v>1d8 Bludgeoning</v>
      </c>
      <c r="G90" s="10"/>
      <c r="H90" s="10"/>
      <c r="I90" s="10"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L90" s="18">
        <f>IFERROR(__xludf.DUMMYFUNCTION("""COMPUTED_VALUE"""),1200.0)</f>
        <v>1200</v>
      </c>
    </row>
    <row r="91">
      <c r="A91" s="8" t="str">
        <f>IFERROR(__xludf.DUMMYFUNCTION("""COMPUTED_VALUE"""),"Elemental Essence Shard (Air)")</f>
        <v>Elemental Essence Shard (Air)</v>
      </c>
      <c r="B91" s="8" t="str">
        <f>IFERROR(__xludf.DUMMYFUNCTION("""COMPUTED_VALUE"""),"TCE")</f>
        <v>TCE</v>
      </c>
      <c r="C91" s="8" t="str">
        <f>IFERROR(__xludf.DUMMYFUNCTION("""COMPUTED_VALUE"""),"rare")</f>
        <v>rare</v>
      </c>
      <c r="D91" s="8" t="str">
        <f>IFERROR(__xludf.DUMMYFUNCTION("""COMPUTED_VALUE"""),"Wondrous Item, Spellcasting Focus")</f>
        <v>Wondrous Item, Spellcasting Focus</v>
      </c>
      <c r="E91" s="8" t="str">
        <f>IFERROR(__xludf.DUMMYFUNCTION("""COMPUTED_VALUE"""),"requires attunement by a sorcerer")</f>
        <v>requires attunement by a sorcerer</v>
      </c>
      <c r="F91" s="8"/>
      <c r="G91" s="8"/>
      <c r="H91" s="8"/>
      <c r="I91"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can immediately fly up to 60 feet without provoking opportunity attacks.")</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can immediately fly up to 60 feet without provoking opportunity attacks.</v>
      </c>
      <c r="L91" s="19">
        <f>IFERROR(__xludf.DUMMYFUNCTION("""COMPUTED_VALUE"""),1200.0)</f>
        <v>1200</v>
      </c>
    </row>
    <row r="92">
      <c r="A92" s="10" t="str">
        <f>IFERROR(__xludf.DUMMYFUNCTION("""COMPUTED_VALUE"""),"Elemental Essence Shard (Earth)")</f>
        <v>Elemental Essence Shard (Earth)</v>
      </c>
      <c r="B92" s="10" t="str">
        <f>IFERROR(__xludf.DUMMYFUNCTION("""COMPUTED_VALUE"""),"TCE")</f>
        <v>TCE</v>
      </c>
      <c r="C92" s="10" t="str">
        <f>IFERROR(__xludf.DUMMYFUNCTION("""COMPUTED_VALUE"""),"rare")</f>
        <v>rare</v>
      </c>
      <c r="D92" s="10" t="str">
        <f>IFERROR(__xludf.DUMMYFUNCTION("""COMPUTED_VALUE"""),"Wondrous Item, Spellcasting Focus")</f>
        <v>Wondrous Item, Spellcasting Focus</v>
      </c>
      <c r="E92" s="10" t="str">
        <f>IFERROR(__xludf.DUMMYFUNCTION("""COMPUTED_VALUE"""),"requires attunement by a sorcerer")</f>
        <v>requires attunement by a sorcerer</v>
      </c>
      <c r="F92" s="10"/>
      <c r="G92" s="10"/>
      <c r="H92" s="10"/>
      <c r="I92"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gain resistance to a damage type of your choice until the start of your next tu"&amp;"rn.")</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gain resistance to a damage type of your choice until the start of your next turn.</v>
      </c>
      <c r="L92" s="18">
        <f>IFERROR(__xludf.DUMMYFUNCTION("""COMPUTED_VALUE"""),1200.0)</f>
        <v>1200</v>
      </c>
    </row>
    <row r="93">
      <c r="A93" s="8" t="str">
        <f>IFERROR(__xludf.DUMMYFUNCTION("""COMPUTED_VALUE"""),"Elemental Essence Shard (Water)")</f>
        <v>Elemental Essence Shard (Water)</v>
      </c>
      <c r="B93" s="8" t="str">
        <f>IFERROR(__xludf.DUMMYFUNCTION("""COMPUTED_VALUE"""),"TCE")</f>
        <v>TCE</v>
      </c>
      <c r="C93" s="8" t="str">
        <f>IFERROR(__xludf.DUMMYFUNCTION("""COMPUTED_VALUE"""),"rare")</f>
        <v>rare</v>
      </c>
      <c r="D93" s="8" t="str">
        <f>IFERROR(__xludf.DUMMYFUNCTION("""COMPUTED_VALUE"""),"Wondrous Item, Spellcasting Focus")</f>
        <v>Wondrous Item, Spellcasting Focus</v>
      </c>
      <c r="E93" s="8" t="str">
        <f>IFERROR(__xludf.DUMMYFUNCTION("""COMPUTED_VALUE"""),"requires attunement by a sorcerer")</f>
        <v>requires attunement by a sorcerer</v>
      </c>
      <c r="F93" s="8"/>
      <c r="G93" s="8"/>
      <c r="H93" s="8"/>
      <c r="I93"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create a wave of water that bursts out from you in a 10-foot radius. Each creat"&amp;"ure of your choice that you can see in that area takes 2d6 cold damage and must succeed on a Strength saving throw against your spell save DC or be pushed 10 feet away from you and fall prone.")</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create a wave of water that bursts out from you in a 10-foot radius. Each creature of your choice that you can see in that area takes 2d6 cold damage and must succeed on a Strength saving throw against your spell save DC or be pushed 10 feet away from you and fall prone.</v>
      </c>
      <c r="L93" s="19">
        <f>IFERROR(__xludf.DUMMYFUNCTION("""COMPUTED_VALUE"""),1200.0)</f>
        <v>1200</v>
      </c>
    </row>
    <row r="94">
      <c r="A94" s="10" t="str">
        <f>IFERROR(__xludf.DUMMYFUNCTION("""COMPUTED_VALUE"""),"Glimmering Moonbow")</f>
        <v>Glimmering Moonbow</v>
      </c>
      <c r="B94" s="10" t="str">
        <f>IFERROR(__xludf.DUMMYFUNCTION("""COMPUTED_VALUE"""),"BMT")</f>
        <v>BMT</v>
      </c>
      <c r="C94" s="10" t="str">
        <f>IFERROR(__xludf.DUMMYFUNCTION("""COMPUTED_VALUE"""),"rare")</f>
        <v>rare</v>
      </c>
      <c r="D94" s="10" t="str">
        <f>IFERROR(__xludf.DUMMYFUNCTION("""COMPUTED_VALUE"""),"Generic Variant")</f>
        <v>Generic Variant</v>
      </c>
      <c r="E94" s="10" t="str">
        <f>IFERROR(__xludf.DUMMYFUNCTION("""COMPUTED_VALUE"""),"requires attunement")</f>
        <v>requires attunement</v>
      </c>
      <c r="F94" s="10"/>
      <c r="G94" s="10"/>
      <c r="H94" s="10"/>
      <c r="I94" s="10" t="str">
        <f>IFERROR(__xludf.DUMMYFUNCTION("""COMPUTED_VALUE"""),"This silver-and-black bow is engraved with the phases of the moon. When you hit with a ranged attack roll using this magic bow, the target takes an extra 1d6 radiant damage. If you load no ammunition in the weapon, it produces its own, automatically creat"&amp;"ing one piece of magic ammunition when you make a ranged attack with it. The ammunition created by the bow vanishes the instant after it hits or misses a target. While wielding this magic bow, you can use a bonus action to enter a semi-incorporeal state u"&amp;"ntil the start of your next turn. While semi-incorporeal, you have resistance to bludgeoning, piercing, and slashing damage. Once this bonus action is used, it can't be used again until the next dawn. 
Applied to non-magical Base Equipment.")</f>
        <v>This silver-and-black bow is engraved with the phases of the moon.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 
Applied to non-magical Base Equipment.</v>
      </c>
      <c r="L94" s="18">
        <f>IFERROR(__xludf.DUMMYFUNCTION("""COMPUTED_VALUE"""),1200.0)</f>
        <v>1200</v>
      </c>
    </row>
    <row r="95">
      <c r="A95" s="8" t="str">
        <f>IFERROR(__xludf.DUMMYFUNCTION("""COMPUTED_VALUE"""),"Serpent's Fang")</f>
        <v>Serpent's Fang</v>
      </c>
      <c r="B95" s="8" t="str">
        <f>IFERROR(__xludf.DUMMYFUNCTION("""COMPUTED_VALUE"""),"CM")</f>
        <v>CM</v>
      </c>
      <c r="C95" s="8" t="str">
        <f>IFERROR(__xludf.DUMMYFUNCTION("""COMPUTED_VALUE"""),"rare")</f>
        <v>rare</v>
      </c>
      <c r="D95" s="8" t="str">
        <f>IFERROR(__xludf.DUMMYFUNCTION("""COMPUTED_VALUE"""),"Martial Weapon, Melee Weapon")</f>
        <v>Martial Weapon, Melee Weapon</v>
      </c>
      <c r="E95" s="8"/>
      <c r="F95" s="8" t="str">
        <f>IFERROR(__xludf.DUMMYFUNCTION("""COMPUTED_VALUE"""),"1d8 Slashing")</f>
        <v>1d8 Slashing</v>
      </c>
      <c r="G95" s="8" t="str">
        <f>IFERROR(__xludf.DUMMYFUNCTION("""COMPUTED_VALUE"""),"versatile (1d10)")</f>
        <v>versatile (1d10)</v>
      </c>
      <c r="H95" s="8"/>
      <c r="I95" s="8" t="str">
        <f>IFERROR(__xludf.DUMMYFUNCTION("""COMPUTED_VALUE"""),"This single-edged magic sword is made from the scrimshawed fang of a giant serpent. Its hilt changes shape to adjust to the grasp of any creature that picks it up. The weapon deals an extra 1d10 poison damage to any target it hits. Versatile. This weapon "&amp;"can be used with one or two hands. A damage value in parentheses appears with the property the damage when the weapon is used with two hands to make a melee attack.")</f>
        <v>This single-edged magic sword is made from the scrimshawed fang of a giant serpent. Its hilt changes shape to adjust to the grasp of any creature that picks it up. The weapon deals an extra 1d10 poison damage to any target it hits. Versatile. This weapon can be used with one or two hands. A damage value in parentheses appears with the property the damage when the weapon is used with two hands to make a melee attack.</v>
      </c>
      <c r="L95" s="19">
        <f>IFERROR(__xludf.DUMMYFUNCTION("""COMPUTED_VALUE"""),1200.0)</f>
        <v>1200</v>
      </c>
    </row>
    <row r="96">
      <c r="A96" s="10" t="str">
        <f>IFERROR(__xludf.DUMMYFUNCTION("""COMPUTED_VALUE"""),"Stirring Dragon-Touched Focus")</f>
        <v>Stirring Dragon-Touched Focus</v>
      </c>
      <c r="B96" s="10" t="str">
        <f>IFERROR(__xludf.DUMMYFUNCTION("""COMPUTED_VALUE"""),"FTD")</f>
        <v>FTD</v>
      </c>
      <c r="C96" s="10" t="str">
        <f>IFERROR(__xludf.DUMMYFUNCTION("""COMPUTED_VALUE"""),"rare")</f>
        <v>rare</v>
      </c>
      <c r="D96" s="10" t="str">
        <f>IFERROR(__xludf.DUMMYFUNCTION("""COMPUTED_VALUE"""),"Wondrous Item, Spellcasting Focus")</f>
        <v>Wondrous Item, Spellcasting Focus</v>
      </c>
      <c r="E96" s="10" t="str">
        <f>IFERROR(__xludf.DUMMYFUNCTION("""COMPUTED_VALUE"""),"requires attunement by a spellcaster")</f>
        <v>requires attunement by a spellcaster</v>
      </c>
      <c r="F96" s="10"/>
      <c r="G96" s="10"/>
      <c r="H96" s="10"/>
      <c r="I96" s="10" t="str">
        <f>IFERROR(__xludf.DUMMYFUNCTION("""COMPUTED_VALUE"""),"This wondrous item can be a scepter, an orb, an amulet, a crystal, or another finely crafted object. It typically incorporates imagery of dragons' wings, claws, teeth, or scales. You have advantage on initiative rolls. While you are holding the focus, it "&amp;"can function as a spellcasting focus for all your spells. The focus gains an additional property determined by the family of the dragon in whose hoard it became Stirring:Chromatic. Whenever you use a spell slot to cast a spell that deals acid, cold, fire,"&amp;" lightning, or poison damage, roll a d6, and you gain a bonus equal to the number rolled to one of the spell's damage rolls. Gem. Whenever you use a spell slot to cast a spell, you can immediately teleport to an unoccupied space you can see within 15 feet"&amp;" of you. Metallic. When a creature you can see within 30 feet of you makes a saving throw, you can use your reaction to give that creature advantage on the saving throw.")</f>
        <v>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v>
      </c>
      <c r="L96" s="18">
        <f>IFERROR(__xludf.DUMMYFUNCTION("""COMPUTED_VALUE"""),1200.0)</f>
        <v>1200</v>
      </c>
    </row>
    <row r="97">
      <c r="A97" s="8" t="str">
        <f>IFERROR(__xludf.DUMMYFUNCTION("""COMPUTED_VALUE"""),"Dancing Sword")</f>
        <v>Dancing Sword</v>
      </c>
      <c r="B97" s="8" t="str">
        <f>IFERROR(__xludf.DUMMYFUNCTION("""COMPUTED_VALUE"""),"DMG'24")</f>
        <v>DMG'24</v>
      </c>
      <c r="C97" s="8" t="str">
        <f>IFERROR(__xludf.DUMMYFUNCTION("""COMPUTED_VALUE"""),"very rare")</f>
        <v>very rare</v>
      </c>
      <c r="D97" s="8" t="str">
        <f>IFERROR(__xludf.DUMMYFUNCTION("""COMPUTED_VALUE"""),"Generic Variant")</f>
        <v>Generic Variant</v>
      </c>
      <c r="E97" s="8" t="str">
        <f>IFERROR(__xludf.DUMMYFUNCTION("""COMPUTED_VALUE"""),"requires attunement")</f>
        <v>requires attunement</v>
      </c>
      <c r="F97" s="8"/>
      <c r="G97" s="8"/>
      <c r="H97" s="8"/>
      <c r="I97" s="8" t="str">
        <f>IFERROR(__xludf.DUMMYFUNCTION("""COMPUTED_VALUE"""),"You can take a Bonus Action to toss this magic weapon into the air. When you do so, the weapon begins to hover, flies up to 30 feet, and attacks one creature of your choice within 5 feet of itself. The weapon uses your attack roll and adds your ability mo"&amp;"difier to damage rolls.While the weapon hovers, you can take a Bonus Action to cause it to fly up to 30 feet to another spot within 30 feet of you. As part of the same Bonus Action, you can cause the weapon to attack one creature within 5 feet of the weap"&amp;"on.After the hovering weapon attacks for the fourth time, it flies back to you and tries to return to your hand. If you have no hand free, the weapon falls to the ground in your space. If the weapon has no unobstructed path to you, it moves as close to yo"&amp;"u as it can and then falls to the ground. It also ceases to hover if you grasp it or are more than 30 feet away from it. 
Applied to non-magical Base Equipment.")</f>
        <v>You can take a Bonus Action to toss this magic weapon into the air. When you do so, the weapon begins to hover, flies up to 30 feet, and attacks one creature of your choice within 5 feet of itself. The weapon uses your attack roll and adds your ability modifier to damage rolls.While the weapon hovers, you can take a Bonus Action to cause it to fly up to 30 feet to another spot within 30 feet of you. As part of the same Bonus Action, you can cause the weapon to attack one creature within 5 feet of the weapon.After the hovering weapon attacks for the fourth time, it flies back to you and tries to return to your hand. If you have no hand free, the weapon falls to the ground in your space. If the weapon has no unobstructed path to you, it moves as close to you as it can and then falls to the ground. It also ceases to hover if you grasp it or are more than 30 feet away from it. 
Applied to non-magical Base Equipment.</v>
      </c>
      <c r="L97" s="19">
        <f>IFERROR(__xludf.DUMMYFUNCTION("""COMPUTED_VALUE"""),1200.0)</f>
        <v>1200</v>
      </c>
    </row>
    <row r="98">
      <c r="A98" s="10" t="str">
        <f>IFERROR(__xludf.DUMMYFUNCTION("""COMPUTED_VALUE"""),"Molten Bronze Skin")</f>
        <v>Molten Bronze Skin</v>
      </c>
      <c r="B98" s="10" t="str">
        <f>IFERROR(__xludf.DUMMYFUNCTION("""COMPUTED_VALUE"""),"MOT")</f>
        <v>MOT</v>
      </c>
      <c r="C98" s="10" t="str">
        <f>IFERROR(__xludf.DUMMYFUNCTION("""COMPUTED_VALUE"""),"rare")</f>
        <v>rare</v>
      </c>
      <c r="D98" s="10" t="str">
        <f>IFERROR(__xludf.DUMMYFUNCTION("""COMPUTED_VALUE"""),"Generic Variant")</f>
        <v>Generic Variant</v>
      </c>
      <c r="E98" s="10" t="str">
        <f>IFERROR(__xludf.DUMMYFUNCTION("""COMPUTED_VALUE"""),"requires attunement")</f>
        <v>requires attunement</v>
      </c>
      <c r="F98" s="10"/>
      <c r="G98" s="10"/>
      <c r="H98" s="10"/>
      <c r="I98" s="10" t="str">
        <f>IFERROR(__xludf.DUMMYFUNCTION("""COMPUTED_VALUE"""),"This magical armor appears as a jug of molten bronze. When you attune to it, the bronze adheres and contours to your skin. The armor can be worn under normal clothes, but it doesn't impede bodily functions. Once you put it on, it can't be removed unless y"&amp;"ou choose to do so.While wearing the armor, you have resistance to fire damage. The armor also doesn't impose disadvantage on Dexterity (Stealth) checks.
Applied to non-magical Base Equipment.")</f>
        <v>This magical armor appears as a jug of molten bronze. When you attune to it, the bronze adheres and contours to your skin. The armor can be worn under normal clothes, but it doesn't impede bodily functions. Once you put it on, it can't be removed unless you choose to do so.While wearing the armor, you have resistance to fire damage. The armor also doesn't impose disadvantage on Dexterity (Stealth) checks.
Applied to non-magical Base Equipment.</v>
      </c>
      <c r="L98" s="18">
        <f>IFERROR(__xludf.DUMMYFUNCTION("""COMPUTED_VALUE"""),1350.0)</f>
        <v>1350</v>
      </c>
    </row>
    <row r="99">
      <c r="A99" s="8" t="str">
        <f>IFERROR(__xludf.DUMMYFUNCTION("""COMPUTED_VALUE"""),"Clockwork Armor")</f>
        <v>Clockwork Armor</v>
      </c>
      <c r="B99" s="8" t="str">
        <f>IFERROR(__xludf.DUMMYFUNCTION("""COMPUTED_VALUE"""),"BMT")</f>
        <v>BMT</v>
      </c>
      <c r="C99" s="8" t="str">
        <f>IFERROR(__xludf.DUMMYFUNCTION("""COMPUTED_VALUE"""),"very rare")</f>
        <v>very rare</v>
      </c>
      <c r="D99" s="8" t="str">
        <f>IFERROR(__xludf.DUMMYFUNCTION("""COMPUTED_VALUE"""),"Generic Variant")</f>
        <v>Generic Variant</v>
      </c>
      <c r="E99" s="8" t="str">
        <f>IFERROR(__xludf.DUMMYFUNCTION("""COMPUTED_VALUE"""),"requires attunement")</f>
        <v>requires attunement</v>
      </c>
      <c r="F99" s="8"/>
      <c r="G99" s="8"/>
      <c r="H99" s="8"/>
      <c r="I99" s="8" t="str">
        <f>IFERROR(__xludf.DUMMYFUNCTION("""COMPUTED_VALUE"""),"The outside surface and internal joints of this armor whir with interlocking gears, drawing on the orderly magic of the plane of Mechanus.The armor has 4 charges. If you make a d20 roll while wearing this armor, you can expend 1 charge to change the numbe"&amp;"r rolled to a 10. The armor regains 1d4 expended charges daily at dawn. 
Applied to non-magical Base Equipment.")</f>
        <v>The outside surface and internal joints of this armor whir with interlocking gears, drawing on the orderly magic of the plane of Mechanus.The armor has 4 charges. If you make a d20 roll while wearing this armor, you can expend 1 charge to change the number rolled to a 10. The armor regains 1d4 expended charges daily at dawn. 
Applied to non-magical Base Equipment.</v>
      </c>
      <c r="L99" s="19">
        <f>IFERROR(__xludf.DUMMYFUNCTION("""COMPUTED_VALUE"""),1350.0)</f>
        <v>1350</v>
      </c>
    </row>
    <row r="100">
      <c r="A100" s="10" t="str">
        <f>IFERROR(__xludf.DUMMYFUNCTION("""COMPUTED_VALUE"""),"Eldritch Staff")</f>
        <v>Eldritch Staff</v>
      </c>
      <c r="B100" s="10" t="str">
        <f>IFERROR(__xludf.DUMMYFUNCTION("""COMPUTED_VALUE"""),"WBtW")</f>
        <v>WBtW</v>
      </c>
      <c r="C100" s="10" t="str">
        <f>IFERROR(__xludf.DUMMYFUNCTION("""COMPUTED_VALUE"""),"very rare")</f>
        <v>very rare</v>
      </c>
      <c r="D100" s="10" t="str">
        <f>IFERROR(__xludf.DUMMYFUNCTION("""COMPUTED_VALUE"""),"Simple Weapon, Melee Weapon")</f>
        <v>Simple Weapon, Melee Weapon</v>
      </c>
      <c r="E100" s="10" t="str">
        <f>IFERROR(__xludf.DUMMYFUNCTION("""COMPUTED_VALUE"""),"requires attunement")</f>
        <v>requires attunement</v>
      </c>
      <c r="F100" s="10" t="str">
        <f>IFERROR(__xludf.DUMMYFUNCTION("""COMPUTED_VALUE"""),"1d6 Bludgeoning")</f>
        <v>1d6 Bludgeoning</v>
      </c>
      <c r="G100" s="10" t="str">
        <f>IFERROR(__xludf.DUMMYFUNCTION("""COMPUTED_VALUE"""),"versatile (1d8)")</f>
        <v>versatile (1d8)</v>
      </c>
      <c r="H100" s="10"/>
      <c r="I100" s="10" t="str">
        <f>IFERROR(__xludf.DUMMYFUNCTION("""COMPUTED_VALUE"""),"This staff can be wielded as a magic quarterstaff.The staff has 10 charges and regains 1d6 + 4 expended charges daily at dawn. If you expend the last charge, roll a d20. On a 1, the staff is destroyed in an otherwise harmless burst of eldritch energy. Eld"&amp;"ritch Attack. When you hit with a melee attack using the staff, you can expend up to 3 of its charges. For each charge you expend, the target takes an extra 1d8 lightning damage. Eldritch Escape. If you take damage while holding the staff, you can use you"&amp;"r reaction to expend 3 of the staff's charges, whereupon you turn invisible and teleport yourself, along with any equipment you are wearing or carrying, up to 60 feet to an unoccupied space that you can see. You remain invisible until the start of your ne"&amp;"xt turn or until you attack, cast a spell, or deal damage. Versatile. This weapon can be used with one or two hands. A damage value in parentheses appears with the property the damage when the weapon is used with two hands to make a melee attack.")</f>
        <v>This staff can be wielded as a magic quarterstaff.The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 Versatile. This weapon can be used with one or two hands. A damage value in parentheses appears with the property the damage when the weapon is used with two hands to make a melee attack.</v>
      </c>
      <c r="L100" s="18">
        <f>IFERROR(__xludf.DUMMYFUNCTION("""COMPUTED_VALUE"""),1350.0)</f>
        <v>1350</v>
      </c>
    </row>
    <row r="101">
      <c r="A101" s="8" t="str">
        <f>IFERROR(__xludf.DUMMYFUNCTION("""COMPUTED_VALUE"""),"Energy Bow")</f>
        <v>Energy Bow</v>
      </c>
      <c r="B101" s="8" t="str">
        <f>IFERROR(__xludf.DUMMYFUNCTION("""COMPUTED_VALUE"""),"DMG'24")</f>
        <v>DMG'24</v>
      </c>
      <c r="C101" s="8" t="str">
        <f>IFERROR(__xludf.DUMMYFUNCTION("""COMPUTED_VALUE"""),"very rare")</f>
        <v>very rare</v>
      </c>
      <c r="D101" s="8" t="str">
        <f>IFERROR(__xludf.DUMMYFUNCTION("""COMPUTED_VALUE"""),"Generic Variant")</f>
        <v>Generic Variant</v>
      </c>
      <c r="E101" s="8" t="str">
        <f>IFERROR(__xludf.DUMMYFUNCTION("""COMPUTED_VALUE"""),"requires attunement")</f>
        <v>requires attunement</v>
      </c>
      <c r="F101" s="8"/>
      <c r="G101" s="8"/>
      <c r="H101" s="8"/>
      <c r="I101" s="8" t="str">
        <f>IFERROR(__xludf.DUMMYFUNCTION("""COMPUTED_VALUE"""),"Each time you pull your arm back in a firing motion, a magical arrow made of golden energy appears nocked and ready to fire. An arrow produced by this weapon deals Force damage instead of Piercing damage on a hit, and it disappears after it hits or misses"&amp;" its target. Until it disappears, the arrow emits Bright Light in a 20-foot radius and Dim Light for an additional 20 feet.This weapon has the following additional properties. Arrow of Restraint. Whenever you use this weapon to make a ranged attack agains"&amp;"t a creature, you can try to restrain the target instead of dealing damage to it. If the arrow hits, the target must succeed on a DC 15 Strength saving throw or have the Restrained condition for 1 minute. As an action, a creature Restrained by an arrow ca"&amp;"n make a DC 20 Strength (Athletics) check to try to break the restraint, ending the effect on itself on a successful check. Arrow of Transport. As a Magic action, you can fire one energy arrow from this weapon at a target you can see within 60 feet of you"&amp;"rself. The target can be either a willing Medium or smaller creature or an object that isn't being worn or carried, provided the object is small enough to fit inside a 5-foot Cube. The arrow teleports the target to an unoccupied space you can see within 1"&amp;"0 feet of you. Energy Ladder. As a Magic action, you can loose a flurry of energy arrows from this weapon at a wall up to 60 feet away from yourself. The arrows become glowing rungs that stick out of the wall, forming a magical ladder up to 60 feet long o"&amp;"n the wall. This ladder lasts for 1 minute before disappearing. 
Applied to non-magical Base Equipment.")</f>
        <v>Each time you pull your arm back in a firing motion, a magical arrow made of golden energy appears nocked and ready to fire. An arrow produced by this weapon deals Force damage instead of Piercing damage on a hit, and it disappears after it hits or misses its target. Until it disappears, the arrow emits Bright Light in a 20-foot radius and Dim Light for an additional 20 feet.This weapon has the following additional properties. Arrow of Restraint. Whenever you use this weapon to make a ranged attack against a creature, you can try to restrain the target instead of dealing damage to it. If the arrow hits, the target must succeed on a DC 15 Strength saving throw or have the Restrained condition for 1 minute. As an action, a creature Restrained by an arrow can make a DC 20 Strength (Athletics) check to try to break the restraint, ending the effect on itself on a successful check. Arrow of Transport. As a Magic action, you can fire one energy arrow from this weapon at a target you can see within 60 feet of yourself. The target can be either a willing Medium or smaller creature or an object that isn't being worn or carried, provided the object is small enough to fit inside a 5-foot Cube. The arrow teleports the target to an unoccupied space you can see within 10 feet of you. Energy Ladder. As a Magic action, you can loose a flurry of energy arrows from this weapon at a wall up to 60 feet away from yourself. The arrows become glowing rungs that stick out of the wall, forming a magical ladder up to 60 feet long on the wall. This ladder lasts for 1 minute before disappearing. 
Applied to non-magical Base Equipment.</v>
      </c>
      <c r="L101" s="19">
        <f>IFERROR(__xludf.DUMMYFUNCTION("""COMPUTED_VALUE"""),1350.0)</f>
        <v>1350</v>
      </c>
    </row>
    <row r="102">
      <c r="A102" s="10" t="str">
        <f>IFERROR(__xludf.DUMMYFUNCTION("""COMPUTED_VALUE"""),"Shadowfell Shard")</f>
        <v>Shadowfell Shard</v>
      </c>
      <c r="B102" s="10" t="str">
        <f>IFERROR(__xludf.DUMMYFUNCTION("""COMPUTED_VALUE"""),"TCE")</f>
        <v>TCE</v>
      </c>
      <c r="C102" s="10" t="str">
        <f>IFERROR(__xludf.DUMMYFUNCTION("""COMPUTED_VALUE"""),"rare")</f>
        <v>rare</v>
      </c>
      <c r="D102" s="10" t="str">
        <f>IFERROR(__xludf.DUMMYFUNCTION("""COMPUTED_VALUE"""),"Wondrous Item, Spellcasting Focus")</f>
        <v>Wondrous Item, Spellcasting Focus</v>
      </c>
      <c r="E102" s="10" t="str">
        <f>IFERROR(__xludf.DUMMYFUNCTION("""COMPUTED_VALUE"""),"requires attunement by a sorcerer")</f>
        <v>requires attunement by a sorcerer</v>
      </c>
      <c r="F102" s="10"/>
      <c r="G102" s="10"/>
      <c r="H102" s="10"/>
      <c r="I102" s="10" t="str">
        <f>IFERROR(__xludf.DUMMYFUNCTION("""COMPUTED_VALUE"""),"This dull, cold crystal sits heavy and leaden, saturated by the Shadowfell's despair. As an action, you can attach the shard to a Tiny object (such as a weapon or a piece of jewelry) or detach it. It falls off if your attunement to it ends. You can use th"&amp;"e shard as a spellcasting focus while you hold or wear it.When you use a Metamagic option on a spell while you are holding or wearing the shard, you can momentarily curse one creature targeted by the spell; choose one ability score, and until the end of y"&amp;"our next turn, the creature has disadvantage on ability checks and saving throws that use that ability.")</f>
        <v>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v>
      </c>
      <c r="L102" s="18">
        <f>IFERROR(__xludf.DUMMYFUNCTION("""COMPUTED_VALUE"""),1400.0)</f>
        <v>1400</v>
      </c>
    </row>
    <row r="103">
      <c r="A103" s="8" t="str">
        <f>IFERROR(__xludf.DUMMYFUNCTION("""COMPUTED_VALUE"""),"Sun Staff")</f>
        <v>Sun Staff</v>
      </c>
      <c r="B103" s="8" t="str">
        <f>IFERROR(__xludf.DUMMYFUNCTION("""COMPUTED_VALUE"""),"BMT")</f>
        <v>BMT</v>
      </c>
      <c r="C103" s="8" t="str">
        <f>IFERROR(__xludf.DUMMYFUNCTION("""COMPUTED_VALUE"""),"rare")</f>
        <v>rare</v>
      </c>
      <c r="D103" s="8" t="str">
        <f>IFERROR(__xludf.DUMMYFUNCTION("""COMPUTED_VALUE"""),"Simple Weapon, Melee Weapon")</f>
        <v>Simple Weapon, Melee Weapon</v>
      </c>
      <c r="E103" s="8" t="str">
        <f>IFERROR(__xludf.DUMMYFUNCTION("""COMPUTED_VALUE"""),"requires attunement by a cleric, druid, or wizard")</f>
        <v>requires attunement by a cleric, druid, or wizard</v>
      </c>
      <c r="F103" s="8" t="str">
        <f>IFERROR(__xludf.DUMMYFUNCTION("""COMPUTED_VALUE"""),"1d6 Bludgeoning")</f>
        <v>1d6 Bludgeoning</v>
      </c>
      <c r="G103" s="8" t="str">
        <f>IFERROR(__xludf.DUMMYFUNCTION("""COMPUTED_VALUE"""),"versatile (1d8)")</f>
        <v>versatile (1d8)</v>
      </c>
      <c r="H103" s="8"/>
      <c r="I103" s="8"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L103" s="19">
        <f>IFERROR(__xludf.DUMMYFUNCTION("""COMPUTED_VALUE"""),1400.0)</f>
        <v>1400</v>
      </c>
    </row>
    <row r="104">
      <c r="A104" s="10" t="str">
        <f>IFERROR(__xludf.DUMMYFUNCTION("""COMPUTED_VALUE"""),"Staff of Fate")</f>
        <v>Staff of Fate</v>
      </c>
      <c r="B104" s="10" t="str">
        <f>IFERROR(__xludf.DUMMYFUNCTION("""COMPUTED_VALUE"""),"CM")</f>
        <v>CM</v>
      </c>
      <c r="C104" s="10" t="str">
        <f>IFERROR(__xludf.DUMMYFUNCTION("""COMPUTED_VALUE"""),"very rare")</f>
        <v>very rare</v>
      </c>
      <c r="D104" s="10" t="str">
        <f>IFERROR(__xludf.DUMMYFUNCTION("""COMPUTED_VALUE"""),"Simple Weapon, Melee Weapon")</f>
        <v>Simple Weapon, Melee Weapon</v>
      </c>
      <c r="E104" s="10" t="str">
        <f>IFERROR(__xludf.DUMMYFUNCTION("""COMPUTED_VALUE"""),"requires attunement")</f>
        <v>requires attunement</v>
      </c>
      <c r="F104" s="10" t="str">
        <f>IFERROR(__xludf.DUMMYFUNCTION("""COMPUTED_VALUE"""),"1d6 Bludgeoning")</f>
        <v>1d6 Bludgeoning</v>
      </c>
      <c r="G104" s="10" t="str">
        <f>IFERROR(__xludf.DUMMYFUNCTION("""COMPUTED_VALUE"""),"versatile (1d8)")</f>
        <v>versatile (1d8)</v>
      </c>
      <c r="H104" s="10"/>
      <c r="I104" s="10" t="str">
        <f>IFERROR(__xludf.DUMMYFUNCTION("""COMPUTED_VALUE"""),"This transparent crystal staff can be wielded as a magic quarterstaff. Altered Outcome. The staff has 6 charges. As a bonus action, you can expend 1 of the staff's charges to give yourself or one other creature that you can see a d4. The recipient can rol"&amp;"l this d4 and add the number rolled to one ability check, attack roll, damage roll, or saving throw it makes before the start of your next turn. If this extra die is not used before then, it is lost.If you expend the staff's last charge, roll a d20. On a "&amp;"roll of 9 or lower, the staff becomes a nonmagical quarterstaff that breaks the first time it scores a hit and deals damage. On a roll of 10 or higher, the staff regains 1d6 of its expended charges. Versatile. This weapon can be used with one or two hands"&amp;". A damage value in parentheses appears with the propertyâthe damage when the weapon is used with two hands to make a melee attack.")</f>
        <v>This transparent crystal staff can be wielded as a magic quarterstaff. Altered Outcome. The staff has 6 charges. As a bonus action, you can expend 1 of the staff's charges to give yourself or one other creature that you can see a d4. The recipient can roll this d4 and add the number rolled to one ability check, attack roll, damage roll, or saving throw it makes before the start of your next turn. If this extra die is not used before then, it is lost.If you expend the staff's last charge, roll a d20. On a roll of 9 or lower, the staff becomes a nonmagical quarterstaff that breaks the first time it scores a hit and deals damage. On a roll of 10 or higher, the staff regains 1d6 of its expended charges. Versatile. This weapon can be used with one or two hands. A damage value in parentheses appears with the propertyâ_x0080__x0094_the damage when the weapon is used with two hands to make a melee attack.</v>
      </c>
      <c r="L104" s="18">
        <f>IFERROR(__xludf.DUMMYFUNCTION("""COMPUTED_VALUE"""),1400.0)</f>
        <v>1400</v>
      </c>
    </row>
    <row r="105">
      <c r="A105" s="8" t="str">
        <f>IFERROR(__xludf.DUMMYFUNCTION("""COMPUTED_VALUE"""),"Sentinel Shield")</f>
        <v>Sentinel Shield</v>
      </c>
      <c r="B105" s="8" t="str">
        <f>IFERROR(__xludf.DUMMYFUNCTION("""COMPUTED_VALUE"""),"DMG'24")</f>
        <v>DMG'24</v>
      </c>
      <c r="C105" s="8" t="str">
        <f>IFERROR(__xludf.DUMMYFUNCTION("""COMPUTED_VALUE"""),"uncommon")</f>
        <v>uncommon</v>
      </c>
      <c r="D105" s="8" t="str">
        <f>IFERROR(__xludf.DUMMYFUNCTION("""COMPUTED_VALUE"""),"Shield")</f>
        <v>Shield</v>
      </c>
      <c r="E105" s="8"/>
      <c r="F105" s="8" t="str">
        <f>IFERROR(__xludf.DUMMYFUNCTION("""COMPUTED_VALUE"""),"AC +2")</f>
        <v>AC +2</v>
      </c>
      <c r="G105" s="8"/>
      <c r="H105" s="8"/>
      <c r="I105" s="8" t="str">
        <f>IFERROR(__xludf.DUMMYFUNCTION("""COMPUTED_VALUE"""),"While holding this Shield, you have Advantage on Initiative rolls and Wisdom (Perception) checks. The Shield is emblazoned with a symbol of an eye.")</f>
        <v>While holding this Shield, you have Advantage on Initiative rolls and Wisdom (Perception) checks. The Shield is emblazoned with a symbol of an eye.</v>
      </c>
      <c r="L105" s="19">
        <f>IFERROR(__xludf.DUMMYFUNCTION("""COMPUTED_VALUE"""),1500.0)</f>
        <v>1500</v>
      </c>
    </row>
    <row r="106">
      <c r="A106" s="10" t="str">
        <f>IFERROR(__xludf.DUMMYFUNCTION("""COMPUTED_VALUE"""),"Serpent Scale Armor")</f>
        <v>Serpent Scale Armor</v>
      </c>
      <c r="B106" s="10" t="str">
        <f>IFERROR(__xludf.DUMMYFUNCTION("""COMPUTED_VALUE"""),"CM")</f>
        <v>CM</v>
      </c>
      <c r="C106" s="10" t="str">
        <f>IFERROR(__xludf.DUMMYFUNCTION("""COMPUTED_VALUE"""),"uncommon")</f>
        <v>uncommon</v>
      </c>
      <c r="D106" s="10" t="str">
        <f>IFERROR(__xludf.DUMMYFUNCTION("""COMPUTED_VALUE"""),"Medium Armor")</f>
        <v>Medium Armor</v>
      </c>
      <c r="E106" s="10"/>
      <c r="F106" s="10" t="str">
        <f>IFERROR(__xludf.DUMMYFUNCTION("""COMPUTED_VALUE"""),"AC 14 + Dex")</f>
        <v>AC 14 + Dex</v>
      </c>
      <c r="G106" s="10"/>
      <c r="H106" s="10"/>
      <c r="I106" s="10" t="str">
        <f>IFERROR(__xludf.DUMMYFUNCTION("""COMPUTED_VALUE"""),"This suit of magic armor is made from shimmering scales. While wearing it, you can apply your full Dexterity modifier (instead of a maximum of +2) when determining your Armor Class. In addition, this armor does not impose disadvantage on your Dexterity (S"&amp;"tealth) checks.")</f>
        <v>This suit of magic armor is made from shimmering scales. While wearing it, you can apply your full Dexterity modifier (instead of a maximum of +2) when determining your Armor Class. In addition, this armor does not impose disadvantage on your Dexterity (Stealth) checks.</v>
      </c>
      <c r="L106" s="18">
        <f>IFERROR(__xludf.DUMMYFUNCTION("""COMPUTED_VALUE"""),1500.0)</f>
        <v>1500</v>
      </c>
    </row>
    <row r="107">
      <c r="A107" s="8" t="str">
        <f>IFERROR(__xludf.DUMMYFUNCTION("""COMPUTED_VALUE"""),"Enspelled Armor (Level 2)")</f>
        <v>Enspelled Armor (Level 2)</v>
      </c>
      <c r="B107" s="8" t="str">
        <f>IFERROR(__xludf.DUMMYFUNCTION("""COMPUTED_VALUE"""),"DMG'24")</f>
        <v>DMG'24</v>
      </c>
      <c r="C107" s="8" t="str">
        <f>IFERROR(__xludf.DUMMYFUNCTION("""COMPUTED_VALUE"""),"rare")</f>
        <v>rare</v>
      </c>
      <c r="D107" s="8" t="str">
        <f>IFERROR(__xludf.DUMMYFUNCTION("""COMPUTED_VALUE"""),"Generic Variant")</f>
        <v>Generic Variant</v>
      </c>
      <c r="E107" s="8" t="str">
        <f>IFERROR(__xludf.DUMMYFUNCTION("""COMPUTED_VALUE"""),"requires attunement")</f>
        <v>requires attunement</v>
      </c>
      <c r="F107" s="8"/>
      <c r="G107" s="8"/>
      <c r="H107" s="8"/>
      <c r="I107" s="8" t="str">
        <f>IFERROR(__xludf.DUMMYFUNCTION("""COMPUTED_VALUE"""),"Bound into this armor is a level 2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2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107" s="19">
        <f>IFERROR(__xludf.DUMMYFUNCTION("""COMPUTED_VALUE"""),1500.0)</f>
        <v>1500</v>
      </c>
    </row>
    <row r="108">
      <c r="A108" s="10" t="str">
        <f>IFERROR(__xludf.DUMMYFUNCTION("""COMPUTED_VALUE"""),"Enspelled Staff (Level 2)")</f>
        <v>Enspelled Staff (Level 2)</v>
      </c>
      <c r="B108" s="10" t="str">
        <f>IFERROR(__xludf.DUMMYFUNCTION("""COMPUTED_VALUE"""),"DMG'24")</f>
        <v>DMG'24</v>
      </c>
      <c r="C108" s="10" t="str">
        <f>IFERROR(__xludf.DUMMYFUNCTION("""COMPUTED_VALUE"""),"rare")</f>
        <v>rare</v>
      </c>
      <c r="D108" s="10" t="str">
        <f>IFERROR(__xludf.DUMMYFUNCTION("""COMPUTED_VALUE"""),"Simple Weapon, Melee Weapon")</f>
        <v>Simple Weapon, Melee Weapon</v>
      </c>
      <c r="E108" s="10" t="str">
        <f>IFERROR(__xludf.DUMMYFUNCTION("""COMPUTED_VALUE"""),"requires attunement by a Spellcaster")</f>
        <v>requires attunement by a Spellcaster</v>
      </c>
      <c r="F108" s="10" t="str">
        <f>IFERROR(__xludf.DUMMYFUNCTION("""COMPUTED_VALUE"""),"1d6 Bludgeoning")</f>
        <v>1d6 Bludgeoning</v>
      </c>
      <c r="G108" s="10" t="str">
        <f>IFERROR(__xludf.DUMMYFUNCTION("""COMPUTED_VALUE"""),"Versatile (1d8)")</f>
        <v>Versatile (1d8)</v>
      </c>
      <c r="H108" s="10" t="str">
        <f>IFERROR(__xludf.DUMMYFUNCTION("""COMPUTED_VALUE"""),"Mastery: Topple")</f>
        <v>Mastery: Topple</v>
      </c>
      <c r="I108" s="10" t="str">
        <f>IFERROR(__xludf.DUMMYFUNCTION("""COMPUTED_VALUE"""),"Bound into this staff is a level 2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2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108" s="18">
        <f>IFERROR(__xludf.DUMMYFUNCTION("""COMPUTED_VALUE"""),1500.0)</f>
        <v>1500</v>
      </c>
    </row>
    <row r="109">
      <c r="A109" s="8" t="str">
        <f>IFERROR(__xludf.DUMMYFUNCTION("""COMPUTED_VALUE"""),"Enspelled Weapon (Level 2)")</f>
        <v>Enspelled Weapon (Level 2)</v>
      </c>
      <c r="B109" s="8" t="str">
        <f>IFERROR(__xludf.DUMMYFUNCTION("""COMPUTED_VALUE"""),"DMG'24")</f>
        <v>DMG'24</v>
      </c>
      <c r="C109" s="8" t="str">
        <f>IFERROR(__xludf.DUMMYFUNCTION("""COMPUTED_VALUE"""),"rare")</f>
        <v>rare</v>
      </c>
      <c r="D109" s="8" t="str">
        <f>IFERROR(__xludf.DUMMYFUNCTION("""COMPUTED_VALUE"""),"Generic Variant")</f>
        <v>Generic Variant</v>
      </c>
      <c r="E109" s="8" t="str">
        <f>IFERROR(__xludf.DUMMYFUNCTION("""COMPUTED_VALUE"""),"requires attunement")</f>
        <v>requires attunement</v>
      </c>
      <c r="F109" s="8"/>
      <c r="G109" s="8"/>
      <c r="H109" s="8"/>
      <c r="I109" s="8" t="str">
        <f>IFERROR(__xludf.DUMMYFUNCTION("""COMPUTED_VALUE"""),"Bound into this weapon is a level 2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2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109" s="19">
        <f>IFERROR(__xludf.DUMMYFUNCTION("""COMPUTED_VALUE"""),1500.0)</f>
        <v>1500</v>
      </c>
    </row>
    <row r="110">
      <c r="A110" s="10" t="str">
        <f>IFERROR(__xludf.DUMMYFUNCTION("""COMPUTED_VALUE"""),"Frost Brand")</f>
        <v>Frost Brand</v>
      </c>
      <c r="B110" s="10" t="str">
        <f>IFERROR(__xludf.DUMMYFUNCTION("""COMPUTED_VALUE"""),"DMG'24")</f>
        <v>DMG'24</v>
      </c>
      <c r="C110" s="10" t="str">
        <f>IFERROR(__xludf.DUMMYFUNCTION("""COMPUTED_VALUE"""),"very rare")</f>
        <v>very rare</v>
      </c>
      <c r="D110" s="10" t="str">
        <f>IFERROR(__xludf.DUMMYFUNCTION("""COMPUTED_VALUE"""),"Generic Variant")</f>
        <v>Generic Variant</v>
      </c>
      <c r="E110" s="10" t="str">
        <f>IFERROR(__xludf.DUMMYFUNCTION("""COMPUTED_VALUE"""),"requires attunement")</f>
        <v>requires attunement</v>
      </c>
      <c r="F110" s="10"/>
      <c r="G110" s="10"/>
      <c r="H110" s="10"/>
      <c r="I110" s="10" t="str">
        <f>IFERROR(__xludf.DUMMYFUNCTION("""COMPUTED_VALUE"""),"When you hit with an attack roll using this magic weapon, the target takes an extra 1d6 Cold damage. In addition, while you hold the weapon, you have Resistance to Fire damage.In freezing temperatures, the weapon sheds Bright Light in a 10-foot radius and"&amp;" Dim Light for an additional 10 feet.When you draw this weapon, you can extinguish all nonmagical flames within 30 feet of yourself. Once used, this property can't be used again for 1 hour. 
Applied to non-magical Base Equipment.")</f>
        <v>When you hit with an attack roll using this magic weapon, the target takes an extra 1d6 Cold damage. In addition, while you hold the weapon, you have Resistance to Fire damage.In freezing temperatures, the weapon sheds Bright Light in a 10-foot radius and Dim Light for an additional 10 feet.When you draw this weapon, you can extinguish all nonmagical flames within 30 feet of yourself. Once used, this property can't be used again for 1 hour. 
Applied to non-magical Base Equipment.</v>
      </c>
      <c r="L110" s="18">
        <f>IFERROR(__xludf.DUMMYFUNCTION("""COMPUTED_VALUE"""),1500.0)</f>
        <v>1500</v>
      </c>
    </row>
    <row r="111">
      <c r="A111" s="8" t="str">
        <f>IFERROR(__xludf.DUMMYFUNCTION("""COMPUTED_VALUE"""),"Sword of the Paruns")</f>
        <v>Sword of the Paruns</v>
      </c>
      <c r="B111" s="8" t="str">
        <f>IFERROR(__xludf.DUMMYFUNCTION("""COMPUTED_VALUE"""),"GGR")</f>
        <v>GGR</v>
      </c>
      <c r="C111" s="8" t="str">
        <f>IFERROR(__xludf.DUMMYFUNCTION("""COMPUTED_VALUE"""),"very rare")</f>
        <v>very rare</v>
      </c>
      <c r="D111" s="8" t="str">
        <f>IFERROR(__xludf.DUMMYFUNCTION("""COMPUTED_VALUE"""),"Martial Weapon, Melee Weapon")</f>
        <v>Martial Weapon, Melee Weapon</v>
      </c>
      <c r="E111" s="8" t="str">
        <f>IFERROR(__xludf.DUMMYFUNCTION("""COMPUTED_VALUE"""),"requires attunement")</f>
        <v>requires attunement</v>
      </c>
      <c r="F111" s="8" t="str">
        <f>IFERROR(__xludf.DUMMYFUNCTION("""COMPUTED_VALUE"""),"1d8 Slashing")</f>
        <v>1d8 Slashing</v>
      </c>
      <c r="G111" s="8" t="str">
        <f>IFERROR(__xludf.DUMMYFUNCTION("""COMPUTED_VALUE"""),"versatile (1d10)")</f>
        <v>versatile (1d10)</v>
      </c>
      <c r="H111" s="8"/>
      <c r="I111" s="8" t="str">
        <f>IFERROR(__xludf.DUMMYFUNCTION("""COMPUTED_VALUE"""),"Once on each of your turns, you can use one of the following properties if you're holding the sword:Immediately after you use the Attack action to attack with the sword, you can enable one creature within 60 feet of you to use its reaction to make one wea"&amp;"pon attack. Immediately after you take the Dash action, you can enable one creature within 60 feet of you to use its reaction to move up to its speed. Immediately after you take the Dodge action, you can enable one creature within 60 feet of you to use it"&amp;"s reaction to gain the benefits of the Dodge action. Versatile. This weapon can be used with one or two hands. A damage value in parentheses appears with the property the damage when the weapon is used with two hands to make a melee attack.")</f>
        <v>Once on each of your turns, you can use one of the following properties if you're holding the sword:Immediately after you use the Attack action to attack with the sword, you can enable one creature within 60 feet of you to use its reaction to make one weapon attack. Immediately after you take the Dash action, you can enable one creature within 60 feet of you to use its reaction to move up to its speed. Immediately after you take the Dodge action, you can enable one creature within 60 feet of you to use its reaction to gain the benefits of the Dodge action. Versatile. This weapon can be used with one or two hands. A damage value in parentheses appears with the property the damage when the weapon is used with two hands to make a melee attack.</v>
      </c>
      <c r="L111" s="19">
        <f>IFERROR(__xludf.DUMMYFUNCTION("""COMPUTED_VALUE"""),1500.0)</f>
        <v>1500</v>
      </c>
    </row>
    <row r="112">
      <c r="A112" s="10" t="str">
        <f>IFERROR(__xludf.DUMMYFUNCTION("""COMPUTED_VALUE"""),"Reaper's Scream")</f>
        <v>Reaper's Scream</v>
      </c>
      <c r="B112" s="10" t="str">
        <f>IFERROR(__xludf.DUMMYFUNCTION("""COMPUTED_VALUE"""),"BGG")</f>
        <v>BGG</v>
      </c>
      <c r="C112" s="10" t="str">
        <f>IFERROR(__xludf.DUMMYFUNCTION("""COMPUTED_VALUE"""),"legendary")</f>
        <v>legendary</v>
      </c>
      <c r="D112" s="10" t="str">
        <f>IFERROR(__xludf.DUMMYFUNCTION("""COMPUTED_VALUE"""),"Martial Weapon, Melee Weapon")</f>
        <v>Martial Weapon, Melee Weapon</v>
      </c>
      <c r="E112" s="10" t="str">
        <f>IFERROR(__xludf.DUMMYFUNCTION("""COMPUTED_VALUE"""),"requires attunement")</f>
        <v>requires attunement</v>
      </c>
      <c r="F112" s="10" t="str">
        <f>IFERROR(__xludf.DUMMYFUNCTION("""COMPUTED_VALUE"""),"1d8 Piercing")</f>
        <v>1d8 Piercing</v>
      </c>
      <c r="G112" s="10"/>
      <c r="H112" s="10"/>
      <c r="I112" s="10" t="str">
        <f>IFERROR(__xludf.DUMMYFUNCTION("""COMPUTED_VALUE"""),"The spikes of this iron morningstar glow with sickly, pale light. The death rune is inscribed on its shaft and inlaid with pearl. Attacks with this weapon deal necrotic damage instead of piercing damage.When you attack a creature with this weapon and roll"&amp;" a 20 on the attack roll, you gain 10 temporary hit points. Any creature that hits you with a melee attack while you have 1 or more of these temporary hit points takes 10 necrotic damage. Invoking the Rune. As a bonus action, you can invoke the weapon's r"&amp;"une, unleashing the screams of every creature slain by the weapon in one cacophonous burst. Each creature of your choice within 60 feet of you must succeed on a DC 15 Wisdom saving throw or have the stunned condition until the start of your next turn.Once"&amp;" the rune has been invoked, it can't be invoked again until the next dawn.")</f>
        <v>The spikes of this iron morningstar glow with sickly, pale light. The death rune is inscribed on its shaft and inlaid with pearl. Attacks with this weapon deal necrotic damage instead of piercing damage.When you attack a creature with this weapon and roll a 20 on the attack roll, you gain 10 temporary hit points. Any creature that hits you with a melee attack while you have 1 or more of these temporary hit points takes 10 necrotic damage. Invoking the Rune. As a bonus action, you can invoke the weapon's rune, unleashing the screams of every creature slain by the weapon in one cacophonous burst. Each creature of your choice within 60 feet of you must succeed on a DC 15 Wisdom saving throw or have the stunned condition until the start of your next turn.Once the rune has been invoked, it can't be invoked again until the next dawn.</v>
      </c>
      <c r="L112" s="18">
        <f>IFERROR(__xludf.DUMMYFUNCTION("""COMPUTED_VALUE"""),1600.0)</f>
        <v>1600</v>
      </c>
    </row>
    <row r="113">
      <c r="A113" s="8" t="str">
        <f>IFERROR(__xludf.DUMMYFUNCTION("""COMPUTED_VALUE"""),"Shield of the Cavalier")</f>
        <v>Shield of the Cavalier</v>
      </c>
      <c r="B113" s="8" t="str">
        <f>IFERROR(__xludf.DUMMYFUNCTION("""COMPUTED_VALUE"""),"DMG'24")</f>
        <v>DMG'24</v>
      </c>
      <c r="C113" s="8" t="str">
        <f>IFERROR(__xludf.DUMMYFUNCTION("""COMPUTED_VALUE"""),"very rare")</f>
        <v>very rare</v>
      </c>
      <c r="D113" s="8" t="str">
        <f>IFERROR(__xludf.DUMMYFUNCTION("""COMPUTED_VALUE"""),"Shield")</f>
        <v>Shield</v>
      </c>
      <c r="E113" s="8" t="str">
        <f>IFERROR(__xludf.DUMMYFUNCTION("""COMPUTED_VALUE"""),"requires attunement")</f>
        <v>requires attunement</v>
      </c>
      <c r="F113" s="8" t="str">
        <f>IFERROR(__xludf.DUMMYFUNCTION("""COMPUTED_VALUE"""),"AC +2")</f>
        <v>AC +2</v>
      </c>
      <c r="G113" s="8"/>
      <c r="H113" s="8"/>
      <c r="I113" s="8" t="str">
        <f>IFERROR(__xludf.DUMMYFUNCTION("""COMPUTED_VALUE"""),"This bonus is in addition to the Shield's normal bonus to AC.The Shield has the following additional properties that you can use while holding it. Forceful Bash. When you take the Attack action, you can make one of the attack rolls using the Shield agains"&amp;"t a target within 5 feet of yourself. Apply your Proficiency Bonus and Strength modifier to the attack roll. On a hit, the Shield deals Force damage to the target equal to 2d6 + 2 plus your Strength modifier, and if the target is a creature, you can push "&amp;"it up to 10 feet directly away from yourself. If the creature is your size or smaller, you can also knock it down, giving it the Prone condition. Protective Field. As a Reaction, when you or an ally you can see within 5 feet of you is targeted by an attac"&amp;"k or makes a saving throw against an area of effect, you can use the Shield to create an immobile 5-foot Emanation originating from you. When the Emanation appears, any creatures or objects not fully contained within it are pushed into the nearest unoccup"&amp;"ied spaces outside it. The attack or area of effect that triggered the Reaction has no effect on creatures and objects inside the Emanation, which lasts as long as you maintain Concentration, up to 1 minute. Nothing can pass into or out of the Emanation. "&amp;"A creature or object inside the Emanation can't be damaged by attacks or effects originating from outside, nor can a creature inside the Emanation damage anything outside it. Once this property is used, it can't be used again until the next dawn.")</f>
        <v>This bonus is in addition to the Shield's normal bonus to AC.The Shield has the following additional properties that you can use while holding it. Forceful Bash. When you take the Attack action, you can make one of the attack rolls using the Shield against a target within 5 feet of yourself. Apply your Proficiency Bonus and Strength modifier to the attack roll. On a hit, the Shield deals Force damage to the target equal to 2d6 + 2 plus your Strength modifier, and if the target is a creature, you can push it up to 10 feet directly away from yourself. If the creature is your size or smaller, you can also knock it down, giving it the Prone condition. Protective Field. As a Reaction, when you or an ally you can see within 5 feet of you is targeted by an attack or makes a saving throw against an area of effect, you can use the Shield to create an immobile 5-foot Emanation originating from you. When the Emanation appears, any creatures or objects not fully contained within it are pushed into the nearest unoccupied spaces outside it. The attack or area of effect that triggered the Reaction has no effect on creatures and objects inside the Emanation, which lasts as long as you maintain Concentration, up to 1 minute. Nothing can pass into or out of the Emanation. A creature or object inside the Emanation can't be damaged by attacks or effects originating from outside, nor can a creature inside the Emanation damage anything outside it. Once this property is used, it can't be used again until the next dawn.</v>
      </c>
      <c r="L113" s="19">
        <f>IFERROR(__xludf.DUMMYFUNCTION("""COMPUTED_VALUE"""),1800.0)</f>
        <v>1800</v>
      </c>
    </row>
    <row r="114">
      <c r="A114" s="10" t="str">
        <f>IFERROR(__xludf.DUMMYFUNCTION("""COMPUTED_VALUE"""),"Wand of Web")</f>
        <v>Wand of Web</v>
      </c>
      <c r="B114" s="10" t="str">
        <f>IFERROR(__xludf.DUMMYFUNCTION("""COMPUTED_VALUE"""),"DMG'24")</f>
        <v>DMG'24</v>
      </c>
      <c r="C114" s="10" t="str">
        <f>IFERROR(__xludf.DUMMYFUNCTION("""COMPUTED_VALUE"""),"uncommon")</f>
        <v>uncommon</v>
      </c>
      <c r="D114" s="10" t="str">
        <f>IFERROR(__xludf.DUMMYFUNCTION("""COMPUTED_VALUE"""),"Wand")</f>
        <v>Wand</v>
      </c>
      <c r="E114" s="10" t="str">
        <f>IFERROR(__xludf.DUMMYFUNCTION("""COMPUTED_VALUE"""),"requires attunement by a spellcaster")</f>
        <v>requires attunement by a spellcaster</v>
      </c>
      <c r="F114" s="10"/>
      <c r="G114" s="10"/>
      <c r="H114" s="10"/>
      <c r="I114" s="10" t="str">
        <f>IFERROR(__xludf.DUMMYFUNCTION("""COMPUTED_VALUE"""),"This wand has 7 charges. While holding it, you can expend 1 charge to cast Web (save DC 13) from it. Regaining Charges. The wand regains 1d6 + 1 expended charges daily at dawn. If you expend the wand's last charge, roll 1d20. On a 1, the wand crumbles int"&amp;"o ashes and is destroyed.")</f>
        <v>This wand has 7 charges. While holding it, you can expend 1 charge to cast Web (save DC 13) from it. Regaining Charges. The wand regains 1d6 + 1 expended charges daily at dawn. If you expend the wand's last charge, roll 1d20. On a 1, the wand crumbles into ashes and is destroyed.</v>
      </c>
      <c r="L114" s="18">
        <f>IFERROR(__xludf.DUMMYFUNCTION("""COMPUTED_VALUE"""),2150.0)</f>
        <v>2150</v>
      </c>
    </row>
    <row r="115">
      <c r="A115" s="8" t="str">
        <f>IFERROR(__xludf.DUMMYFUNCTION("""COMPUTED_VALUE"""),"Enspelled Armor (Level 3)")</f>
        <v>Enspelled Armor (Level 3)</v>
      </c>
      <c r="B115" s="8" t="str">
        <f>IFERROR(__xludf.DUMMYFUNCTION("""COMPUTED_VALUE"""),"DMG'24")</f>
        <v>DMG'24</v>
      </c>
      <c r="C115" s="8" t="str">
        <f>IFERROR(__xludf.DUMMYFUNCTION("""COMPUTED_VALUE"""),"rare")</f>
        <v>rare</v>
      </c>
      <c r="D115" s="8" t="str">
        <f>IFERROR(__xludf.DUMMYFUNCTION("""COMPUTED_VALUE"""),"Generic Variant")</f>
        <v>Generic Variant</v>
      </c>
      <c r="E115" s="8" t="str">
        <f>IFERROR(__xludf.DUMMYFUNCTION("""COMPUTED_VALUE"""),"requires attunement")</f>
        <v>requires attunement</v>
      </c>
      <c r="F115" s="8"/>
      <c r="G115" s="8"/>
      <c r="H115" s="8"/>
      <c r="I115" s="8" t="str">
        <f>IFERROR(__xludf.DUMMYFUNCTION("""COMPUTED_VALUE"""),"Bound into this armor is a level 3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15, and its attack bonus is +7. 
Applied to non-magical Base Equipment.")</f>
        <v>Bound into this armor is a level 3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15, and its attack bonus is +7. 
Applied to non-magical Base Equipment.</v>
      </c>
      <c r="L115" s="19">
        <f>IFERROR(__xludf.DUMMYFUNCTION("""COMPUTED_VALUE"""),2150.0)</f>
        <v>2150</v>
      </c>
    </row>
    <row r="116">
      <c r="A116" s="10" t="str">
        <f>IFERROR(__xludf.DUMMYFUNCTION("""COMPUTED_VALUE"""),"Enspelled Staff (Level 3)")</f>
        <v>Enspelled Staff (Level 3)</v>
      </c>
      <c r="B116" s="10" t="str">
        <f>IFERROR(__xludf.DUMMYFUNCTION("""COMPUTED_VALUE"""),"DMG'24")</f>
        <v>DMG'24</v>
      </c>
      <c r="C116" s="10" t="str">
        <f>IFERROR(__xludf.DUMMYFUNCTION("""COMPUTED_VALUE"""),"rare")</f>
        <v>rare</v>
      </c>
      <c r="D116" s="10" t="str">
        <f>IFERROR(__xludf.DUMMYFUNCTION("""COMPUTED_VALUE"""),"Simple Weapon, Melee Weapon")</f>
        <v>Simple Weapon, Melee Weapon</v>
      </c>
      <c r="E116" s="10" t="str">
        <f>IFERROR(__xludf.DUMMYFUNCTION("""COMPUTED_VALUE"""),"requires attunement by a Spellcaster")</f>
        <v>requires attunement by a Spellcaster</v>
      </c>
      <c r="F116" s="10" t="str">
        <f>IFERROR(__xludf.DUMMYFUNCTION("""COMPUTED_VALUE"""),"1d6 Bludgeoning")</f>
        <v>1d6 Bludgeoning</v>
      </c>
      <c r="G116" s="10" t="str">
        <f>IFERROR(__xludf.DUMMYFUNCTION("""COMPUTED_VALUE"""),"Versatile (1d8)")</f>
        <v>Versatile (1d8)</v>
      </c>
      <c r="H116" s="10" t="str">
        <f>IFERROR(__xludf.DUMMYFUNCTION("""COMPUTED_VALUE"""),"Mastery: Topple")</f>
        <v>Mastery: Topple</v>
      </c>
      <c r="I116" s="10" t="str">
        <f>IFERROR(__xludf.DUMMYFUNCTION("""COMPUTED_VALUE"""),"Bound into this staff is a level 3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15, and its attack bonus is +7.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3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15, and its attack bonus is +7.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116" s="18">
        <f>IFERROR(__xludf.DUMMYFUNCTION("""COMPUTED_VALUE"""),2150.0)</f>
        <v>2150</v>
      </c>
    </row>
    <row r="117">
      <c r="A117" s="8" t="str">
        <f>IFERROR(__xludf.DUMMYFUNCTION("""COMPUTED_VALUE"""),"Enspelled Weapon (Level 3)")</f>
        <v>Enspelled Weapon (Level 3)</v>
      </c>
      <c r="B117" s="8" t="str">
        <f>IFERROR(__xludf.DUMMYFUNCTION("""COMPUTED_VALUE"""),"DMG'24")</f>
        <v>DMG'24</v>
      </c>
      <c r="C117" s="8" t="str">
        <f>IFERROR(__xludf.DUMMYFUNCTION("""COMPUTED_VALUE"""),"rare")</f>
        <v>rare</v>
      </c>
      <c r="D117" s="8" t="str">
        <f>IFERROR(__xludf.DUMMYFUNCTION("""COMPUTED_VALUE"""),"Generic Variant")</f>
        <v>Generic Variant</v>
      </c>
      <c r="E117" s="8" t="str">
        <f>IFERROR(__xludf.DUMMYFUNCTION("""COMPUTED_VALUE"""),"requires attunement")</f>
        <v>requires attunement</v>
      </c>
      <c r="F117" s="8"/>
      <c r="G117" s="8"/>
      <c r="H117" s="8"/>
      <c r="I117" s="8" t="str">
        <f>IFERROR(__xludf.DUMMYFUNCTION("""COMPUTED_VALUE"""),"Bound into this weapon is a level 3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15, and its attack bonus is +7. 
Applied to non-magical Base Equipment.")</f>
        <v>Bound into this weapon is a level 3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15, and its attack bonus is +7. 
Applied to non-magical Base Equipment.</v>
      </c>
      <c r="L117" s="19">
        <f>IFERROR(__xludf.DUMMYFUNCTION("""COMPUTED_VALUE"""),2150.0)</f>
        <v>2150</v>
      </c>
    </row>
    <row r="118">
      <c r="A118" s="10" t="str">
        <f>IFERROR(__xludf.DUMMYFUNCTION("""COMPUTED_VALUE"""),"Oathbow")</f>
        <v>Oathbow</v>
      </c>
      <c r="B118" s="10" t="str">
        <f>IFERROR(__xludf.DUMMYFUNCTION("""COMPUTED_VALUE"""),"DMG'24")</f>
        <v>DMG'24</v>
      </c>
      <c r="C118" s="10" t="str">
        <f>IFERROR(__xludf.DUMMYFUNCTION("""COMPUTED_VALUE"""),"very rare")</f>
        <v>very rare</v>
      </c>
      <c r="D118" s="10" t="str">
        <f>IFERROR(__xludf.DUMMYFUNCTION("""COMPUTED_VALUE"""),"Generic Variant")</f>
        <v>Generic Variant</v>
      </c>
      <c r="E118" s="10" t="str">
        <f>IFERROR(__xludf.DUMMYFUNCTION("""COMPUTED_VALUE"""),"requires attunement")</f>
        <v>requires attunement</v>
      </c>
      <c r="F118" s="10"/>
      <c r="G118" s="10"/>
      <c r="H118" s="10"/>
      <c r="I118" s="10" t="str">
        <f>IFERROR(__xludf.DUMMYFUNCTION("""COMPUTED_VALUE"""),"When you nock an arrow on this bow, it whispers in Elvish, ""Swift defeat to my enemies."" When you use this weapon to make a ranged attack, you can utter or sign the following command words: ""Swift death to you who have wronged me."" The target of your "&amp;"attack becomes your sworn enemy until it dies or until dawn 7 days later. You can have only one such sworn enemy at a time. When your sworn enemy dies, you can choose a new one after the next dawn. When you make a ranged attack roll with this weapon again"&amp;"st your sworn enemy, you have Advantage on the roll. In addition, your target gains no benefit from Half Cover or Three-Quarters Cover, and you suffer no Disadvantage due to long range. If the attack hits, your sworn enemy takes an extra 3d6 Piercing dama"&amp;"ge. While your sworn enemy lives, you have Disadvantage on attack rolls with all other weapons. 
Applied to non-magical Base Equipment.")</f>
        <v>When you nock an arrow on this bow, it whispers in Elvish, "Swift defeat to my enemies." When you use this weapon to make a ranged attack, you can utter or sign the following command words: "Swift death to you who have wronged me." The target of your attack becomes your sworn enemy until it dies or until dawn 7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Half Cover or Three-Quarters Cover, and you suffer no Disadvantage due to long range. If the attack hits, your sworn enemy takes an extra 3d6 Piercing damage. While your sworn enemy lives, you have Disadvantage on attack rolls with all other weapons. 
Applied to non-magical Base Equipment.</v>
      </c>
      <c r="L118" s="18">
        <f>IFERROR(__xludf.DUMMYFUNCTION("""COMPUTED_VALUE"""),2150.0)</f>
        <v>2150</v>
      </c>
    </row>
    <row r="119">
      <c r="A119" s="8" t="str">
        <f>IFERROR(__xludf.DUMMYFUNCTION("""COMPUTED_VALUE"""),"Sapphire Buckler")</f>
        <v>Sapphire Buckler</v>
      </c>
      <c r="B119" s="8" t="str">
        <f>IFERROR(__xludf.DUMMYFUNCTION("""COMPUTED_VALUE"""),"FTD")</f>
        <v>FTD</v>
      </c>
      <c r="C119" s="8" t="str">
        <f>IFERROR(__xludf.DUMMYFUNCTION("""COMPUTED_VALUE"""),"very rare")</f>
        <v>very rare</v>
      </c>
      <c r="D119" s="8" t="str">
        <f>IFERROR(__xludf.DUMMYFUNCTION("""COMPUTED_VALUE"""),"Shield")</f>
        <v>Shield</v>
      </c>
      <c r="E119" s="8" t="str">
        <f>IFERROR(__xludf.DUMMYFUNCTION("""COMPUTED_VALUE"""),"requires attunement")</f>
        <v>requires attunement</v>
      </c>
      <c r="F119" s="8" t="str">
        <f>IFERROR(__xludf.DUMMYFUNCTION("""COMPUTED_VALUE"""),"AC +2")</f>
        <v>AC +2</v>
      </c>
      <c r="G119" s="8"/>
      <c r="H119" s="8"/>
      <c r="I119" s="8" t="str">
        <f>IFERROR(__xludf.DUMMYFUNCTION("""COMPUTED_VALUE"""),"This crystalline blue shield is fashioned from a sapphire dragon's scale and is created to aid in rooting out the influence of Aberrations. While wielding the shield, you have resistance to psychic and thunder damage. Also, when you take damage from a cre"&amp;"ature that is within 5 feet of you, you can use your reaction to deal 2d6 thunder damage to that creature. As an action, you can use the shield to help you locate Aberrations until the end of your next turn. If any Aberrations are within 1 mile of you, th"&amp;"e shield emits a low humming tone for a moment, and you know the direction of all Aberrations within that range. Once this property is used, it can't be used again until the next dawn.")</f>
        <v>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v>
      </c>
      <c r="L119" s="19">
        <f>IFERROR(__xludf.DUMMYFUNCTION("""COMPUTED_VALUE"""),2150.0)</f>
        <v>2150</v>
      </c>
    </row>
    <row r="120">
      <c r="A120" s="10" t="str">
        <f>IFERROR(__xludf.DUMMYFUNCTION("""COMPUTED_VALUE"""),"Spellguard Shield")</f>
        <v>Spellguard Shield</v>
      </c>
      <c r="B120" s="10" t="str">
        <f>IFERROR(__xludf.DUMMYFUNCTION("""COMPUTED_VALUE"""),"DMG'24")</f>
        <v>DMG'24</v>
      </c>
      <c r="C120" s="10" t="str">
        <f>IFERROR(__xludf.DUMMYFUNCTION("""COMPUTED_VALUE"""),"very rare")</f>
        <v>very rare</v>
      </c>
      <c r="D120" s="10" t="str">
        <f>IFERROR(__xludf.DUMMYFUNCTION("""COMPUTED_VALUE"""),"Shield")</f>
        <v>Shield</v>
      </c>
      <c r="E120" s="10" t="str">
        <f>IFERROR(__xludf.DUMMYFUNCTION("""COMPUTED_VALUE"""),"requires attunement")</f>
        <v>requires attunement</v>
      </c>
      <c r="F120" s="10" t="str">
        <f>IFERROR(__xludf.DUMMYFUNCTION("""COMPUTED_VALUE"""),"AC +2")</f>
        <v>AC +2</v>
      </c>
      <c r="G120" s="10"/>
      <c r="H120" s="10"/>
      <c r="I120" s="10" t="str">
        <f>IFERROR(__xludf.DUMMYFUNCTION("""COMPUTED_VALUE"""),"While holding this Shield, you have Advantage on saving throws against spells and other magical effects, and spell attack rolls have Disadvantage against you.")</f>
        <v>While holding this Shield, you have Advantage on saving throws against spells and other magical effects, and spell attack rolls have Disadvantage against you.</v>
      </c>
      <c r="L120" s="18">
        <f>IFERROR(__xludf.DUMMYFUNCTION("""COMPUTED_VALUE"""),2150.0)</f>
        <v>2150</v>
      </c>
    </row>
    <row r="121">
      <c r="A121" s="8" t="str">
        <f>IFERROR(__xludf.DUMMYFUNCTION("""COMPUTED_VALUE"""),"Shield of the Blazing Dreadnought")</f>
        <v>Shield of the Blazing Dreadnought</v>
      </c>
      <c r="B121" s="8" t="str">
        <f>IFERROR(__xludf.DUMMYFUNCTION("""COMPUTED_VALUE"""),"BGG")</f>
        <v>BGG</v>
      </c>
      <c r="C121" s="8" t="str">
        <f>IFERROR(__xludf.DUMMYFUNCTION("""COMPUTED_VALUE"""),"legendary")</f>
        <v>legendary</v>
      </c>
      <c r="D121" s="8" t="str">
        <f>IFERROR(__xludf.DUMMYFUNCTION("""COMPUTED_VALUE"""),"Shield")</f>
        <v>Shield</v>
      </c>
      <c r="E121" s="8" t="str">
        <f>IFERROR(__xludf.DUMMYFUNCTION("""COMPUTED_VALUE"""),"requires attunement")</f>
        <v>requires attunement</v>
      </c>
      <c r="F121" s="8" t="str">
        <f>IFERROR(__xludf.DUMMYFUNCTION("""COMPUTED_VALUE"""),"AC +2")</f>
        <v>AC +2</v>
      </c>
      <c r="G121" s="8"/>
      <c r="H121" s="8"/>
      <c r="I121" s="8" t="str">
        <f>IFERROR(__xludf.DUMMYFUNCTION("""COMPUTED_VALUE"""),"Modeled after the formidable spiked tower shields wielded by some fire giants, this iron shield emanates a constant warmth.You can use a bonus action to activate the shield, causing glowing lava to flow through the shield's grooves for 1 minute. While the"&amp;" shield is active, you gain the following benefits: Blazing Soul. You have immunity to fire damage. Cleansing Fire. As an action, you can cause the shield to flare with the cleansing fire of the god Surtur. Choose one creature you can see within 30 feet o"&amp;"f yourself (you can choose yourself). One disease or condition of your choice affecting this creature ends immediately; the condition can be blinded, charmed, deafened, or poisoned. Shield Bash. When you take the Attack action on your turn, you can replac"&amp;"e one of your attacks with a shield bash, targeting one creature you can see within 5 feet of yourself. The target must make a Strength saving throw (DC equals 8 + your proficiency bonus + your Strength modifier). On a failed save, the target takes 3d6 bl"&amp;"udgeoning damage plus 3d6 fire damage and is knocked prone. On a successful save, the target takes half as much damage only. You can use Shield Bash only once per turn.Once the shield has been activated, it can't be activated again until the next dawn.")</f>
        <v>Modeled after the formidable spiked tower shields wielded by some fire giants, this iron shield emanates a constant warmth.You can use a bonus action to activate the shield, causing glowing lava to flow through the shield's grooves for 1 minute. While the shield is active, you gain the following benefits: Blazing Soul. You have immunity to fire damage. Cleansing Fire. As an action, you can cause the shield to flare with the cleansing fire of the god Surtur. Choose one creature you can see within 30 feet of yourself (you can choose yourself). One disease or condition of your choice affecting this creature ends immediately; the condition can be blinded, charmed, deafened, or poisoned. Shield Bash. When you take the Attack action on your turn, you can replace one of your attacks with a shield bash, targeting one creature you can see within 5 feet of yourself. The target must make a Strength saving throw (DC equals 8 + your proficiency bonus + your Strength modifier). On a failed save, the target takes 3d6 bludgeoning damage plus 3d6 fire damage and is knocked prone. On a successful save, the target takes half as much damage only. You can use Shield Bash only once per turn.Once the shield has been activated, it can't be activated again until the next dawn.</v>
      </c>
      <c r="L121" s="19">
        <f>IFERROR(__xludf.DUMMYFUNCTION("""COMPUTED_VALUE"""),2150.0)</f>
        <v>2150</v>
      </c>
    </row>
    <row r="122">
      <c r="A122" s="12"/>
      <c r="B122" s="12"/>
      <c r="C122" s="12"/>
      <c r="D122" s="12"/>
      <c r="E122" s="12"/>
      <c r="F122" s="12"/>
      <c r="G122" s="12"/>
      <c r="H122" s="12"/>
      <c r="I122" s="12"/>
      <c r="L122" s="21"/>
    </row>
  </sheetData>
  <mergeCells count="123">
    <mergeCell ref="I1:K1"/>
    <mergeCell ref="A2:L2"/>
    <mergeCell ref="A3:L3"/>
    <mergeCell ref="A4:L4"/>
    <mergeCell ref="A5:D5"/>
    <mergeCell ref="E5:H5"/>
    <mergeCell ref="A6:K6"/>
    <mergeCell ref="I5:K5"/>
    <mergeCell ref="I7:K7"/>
    <mergeCell ref="I8:K8"/>
    <mergeCell ref="I9:K9"/>
    <mergeCell ref="I10:K10"/>
    <mergeCell ref="I11:K11"/>
    <mergeCell ref="I12:K12"/>
    <mergeCell ref="I13:K13"/>
    <mergeCell ref="I14:K14"/>
    <mergeCell ref="I15:K15"/>
    <mergeCell ref="I16:K16"/>
    <mergeCell ref="I17:K17"/>
    <mergeCell ref="I18:K18"/>
    <mergeCell ref="A19:K19"/>
    <mergeCell ref="I20:K20"/>
    <mergeCell ref="I21:K21"/>
    <mergeCell ref="I22:K22"/>
    <mergeCell ref="I23:K23"/>
    <mergeCell ref="I24:K24"/>
    <mergeCell ref="I25:K25"/>
    <mergeCell ref="A28:K28"/>
    <mergeCell ref="I26:K26"/>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9:K119"/>
    <mergeCell ref="I120:K120"/>
    <mergeCell ref="I121:K121"/>
    <mergeCell ref="I122:K122"/>
    <mergeCell ref="I112:K112"/>
    <mergeCell ref="I113:K113"/>
    <mergeCell ref="I114:K114"/>
    <mergeCell ref="I115:K115"/>
    <mergeCell ref="I116:K116"/>
    <mergeCell ref="I117:K117"/>
    <mergeCell ref="I118:K11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s>
  <hyperlinks>
    <hyperlink display="Costmetic Augments" location="Cosmetic" ref="A5"/>
    <hyperlink display="Power Augments" location="Power" ref="E5"/>
    <hyperlink display="Effect Augments" location="Effect" ref="I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9" max="9" width="114.88"/>
    <col customWidth="1" min="10" max="10" width="17.38"/>
  </cols>
  <sheetData>
    <row r="1" ht="42.0" customHeight="1">
      <c r="A1" s="1" t="s">
        <v>0</v>
      </c>
      <c r="B1" s="1" t="s">
        <v>1</v>
      </c>
      <c r="C1" s="1" t="s">
        <v>2</v>
      </c>
      <c r="D1" s="1" t="s">
        <v>3</v>
      </c>
      <c r="E1" s="1" t="s">
        <v>4</v>
      </c>
      <c r="F1" s="1" t="s">
        <v>5</v>
      </c>
      <c r="G1" s="1" t="s">
        <v>6</v>
      </c>
      <c r="H1" s="1" t="s">
        <v>7</v>
      </c>
      <c r="I1" s="1" t="s">
        <v>8</v>
      </c>
      <c r="J1" s="1" t="s">
        <v>9</v>
      </c>
    </row>
    <row r="2">
      <c r="A2" s="4" t="s">
        <v>12</v>
      </c>
      <c r="E2" s="4" t="s">
        <v>13</v>
      </c>
      <c r="I2" s="4" t="s">
        <v>17</v>
      </c>
      <c r="J2" s="5"/>
    </row>
    <row r="3">
      <c r="A3" s="4" t="s">
        <v>15</v>
      </c>
      <c r="E3" s="5"/>
      <c r="I3" s="4" t="s">
        <v>22</v>
      </c>
      <c r="J3" s="5"/>
    </row>
    <row r="4">
      <c r="A4" s="4" t="s">
        <v>34</v>
      </c>
      <c r="E4" s="4" t="s">
        <v>24</v>
      </c>
      <c r="I4" s="4" t="s">
        <v>35</v>
      </c>
      <c r="J4" s="5"/>
    </row>
    <row r="5">
      <c r="A5" s="4" t="s">
        <v>36</v>
      </c>
      <c r="E5" s="4" t="s">
        <v>37</v>
      </c>
      <c r="I5" s="4" t="s">
        <v>38</v>
      </c>
      <c r="J5" s="5"/>
    </row>
    <row r="6">
      <c r="A6" s="6" t="s">
        <v>12</v>
      </c>
      <c r="J6" s="7"/>
    </row>
    <row r="7">
      <c r="A7" s="8" t="str">
        <f>IFERROR(__xludf.DUMMYFUNCTION("FILTER(MasterList_Hidden!A:J,Search(""Simple Weapon, Melee Weapon"",MasterList_Hidden!D:D),MasterList_Hidden!C:C&lt;&gt;""none"",MasterList_Hidden!J:J&lt;&gt;""Free to Guild Adventurers with Item Proficiency"",MasterList_Hidden!J:J&lt;&gt;""Free to Guild Adventurers in Goo"&amp;"d Standing"",MasterList_Hidden!J:J&lt;&gt;""Artificer Replicate Magic Item Only"")"),"Staff of Flowers")</f>
        <v>Staff of Flowers</v>
      </c>
      <c r="B7" s="8" t="str">
        <f>IFERROR(__xludf.DUMMYFUNCTION("""COMPUTED_VALUE"""),"DMG'24")</f>
        <v>DMG'24</v>
      </c>
      <c r="C7" s="8" t="str">
        <f>IFERROR(__xludf.DUMMYFUNCTION("""COMPUTED_VALUE"""),"common")</f>
        <v>common</v>
      </c>
      <c r="D7" s="8" t="str">
        <f>IFERROR(__xludf.DUMMYFUNCTION("""COMPUTED_VALUE"""),"Simple Weapon, Melee Weapon")</f>
        <v>Simple Weapon, Melee Weapon</v>
      </c>
      <c r="E7" s="8"/>
      <c r="F7" s="8" t="str">
        <f>IFERROR(__xludf.DUMMYFUNCTION("""COMPUTED_VALUE"""),"1d6 Bludgeoning")</f>
        <v>1d6 Bludgeoning</v>
      </c>
      <c r="G7" s="8" t="str">
        <f>IFERROR(__xludf.DUMMYFUNCTION("""COMPUTED_VALUE"""),"Versatile (1d8)")</f>
        <v>Versatile (1d8)</v>
      </c>
      <c r="H7" s="8" t="str">
        <f>IFERROR(__xludf.DUMMYFUNCTION("""COMPUTED_VALUE"""),"Mastery: Topple")</f>
        <v>Mastery: Topple</v>
      </c>
      <c r="I7" s="8" t="str">
        <f>IFERROR(__xludf.DUMMYFUNCTION("""COMPUTED_VALUE"""),"This wooden staff has 10 charges. While holding it, you can take a Magic action to expend 1 charge from the staff and cause a flower to sprout from a patch of earth or soil within 5 feet of yourself, or from the staff itself. Unless you choose a specific "&amp;"kind of flower, the staff creates a mild-scented daisy. The flower is harmless and nonmagical, and it grows or withers as a normal flower would. Regaining Charges. The staff regains 1d6 + 4 expended charges daily at dawn. If you expend the last charge, ro"&amp;"ll 1d20. On a 1, the staff turns into flower petals and is lost forever. Versatile. A Versatile weapon can be used with one or two hands. A damage value in parentheses appears with the property. The weapon deals that damage when used with two hands to mak"&amp;"e a melee attack. Mastery: Topple. If you hit a creature with this weapon, you can force the creature to make a Constitution saving throw (DC 8 plus the ability modifier used to make the attack roll and your Proficiency Bonus). On a failed save, the creat"&amp;"ure has the Prone condition.")</f>
        <v>This wooden staff has 10 charges. While holding it, you can take a Magic action to expend 1 charge from the staff and cause a flower to sprout from a patch of earth or soil within 5 feet of yourself, or from the staff itself. Unless you choose a specific kind of flower, the staff creates a mild-scented daisy. The flower is harmless and nonmagical, and it grows or withers as a normal flower would. Regaining Charges. The staff regains 1d6 + 4 expended charges daily at dawn. If you expend the last charge, roll 1d20. On a 1, the staff turns into flower petals and is lost forever.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7" s="8">
        <f>IFERROR(__xludf.DUMMYFUNCTION("""COMPUTED_VALUE"""),50.0)</f>
        <v>50</v>
      </c>
    </row>
    <row r="8">
      <c r="A8" s="10" t="str">
        <f>IFERROR(__xludf.DUMMYFUNCTION("""COMPUTED_VALUE"""),"Javelin of Lightning")</f>
        <v>Javelin of Lightning</v>
      </c>
      <c r="B8" s="10" t="str">
        <f>IFERROR(__xludf.DUMMYFUNCTION("""COMPUTED_VALUE"""),"DMG'24")</f>
        <v>DMG'24</v>
      </c>
      <c r="C8" s="10" t="str">
        <f>IFERROR(__xludf.DUMMYFUNCTION("""COMPUTED_VALUE"""),"uncommon")</f>
        <v>uncommon</v>
      </c>
      <c r="D8" s="10" t="str">
        <f>IFERROR(__xludf.DUMMYFUNCTION("""COMPUTED_VALUE"""),"Simple Weapon, Melee Weapon")</f>
        <v>Simple Weapon, Melee Weapon</v>
      </c>
      <c r="E8" s="10"/>
      <c r="F8" s="10" t="str">
        <f>IFERROR(__xludf.DUMMYFUNCTION("""COMPUTED_VALUE"""),"1d6 Piercing")</f>
        <v>1d6 Piercing</v>
      </c>
      <c r="G8" s="10" t="str">
        <f>IFERROR(__xludf.DUMMYFUNCTION("""COMPUTED_VALUE"""),"Thrown (30/120ft.)")</f>
        <v>Thrown (30/120ft.)</v>
      </c>
      <c r="H8" s="10" t="str">
        <f>IFERROR(__xludf.DUMMYFUNCTION("""COMPUTED_VALUE"""),"Mastery: Slow")</f>
        <v>Mastery: Slow</v>
      </c>
      <c r="I8" s="10" t="str">
        <f>IFERROR(__xludf.DUMMYFUNCTION("""COMPUTED_VALUE"""),"Each time you make an attack roll with this magic weapon and hit, you can have it deal Lightning damage instead of Piercing damage. Lightning Bolt. When you throw this weapon at a target no farther than 120 feet from you, you can forgo making a ranged att"&amp;"ack roll and instead turn the weapon into a bolt of lightning. This bolt forms a 5-foot-wide Line between you and the target. The target and each other creature in the Line (excluding you) makes a DC 13 Dexterity saving throw, taking 4d6 Lightning damage "&amp;"on a failed save or half as much damage on a successful one. Immediately after dealing this damage, the weapon reappears in your hand. This property can't be used again until the next dawn. Thrown. If a weapon has the Thrown property, you can throw the we"&amp;"apon to make a ranged attack, and you can draw that weapon as part of the attack. If the weapon is a Melee weapon, use the same ability modifier for the attack and damage rolls that you use for a melee attack with that weapon. Mastery: Slow. If you hit a "&amp;"creature with this weapon and deal damage to it, you can reduce its Speed by 10 feet until the start of your next turn. If the creature is hit more than once by weapons that have this property, the Speed reduction doesn't exceed 10 feet.")</f>
        <v>Each time you make an attack roll with this magic weapon and hit, you can have it deal Lightning damage instead of Piercing damage. Lightning Bolt. When you throw this weapon at a target no farther than 120 feet from you, you can forgo making a ranged attack roll and instead turn the weapon into a bolt of lightning. This bolt forms a 5-foot-wide Line between you and the target. The target and each other creature in the Line (excluding you) makes a DC 13 Dexterity saving throw, taking 4d6 Lightning damage on a failed save or half as much damage on a successful one. Immediately after dealing this damage, the weapon reappears in your hand. This property can't be used again until the next dawn.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Slow. If you hit a creature with this weapon and deal damage to it, you can reduce its Speed by 10 feet until the start of your next turn. If the creature is hit more than once by weapons that have this property, the Speed reduction doesn't exceed 10 feet.</v>
      </c>
      <c r="J8" s="10">
        <f>IFERROR(__xludf.DUMMYFUNCTION("""COMPUTED_VALUE"""),550.0)</f>
        <v>550</v>
      </c>
    </row>
    <row r="9">
      <c r="A9" s="8" t="str">
        <f>IFERROR(__xludf.DUMMYFUNCTION("""COMPUTED_VALUE"""),"Moon Sickle")</f>
        <v>Moon Sickle</v>
      </c>
      <c r="B9" s="8" t="str">
        <f>IFERROR(__xludf.DUMMYFUNCTION("""COMPUTED_VALUE"""),"TCE")</f>
        <v>TCE</v>
      </c>
      <c r="C9" s="8" t="str">
        <f>IFERROR(__xludf.DUMMYFUNCTION("""COMPUTED_VALUE"""),"uncommon")</f>
        <v>uncommon</v>
      </c>
      <c r="D9" s="8" t="str">
        <f>IFERROR(__xludf.DUMMYFUNCTION("""COMPUTED_VALUE"""),"Simple Weapon, Melee Weapon")</f>
        <v>Simple Weapon, Melee Weapon</v>
      </c>
      <c r="E9" s="8" t="str">
        <f>IFERROR(__xludf.DUMMYFUNCTION("""COMPUTED_VALUE"""),"requires attunement by a druid or ranger")</f>
        <v>requires attunement by a druid or ranger</v>
      </c>
      <c r="F9" s="8" t="str">
        <f>IFERROR(__xludf.DUMMYFUNCTION("""COMPUTED_VALUE"""),"1d4 Slashing")</f>
        <v>1d4 Slashing</v>
      </c>
      <c r="G9" s="8" t="str">
        <f>IFERROR(__xludf.DUMMYFUNCTION("""COMPUTED_VALUE"""),"light")</f>
        <v>light</v>
      </c>
      <c r="H9" s="8"/>
      <c r="I9" s="8" t="str">
        <f>IFERROR(__xludf.DUMMYFUNCTION("""COMPUTED_VALUE"""),"This silver-bladed sickle glimmers softly with moonlight. In addition, you can use the sickle as a spellcasting focus for your druid and ranger spells.When you cast a spell that restores hit points, you can roll a d4 and add the number rolled to the amoun"&amp;"t of hit points restored, provided you are holding the sickle. Light. A light weapon is small and easy to handle, making it ideal for use when fighting with two weapons.")</f>
        <v>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v>
      </c>
      <c r="J9" s="8">
        <f>IFERROR(__xludf.DUMMYFUNCTION("""COMPUTED_VALUE"""),550.0)</f>
        <v>550</v>
      </c>
    </row>
    <row r="10">
      <c r="A10" s="10" t="str">
        <f>IFERROR(__xludf.DUMMYFUNCTION("""COMPUTED_VALUE"""),"Enspelled Staff (Cantrip)")</f>
        <v>Enspelled Staff (Cantrip)</v>
      </c>
      <c r="B10" s="10" t="str">
        <f>IFERROR(__xludf.DUMMYFUNCTION("""COMPUTED_VALUE"""),"DMG'24")</f>
        <v>DMG'24</v>
      </c>
      <c r="C10" s="10" t="str">
        <f>IFERROR(__xludf.DUMMYFUNCTION("""COMPUTED_VALUE"""),"uncommon")</f>
        <v>uncommon</v>
      </c>
      <c r="D10" s="10" t="str">
        <f>IFERROR(__xludf.DUMMYFUNCTION("""COMPUTED_VALUE"""),"Simple Weapon, Melee Weapon")</f>
        <v>Simple Weapon, Melee Weapon</v>
      </c>
      <c r="E10" s="10" t="str">
        <f>IFERROR(__xludf.DUMMYFUNCTION("""COMPUTED_VALUE"""),"requires attunement by a Spellcaster")</f>
        <v>requires attunement by a Spellcaster</v>
      </c>
      <c r="F10" s="10" t="str">
        <f>IFERROR(__xludf.DUMMYFUNCTION("""COMPUTED_VALUE"""),"1d6 Bludgeoning")</f>
        <v>1d6 Bludgeoning</v>
      </c>
      <c r="G10" s="10" t="str">
        <f>IFERROR(__xludf.DUMMYFUNCTION("""COMPUTED_VALUE"""),"Versatile (1d8)")</f>
        <v>Versatile (1d8)</v>
      </c>
      <c r="H10" s="10" t="str">
        <f>IFERROR(__xludf.DUMMYFUNCTION("""COMPUTED_VALUE"""),"Mastery: Topple")</f>
        <v>Mastery: Topple</v>
      </c>
      <c r="I10" s="10" t="str">
        <f>IFERROR(__xludf.DUMMYFUNCTION("""COMPUTED_VALUE"""),"Bound into this staff is a cantrip. The cantrip is determined when the staff is created and can be of any school of magic. The staff has 6 charges and regains 1d6 expended charges daily at dawn. While holding the staff, you can expend 1 charge to cast its"&amp;" spell. If you expend the staff's last charge, roll 1d20. On a 1, the staff loses its properties and becomes a nonmagical Quarterstaff.The spell's saving throw DC is 13, and its attack bonus is +5. Versatile. A Versatile weapon can be used with one or two"&amp;" hands. A damage value in parentheses appears with the property. The weapon deals that damage when used with two hands to make a melee attack. Mastery: Topple. If you hit a creature with this weapon, you can force the creature to make a Constitution savin"&amp;"g throw (DC 8 plus the ability modifier used to make the attack roll and your Proficiency Bonus). On a failed save, the creature has the Prone condition.")</f>
        <v>Bound into this staff is a cantrip. The cantrip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10" s="10">
        <f>IFERROR(__xludf.DUMMYFUNCTION("""COMPUTED_VALUE"""),750.0)</f>
        <v>750</v>
      </c>
    </row>
    <row r="11">
      <c r="A11" s="8" t="str">
        <f>IFERROR(__xludf.DUMMYFUNCTION("""COMPUTED_VALUE"""),"Poison Soaked Kukri")</f>
        <v>Poison Soaked Kukri</v>
      </c>
      <c r="B11" s="8" t="str">
        <f>IFERROR(__xludf.DUMMYFUNCTION("""COMPUTED_VALUE"""),"WttHC")</f>
        <v>WttHC</v>
      </c>
      <c r="C11" s="8" t="str">
        <f>IFERROR(__xludf.DUMMYFUNCTION("""COMPUTED_VALUE"""),"uncommon")</f>
        <v>uncommon</v>
      </c>
      <c r="D11" s="8" t="str">
        <f>IFERROR(__xludf.DUMMYFUNCTION("""COMPUTED_VALUE"""),"Simple Weapon, Melee Weapon")</f>
        <v>Simple Weapon, Melee Weapon</v>
      </c>
      <c r="E11" s="8" t="str">
        <f>IFERROR(__xludf.DUMMYFUNCTION("""COMPUTED_VALUE"""),"requires attunement")</f>
        <v>requires attunement</v>
      </c>
      <c r="F11" s="8" t="str">
        <f>IFERROR(__xludf.DUMMYFUNCTION("""COMPUTED_VALUE"""),"1d4 Piercing")</f>
        <v>1d4 Piercing</v>
      </c>
      <c r="G11" s="8" t="str">
        <f>IFERROR(__xludf.DUMMYFUNCTION("""COMPUTED_VALUE"""),"Finesse, Light, Thrown (20/60 ft.)")</f>
        <v>Finesse, Light, Thrown (20/60 ft.)</v>
      </c>
      <c r="H11" s="8" t="str">
        <f>IFERROR(__xludf.DUMMYFUNCTION("""COMPUTED_VALUE"""),"Mastery: Nick")</f>
        <v>Mastery: Nick</v>
      </c>
      <c r="I11" s="8" t="str">
        <f>IFERROR(__xludf.DUMMYFUNCTION("""COMPUTED_VALUE"""),"You can take a Bonus Action to magically coat the blade of this Dagger with poison. The poison remains for 1 minute or until an attack using this weapon hits a creature. That creature must succeed on a DC 13 Constitution saving throw or take 2d8 Poison da"&amp;"mage and have the Poisoned condition for 1 minute. This Bonus Action can't be used again this way until the next dawn. Finesse. When making an attack with a Finesse weapon, use your choice of your Strength or Dexterity modifier for the attack and damage r"&amp;"olls. You must use the same modifier for both rolls. Light. When you take the Attack action on your turn and attack with a Light weapon, you can make one extra attack as a Bonus Action later on the same turn. That extra attack must be made with a differen"&amp;"t Light weapon, and you don't add your ability modifier to the extra attack's damage unless that modifier is negative. For example, you can attack with a Shortsword in one hand and a Dagger in the other using the Attack action and a Bonus Action, but you "&amp;"don't add your Strength or Dexterity modifier to the damage roll of the Bonus Action unless that modifier is negative. Thrown. If a weapon has the Thrown property, you can throw the weapon to make a ranged attack, and you can draw that weapon as part of t"&amp;"he attack. If the weapon is a Melee weapon, use the same ability modifier for the attack and damage rolls that you use for a melee attack with that weapon. Mastery: Nick. When you make the extra attack of the Light property, you can make it as part of the"&amp;" Attack action instead of as a Bonus Action. You can make this extra attack only once per turn.")</f>
        <v>You can take a Bonus Action to magically coat the blade of this Dagger with poison. The poison remains for 1 minute or until an attack using this weapon hits a creature. That creature must succeed on a DC 13 Constitution saving throw or take 2d8 Poison damage and have the Poisoned condition for 1 minute. This Bonus Action can't be used again this way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J11" s="8">
        <f>IFERROR(__xludf.DUMMYFUNCTION("""COMPUTED_VALUE"""),850.0)</f>
        <v>850</v>
      </c>
    </row>
    <row r="12">
      <c r="A12" s="10" t="str">
        <f>IFERROR(__xludf.DUMMYFUNCTION("""COMPUTED_VALUE"""),"Enspelled Staff (Level 1)")</f>
        <v>Enspelled Staff (Level 1)</v>
      </c>
      <c r="B12" s="10" t="str">
        <f>IFERROR(__xludf.DUMMYFUNCTION("""COMPUTED_VALUE"""),"DMG'24")</f>
        <v>DMG'24</v>
      </c>
      <c r="C12" s="10" t="str">
        <f>IFERROR(__xludf.DUMMYFUNCTION("""COMPUTED_VALUE"""),"uncommon")</f>
        <v>uncommon</v>
      </c>
      <c r="D12" s="10" t="str">
        <f>IFERROR(__xludf.DUMMYFUNCTION("""COMPUTED_VALUE"""),"Simple Weapon, Melee Weapon")</f>
        <v>Simple Weapon, Melee Weapon</v>
      </c>
      <c r="E12" s="10" t="str">
        <f>IFERROR(__xludf.DUMMYFUNCTION("""COMPUTED_VALUE"""),"requires attunement by a Spellcaster")</f>
        <v>requires attunement by a Spellcaster</v>
      </c>
      <c r="F12" s="10" t="str">
        <f>IFERROR(__xludf.DUMMYFUNCTION("""COMPUTED_VALUE"""),"1d6 Bludgeoning")</f>
        <v>1d6 Bludgeoning</v>
      </c>
      <c r="G12" s="10" t="str">
        <f>IFERROR(__xludf.DUMMYFUNCTION("""COMPUTED_VALUE"""),"Versatile (1d8)")</f>
        <v>Versatile (1d8)</v>
      </c>
      <c r="H12" s="10" t="str">
        <f>IFERROR(__xludf.DUMMYFUNCTION("""COMPUTED_VALUE"""),"Mastery: Topple")</f>
        <v>Mastery: Topple</v>
      </c>
      <c r="I12" s="10" t="str">
        <f>IFERROR(__xludf.DUMMYFUNCTION("""COMPUTED_VALUE"""),"Bound into this staff is a level 1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1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12" s="10">
        <f>IFERROR(__xludf.DUMMYFUNCTION("""COMPUTED_VALUE"""),900.0)</f>
        <v>900</v>
      </c>
    </row>
    <row r="13">
      <c r="A13" s="8" t="str">
        <f>IFERROR(__xludf.DUMMYFUNCTION("""COMPUTED_VALUE"""),"Quarterstaff of the Acrobat")</f>
        <v>Quarterstaff of the Acrobat</v>
      </c>
      <c r="B13" s="8" t="str">
        <f>IFERROR(__xludf.DUMMYFUNCTION("""COMPUTED_VALUE"""),"DMG'24")</f>
        <v>DMG'24</v>
      </c>
      <c r="C13" s="8" t="str">
        <f>IFERROR(__xludf.DUMMYFUNCTION("""COMPUTED_VALUE"""),"very rare")</f>
        <v>very rare</v>
      </c>
      <c r="D13" s="8" t="str">
        <f>IFERROR(__xludf.DUMMYFUNCTION("""COMPUTED_VALUE"""),"Simple Weapon, Melee Weapon")</f>
        <v>Simple Weapon, Melee Weapon</v>
      </c>
      <c r="E13" s="8" t="str">
        <f>IFERROR(__xludf.DUMMYFUNCTION("""COMPUTED_VALUE"""),"requires attunement")</f>
        <v>requires attunement</v>
      </c>
      <c r="F13" s="8" t="str">
        <f>IFERROR(__xludf.DUMMYFUNCTION("""COMPUTED_VALUE"""),"1d6 Bludgeoning")</f>
        <v>1d6 Bludgeoning</v>
      </c>
      <c r="G13" s="8" t="str">
        <f>IFERROR(__xludf.DUMMYFUNCTION("""COMPUTED_VALUE"""),"Thrown (30/120 ft.), Versatile (1d8)")</f>
        <v>Thrown (30/120 ft.), Versatile (1d8)</v>
      </c>
      <c r="H13" s="8" t="str">
        <f>IFERROR(__xludf.DUMMYFUNCTION("""COMPUTED_VALUE"""),"Mastery: Topple")</f>
        <v>Mastery: Topple</v>
      </c>
      <c r="I13" s="8" t="str">
        <f>IFERROR(__xludf.DUMMYFUNCTION("""COMPUTED_VALUE"""),"While holding this weapon, you can cause it to emit green Dim Light out to 10 feet, either as a Bonus Action or after you roll Initiative, or you can extinguish the light as a Bonus Action.While holding this weapon, you can take a Bonus Action to alter it"&amp;"s form, turning it into a 6-inch rod (for ease of storage) or a 10-foot pole, or reverting it a Quarterstaff; the weapon will elongate only as far as the surrounding space allows.In certain forms, the weapon has the following additional properties. Acroba"&amp;"tic Assist (Quarterstaff and 10-Foot Pole Forms Only). While holding this weapon, you have Advantage on Dexterity (Acrobatics) checks. Attack Deflection (Quarterstaff Form Only). When you are hit by an attack while holding the weapon, you can take a React"&amp;"ion to twirl the weapon around you, gaining a +5 bonus to your Armor Class against the triggering attack, potentially causing the attack to miss you. You can't use this property again until you finish a Short or Long Rest. Ranged Weapon (Quarterstaff Form"&amp;" Only). This weapon has Thrown with a normal range of 30 feet and a long range of 120 feet. Immediately after you make a ranged attack with the weapon, it flies back to your hand. Thrown. If a weapon has the Thrown property, you can throw the weapon to ma"&amp;"ke a ranged attack, and you can draw that weapon as part of the attack. If the weapon is a Melee weapon, use the same ability modifier for the attack and damage rolls that you use for a melee attack with that weapon. Versatile. A Versatile weapon can be u"&amp;"sed with one or two hands. A damage value in parentheses appears with the property. The weapon deals that damage when used with two hands to make a melee attack. Mastery: Topple. If you hit a creature with this weapon, you can force the creature to make a"&amp;" Constitution saving throw (DC 8 plus the ability modifier used to make the attack roll and your Proficiency Bonus). On a failed save, the creature has the Prone condition.")</f>
        <v>While holding this weapon, you can cause it to emit green Dim Light out to 10 feet, either as a Bonus Action or after you roll Initiative, or you can extinguish the light as a Bonus Action.While holding this weapon, you can take a Bonus Action to alter its form, turning it into a 6-inch rod (for ease of storage) or a 10-foot pole, or reverting it a Quarterstaff; the weapon will elongate only as far as the surrounding space allows.In certain forms, the weapon has the following additional properties. Acrobatic Assist (Quarterstaff and 10-Foot Pole Forms Only). While holding this weapon, you have Advantage on Dexterity (Acrobatics) checks. Attack Deflection (Quarterstaff Form Only). When you are hit by an attack while holding the weapon, you can take a Reaction to twirl the weapon around you, gaining a +5 bonus to your Armor Class against the triggering attack, potentially causing the attack to miss you. You can't use this property again until you finish a Short or Long Rest. Ranged Weapon (Quarterstaff Form Only). This weapon has Thrown with a normal range of 30 feet and a long range of 120 feet. Immediately after you make a ranged attack with the weapon, it flies back to your hand.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13" s="8">
        <f>IFERROR(__xludf.DUMMYFUNCTION("""COMPUTED_VALUE"""),900.0)</f>
        <v>900</v>
      </c>
    </row>
    <row r="14">
      <c r="A14" s="10" t="str">
        <f>IFERROR(__xludf.DUMMYFUNCTION("""COMPUTED_VALUE"""),"Dagger of Blindsight")</f>
        <v>Dagger of Blindsight</v>
      </c>
      <c r="B14" s="10" t="str">
        <f>IFERROR(__xludf.DUMMYFUNCTION("""COMPUTED_VALUE"""),"WDMM")</f>
        <v>WDMM</v>
      </c>
      <c r="C14" s="10" t="str">
        <f>IFERROR(__xludf.DUMMYFUNCTION("""COMPUTED_VALUE"""),"rare")</f>
        <v>rare</v>
      </c>
      <c r="D14" s="10" t="str">
        <f>IFERROR(__xludf.DUMMYFUNCTION("""COMPUTED_VALUE"""),"Simple Weapon, Melee Weapon")</f>
        <v>Simple Weapon, Melee Weapon</v>
      </c>
      <c r="E14" s="10" t="str">
        <f>IFERROR(__xludf.DUMMYFUNCTION("""COMPUTED_VALUE"""),"requires attunement")</f>
        <v>requires attunement</v>
      </c>
      <c r="F14" s="10" t="str">
        <f>IFERROR(__xludf.DUMMYFUNCTION("""COMPUTED_VALUE"""),"1d4 Piercing")</f>
        <v>1d4 Piercing</v>
      </c>
      <c r="G14" s="10" t="str">
        <f>IFERROR(__xludf.DUMMYFUNCTION("""COMPUTED_VALUE"""),"finesse, light, thrown (20/60 ft.)")</f>
        <v>finesse, light, thrown (20/60 ft.)</v>
      </c>
      <c r="H14" s="10"/>
      <c r="I14" s="10" t="str">
        <f>IFERROR(__xludf.DUMMYFUNCTION("""COMPUTED_VALUE"""),"This rare magic item requires attunement. A creature attuned to it gains blindsight out to a range of 30 feet. The dagger has a saw-toothed edge and a black pearl nested in its pommel. Finesse. When making an attack with a finesse weapon, you use your cho"&amp;"ice of your Strength or Dexterity modifier for the attack and damage rolls. You must use the same modifier for both rolls. Light. A light weapon is small and easy to handle, making it ideal for use when fighting with two weapons. Thrown. If a weapon has t"&amp;"he thrown property, you can throw the weapon to make a ranged attack. If the weapon is a melee weapon, you use the same ability modifier for that attack roll and damage roll that you would use for a melee attack with the weapon. For example, if you throw "&amp;"a handaxe, you use your Strength, but if you throw a dagger, you can use either your Strength or your Dexterity, since the dagger has the finesse property.")</f>
        <v>This rare magic item requires attunement. A creature attuned to it gains blindsight out to a range of 30 feet. The dagger has a saw-toothed edge and a black pearl nested in its pommel.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J14" s="10">
        <f>IFERROR(__xludf.DUMMYFUNCTION("""COMPUTED_VALUE"""),950.0)</f>
        <v>950</v>
      </c>
    </row>
    <row r="15">
      <c r="A15" s="8" t="str">
        <f>IFERROR(__xludf.DUMMYFUNCTION("""COMPUTED_VALUE"""),"Dagger of Venom")</f>
        <v>Dagger of Venom</v>
      </c>
      <c r="B15" s="8" t="str">
        <f>IFERROR(__xludf.DUMMYFUNCTION("""COMPUTED_VALUE"""),"DMG'24")</f>
        <v>DMG'24</v>
      </c>
      <c r="C15" s="8" t="str">
        <f>IFERROR(__xludf.DUMMYFUNCTION("""COMPUTED_VALUE"""),"rare")</f>
        <v>rare</v>
      </c>
      <c r="D15" s="8" t="str">
        <f>IFERROR(__xludf.DUMMYFUNCTION("""COMPUTED_VALUE"""),"Simple Weapon, Melee Weapon")</f>
        <v>Simple Weapon, Melee Weapon</v>
      </c>
      <c r="E15" s="8"/>
      <c r="F15" s="8" t="str">
        <f>IFERROR(__xludf.DUMMYFUNCTION("""COMPUTED_VALUE"""),"1d4 Piercing")</f>
        <v>1d4 Piercing</v>
      </c>
      <c r="G15" s="8" t="str">
        <f>IFERROR(__xludf.DUMMYFUNCTION("""COMPUTED_VALUE"""),"Finesse, Light, Thrown (20/60 ft.)")</f>
        <v>Finesse, Light, Thrown (20/60 ft.)</v>
      </c>
      <c r="H15" s="8" t="str">
        <f>IFERROR(__xludf.DUMMYFUNCTION("""COMPUTED_VALUE"""),"Mastery: Nick")</f>
        <v>Mastery: Nick</v>
      </c>
      <c r="I15" s="8" t="str">
        <f>IFERROR(__xludf.DUMMYFUNCTION("""COMPUTED_VALUE"""),"You can take a Bonus Action to magically coat the blade with poison. The poison remains for 1 minute or until an attack using this weapon hits a creature. That creature must succeed on a DC 15 Constitution saving throw or take 2d10 Poison damage and have "&amp;"the Poisoned condition for 1 minute. The weapon can't be used this way again until the next dawn. Finesse. When making an attack with a Finesse weapon, use your choice of your Strength or Dexterity modifier for the attack and damage rolls. You must use th"&amp;"e same modifier for both rolls. Light. When you take the Attack action on your turn and attack with a Light weapon, you can make one extra attack as a Bonus Action later on the same turn. That extra attack must be made with a different Light weapon, and y"&amp;"ou don't add your ability modifier to the extra attack's damage unless that modifier is negative. For example, you can attack with a Shortsword in one hand and a Dagger in the other using the Attack action and a Bonus Action, but you don't add your Streng"&amp;"th or Dexterity modifier to the damage roll of the Bonus Action unless that modifier is negative. Thrown. If a weapon has the Thrown property, you can throw the weapon to make a ranged attack, and you can draw that weapon as part of the attack. If the wea"&amp;"pon is a Melee weapon, use the same ability modifier for the attack and damage rolls that you use for a melee attack with that weapon. Mastery: Nick. When you make the extra attack of the Light property, you can make it as part of the Attack action instea"&amp;"d of as a Bonus Action. You can make this extra attack only once per turn.")</f>
        <v>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J15" s="8">
        <f>IFERROR(__xludf.DUMMYFUNCTION("""COMPUTED_VALUE"""),950.0)</f>
        <v>950</v>
      </c>
    </row>
    <row r="16">
      <c r="A16" s="10" t="str">
        <f>IFERROR(__xludf.DUMMYFUNCTION("""COMPUTED_VALUE"""),"Fate Cutter Shears")</f>
        <v>Fate Cutter Shears</v>
      </c>
      <c r="B16" s="10" t="str">
        <f>IFERROR(__xludf.DUMMYFUNCTION("""COMPUTED_VALUE"""),"BMT")</f>
        <v>BMT</v>
      </c>
      <c r="C16" s="10" t="str">
        <f>IFERROR(__xludf.DUMMYFUNCTION("""COMPUTED_VALUE"""),"very rare")</f>
        <v>very rare</v>
      </c>
      <c r="D16" s="10" t="str">
        <f>IFERROR(__xludf.DUMMYFUNCTION("""COMPUTED_VALUE"""),"Simple Weapon, Melee Weapon")</f>
        <v>Simple Weapon, Melee Weapon</v>
      </c>
      <c r="E16" s="10" t="str">
        <f>IFERROR(__xludf.DUMMYFUNCTION("""COMPUTED_VALUE"""),"requires attunement")</f>
        <v>requires attunement</v>
      </c>
      <c r="F16" s="10" t="str">
        <f>IFERROR(__xludf.DUMMYFUNCTION("""COMPUTED_VALUE"""),"1d4 Piercing")</f>
        <v>1d4 Piercing</v>
      </c>
      <c r="G16" s="10" t="str">
        <f>IFERROR(__xludf.DUMMYFUNCTION("""COMPUTED_VALUE"""),"finesse, light, thrown (20/60 ft.)")</f>
        <v>finesse, light, thrown (20/60 ft.)</v>
      </c>
      <c r="H16" s="10"/>
      <c r="I16" s="10" t="str">
        <f>IFERROR(__xludf.DUMMYFUNCTION("""COMPUTED_VALUE"""),"The blades of these pruning shears bear many nicks and dents but still cut cleanly. The shears function as a magic dagger. The weapon has the following properties:Ever Sharp. When you hit with an attack using the shears, the target takes an extra 1d6 forc"&amp;"e damage.Sever Threads. When you hit a creature with the shears, you can cut that creature's fate. Until the target finishes a long rest, attack rolls against it score a critical hit on a roll of 19 or 20 on the d20. Once this property is used, it can't b"&amp;"e used again until the next dawn. Finesse. When making an attack with a finesse weapon, you use your choice of your Strength or Dexterity modifier for the attack and damage rolls. You must use the same modifier for both rolls. Light. A light weapon is sma"&amp;"ll and easy to handle, making it ideal for use when fighting with two weapons. Thrown. If a weapon has the thrown property, you can throw the weapon to make a ranged attack. If the weapon is a melee weapon, you use the same ability modifier for that attac"&amp;"k roll and damage roll that you would use for a melee attack with the weapon. For example, if you throw a handaxe, you use your Strength, but if you throw a dagger, you can use either your Strength or your Dexterity, since the dagger has the finesse prope"&amp;"rty.")</f>
        <v>The blades of these pruning shears bear many nicks and dents but still cut cleanly. The shears function as a magic dagger. The weapon has the following properties:Ever Sharp. When you hit with an attack using the shears, the target takes an extra 1d6 force damage.Sever Threads. When you hit a creature with the shears, you can cut that creature's fate. Until the target finishes a long rest, attack rolls against it score a critical hit on a roll of 19 or 20 on the d20. Once this property is used, it can't be used again until the next dawn.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J16" s="10">
        <f>IFERROR(__xludf.DUMMYFUNCTION("""COMPUTED_VALUE"""),1100.0)</f>
        <v>1100</v>
      </c>
    </row>
    <row r="17">
      <c r="A17" s="8" t="str">
        <f>IFERROR(__xludf.DUMMYFUNCTION("""COMPUTED_VALUE"""),"Eldritch Staff")</f>
        <v>Eldritch Staff</v>
      </c>
      <c r="B17" s="8" t="str">
        <f>IFERROR(__xludf.DUMMYFUNCTION("""COMPUTED_VALUE"""),"WBtW")</f>
        <v>WBtW</v>
      </c>
      <c r="C17" s="8" t="str">
        <f>IFERROR(__xludf.DUMMYFUNCTION("""COMPUTED_VALUE"""),"very rare")</f>
        <v>very rare</v>
      </c>
      <c r="D17" s="8" t="str">
        <f>IFERROR(__xludf.DUMMYFUNCTION("""COMPUTED_VALUE"""),"Simple Weapon, Melee Weapon")</f>
        <v>Simple Weapon, Melee Weapon</v>
      </c>
      <c r="E17" s="8" t="str">
        <f>IFERROR(__xludf.DUMMYFUNCTION("""COMPUTED_VALUE"""),"requires attunement")</f>
        <v>requires attunement</v>
      </c>
      <c r="F17" s="8" t="str">
        <f>IFERROR(__xludf.DUMMYFUNCTION("""COMPUTED_VALUE"""),"1d6 Bludgeoning")</f>
        <v>1d6 Bludgeoning</v>
      </c>
      <c r="G17" s="8" t="str">
        <f>IFERROR(__xludf.DUMMYFUNCTION("""COMPUTED_VALUE"""),"versatile (1d8)")</f>
        <v>versatile (1d8)</v>
      </c>
      <c r="H17" s="8"/>
      <c r="I17" s="8" t="str">
        <f>IFERROR(__xludf.DUMMYFUNCTION("""COMPUTED_VALUE"""),"This staff can be wielded as a magic quarterstaff.The staff has 10 charges and regains 1d6 + 4 expended charges daily at dawn. If you expend the last charge, roll a d20. On a 1, the staff is destroyed in an otherwise harmless burst of eldritch energy. Eld"&amp;"ritch Attack. When you hit with a melee attack using the staff, you can expend up to 3 of its charges. For each charge you expend, the target takes an extra 1d8 lightning damage. Eldritch Escape. If you take damage while holding the staff, you can use you"&amp;"r reaction to expend 3 of the staff's charges, whereupon you turn invisible and teleport yourself, along with any equipment you are wearing or carrying, up to 60 feet to an unoccupied space that you can see. You remain invisible until the start of your ne"&amp;"xt turn or until you attack, cast a spell, or deal damage. Versatile. This weapon can be used with one or two hands. A damage value in parentheses appears with the property the damage when the weapon is used with two hands to make a melee attack.")</f>
        <v>This staff can be wielded as a magic quarterstaff.The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 Versatile. This weapon can be used with one or two hands. A damage value in parentheses appears with the property the damage when the weapon is used with two hands to make a melee attack.</v>
      </c>
      <c r="J17" s="8">
        <f>IFERROR(__xludf.DUMMYFUNCTION("""COMPUTED_VALUE"""),1350.0)</f>
        <v>1350</v>
      </c>
    </row>
    <row r="18">
      <c r="A18" s="10" t="str">
        <f>IFERROR(__xludf.DUMMYFUNCTION("""COMPUTED_VALUE"""),"Sun Staff")</f>
        <v>Sun Staff</v>
      </c>
      <c r="B18" s="10" t="str">
        <f>IFERROR(__xludf.DUMMYFUNCTION("""COMPUTED_VALUE"""),"BMT")</f>
        <v>BMT</v>
      </c>
      <c r="C18" s="10" t="str">
        <f>IFERROR(__xludf.DUMMYFUNCTION("""COMPUTED_VALUE"""),"rare")</f>
        <v>rare</v>
      </c>
      <c r="D18" s="10" t="str">
        <f>IFERROR(__xludf.DUMMYFUNCTION("""COMPUTED_VALUE"""),"Simple Weapon, Melee Weapon")</f>
        <v>Simple Weapon, Melee Weapon</v>
      </c>
      <c r="E18" s="10" t="str">
        <f>IFERROR(__xludf.DUMMYFUNCTION("""COMPUTED_VALUE"""),"requires attunement by a cleric, druid, or wizard")</f>
        <v>requires attunement by a cleric, druid, or wizard</v>
      </c>
      <c r="F18" s="10" t="str">
        <f>IFERROR(__xludf.DUMMYFUNCTION("""COMPUTED_VALUE"""),"1d6 Bludgeoning")</f>
        <v>1d6 Bludgeoning</v>
      </c>
      <c r="G18" s="10" t="str">
        <f>IFERROR(__xludf.DUMMYFUNCTION("""COMPUTED_VALUE"""),"versatile (1d8)")</f>
        <v>versatile (1d8)</v>
      </c>
      <c r="H18" s="10"/>
      <c r="I18" s="10"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J18" s="10">
        <f>IFERROR(__xludf.DUMMYFUNCTION("""COMPUTED_VALUE"""),1400.0)</f>
        <v>1400</v>
      </c>
    </row>
    <row r="19">
      <c r="A19" s="8" t="str">
        <f>IFERROR(__xludf.DUMMYFUNCTION("""COMPUTED_VALUE"""),"Staff of Fate")</f>
        <v>Staff of Fate</v>
      </c>
      <c r="B19" s="8" t="str">
        <f>IFERROR(__xludf.DUMMYFUNCTION("""COMPUTED_VALUE"""),"CM")</f>
        <v>CM</v>
      </c>
      <c r="C19" s="8" t="str">
        <f>IFERROR(__xludf.DUMMYFUNCTION("""COMPUTED_VALUE"""),"very rare")</f>
        <v>very rare</v>
      </c>
      <c r="D19" s="8" t="str">
        <f>IFERROR(__xludf.DUMMYFUNCTION("""COMPUTED_VALUE"""),"Simple Weapon, Melee Weapon")</f>
        <v>Simple Weapon, Melee Weapon</v>
      </c>
      <c r="E19" s="8" t="str">
        <f>IFERROR(__xludf.DUMMYFUNCTION("""COMPUTED_VALUE"""),"requires attunement")</f>
        <v>requires attunement</v>
      </c>
      <c r="F19" s="8" t="str">
        <f>IFERROR(__xludf.DUMMYFUNCTION("""COMPUTED_VALUE"""),"1d6 Bludgeoning")</f>
        <v>1d6 Bludgeoning</v>
      </c>
      <c r="G19" s="8" t="str">
        <f>IFERROR(__xludf.DUMMYFUNCTION("""COMPUTED_VALUE"""),"versatile (1d8)")</f>
        <v>versatile (1d8)</v>
      </c>
      <c r="H19" s="8"/>
      <c r="I19" s="8" t="str">
        <f>IFERROR(__xludf.DUMMYFUNCTION("""COMPUTED_VALUE"""),"This transparent crystal staff can be wielded as a magic quarterstaff. Altered Outcome. The staff has 6 charges. As a bonus action, you can expend 1 of the staff's charges to give yourself or one other creature that you can see a d4. The recipient can rol"&amp;"l this d4 and add the number rolled to one ability check, attack roll, damage roll, or saving throw it makes before the start of your next turn. If this extra die is not used before then, it is lost.If you expend the staff's last charge, roll a d20. On a "&amp;"roll of 9 or lower, the staff becomes a nonmagical quarterstaff that breaks the first time it scores a hit and deals damage. On a roll of 10 or higher, the staff regains 1d6 of its expended charges. Versatile. This weapon can be used with one or two hands"&amp;". A damage value in parentheses appears with the propertyâthe damage when the weapon is used with two hands to make a melee attack.")</f>
        <v>This transparent crystal staff can be wielded as a magic quarterstaff. Altered Outcome. The staff has 6 charges. As a bonus action, you can expend 1 of the staff's charges to give yourself or one other creature that you can see a d4. The recipient can roll this d4 and add the number rolled to one ability check, attack roll, damage roll, or saving throw it makes before the start of your next turn. If this extra die is not used before then, it is lost.If you expend the staff's last charge, roll a d20. On a roll of 9 or lower, the staff becomes a nonmagical quarterstaff that breaks the first time it scores a hit and deals damage. On a roll of 10 or higher, the staff regains 1d6 of its expended charges. Versatile. This weapon can be used with one or two hands. A damage value in parentheses appears with the propertyâ_x0080__x0094_the damage when the weapon is used with two hands to make a melee attack.</v>
      </c>
      <c r="J19" s="8">
        <f>IFERROR(__xludf.DUMMYFUNCTION("""COMPUTED_VALUE"""),1400.0)</f>
        <v>1400</v>
      </c>
    </row>
    <row r="20">
      <c r="A20" s="10" t="str">
        <f>IFERROR(__xludf.DUMMYFUNCTION("""COMPUTED_VALUE"""),"Enspelled Staff (Level 2)")</f>
        <v>Enspelled Staff (Level 2)</v>
      </c>
      <c r="B20" s="10" t="str">
        <f>IFERROR(__xludf.DUMMYFUNCTION("""COMPUTED_VALUE"""),"DMG'24")</f>
        <v>DMG'24</v>
      </c>
      <c r="C20" s="10" t="str">
        <f>IFERROR(__xludf.DUMMYFUNCTION("""COMPUTED_VALUE"""),"rare")</f>
        <v>rare</v>
      </c>
      <c r="D20" s="10" t="str">
        <f>IFERROR(__xludf.DUMMYFUNCTION("""COMPUTED_VALUE"""),"Simple Weapon, Melee Weapon")</f>
        <v>Simple Weapon, Melee Weapon</v>
      </c>
      <c r="E20" s="10" t="str">
        <f>IFERROR(__xludf.DUMMYFUNCTION("""COMPUTED_VALUE"""),"requires attunement by a Spellcaster")</f>
        <v>requires attunement by a Spellcaster</v>
      </c>
      <c r="F20" s="10" t="str">
        <f>IFERROR(__xludf.DUMMYFUNCTION("""COMPUTED_VALUE"""),"1d6 Bludgeoning")</f>
        <v>1d6 Bludgeoning</v>
      </c>
      <c r="G20" s="10" t="str">
        <f>IFERROR(__xludf.DUMMYFUNCTION("""COMPUTED_VALUE"""),"Versatile (1d8)")</f>
        <v>Versatile (1d8)</v>
      </c>
      <c r="H20" s="10" t="str">
        <f>IFERROR(__xludf.DUMMYFUNCTION("""COMPUTED_VALUE"""),"Mastery: Topple")</f>
        <v>Mastery: Topple</v>
      </c>
      <c r="I20" s="10" t="str">
        <f>IFERROR(__xludf.DUMMYFUNCTION("""COMPUTED_VALUE"""),"Bound into this staff is a level 2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2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20" s="10">
        <f>IFERROR(__xludf.DUMMYFUNCTION("""COMPUTED_VALUE"""),1500.0)</f>
        <v>1500</v>
      </c>
    </row>
    <row r="21">
      <c r="A21" s="8" t="str">
        <f>IFERROR(__xludf.DUMMYFUNCTION("""COMPUTED_VALUE"""),"Lute of Thunderous Thumping")</f>
        <v>Lute of Thunderous Thumping</v>
      </c>
      <c r="B21" s="8" t="str">
        <f>IFERROR(__xludf.DUMMYFUNCTION("""COMPUTED_VALUE"""),"DMG'24")</f>
        <v>DMG'24</v>
      </c>
      <c r="C21" s="8" t="str">
        <f>IFERROR(__xludf.DUMMYFUNCTION("""COMPUTED_VALUE"""),"very rare")</f>
        <v>very rare</v>
      </c>
      <c r="D21" s="8" t="str">
        <f>IFERROR(__xludf.DUMMYFUNCTION("""COMPUTED_VALUE"""),"Simple Weapon, Melee Weapon, Instrument")</f>
        <v>Simple Weapon, Melee Weapon, Instrument</v>
      </c>
      <c r="E21" s="8"/>
      <c r="F21" s="8" t="str">
        <f>IFERROR(__xludf.DUMMYFUNCTION("""COMPUTED_VALUE"""),"1d4 Bludgeoning")</f>
        <v>1d4 Bludgeoning</v>
      </c>
      <c r="G21" s="8" t="str">
        <f>IFERROR(__xludf.DUMMYFUNCTION("""COMPUTED_VALUE"""),"Light")</f>
        <v>Light</v>
      </c>
      <c r="H21" s="8" t="str">
        <f>IFERROR(__xludf.DUMMYFUNCTION("""COMPUTED_VALUE"""),"Mastery: Slow")</f>
        <v>Mastery: Slow</v>
      </c>
      <c r="I21" s="8" t="str">
        <f>IFERROR(__xludf.DUMMYFUNCTION("""COMPUTED_VALUE"""),"This reinforced lute can be wielded as a magic Club that deals an extra 2d8 Thunder damage on a hit. Sing and Swing. If you're a Bard, you can use your Charisma modifier instead of your Strength modifier when making a melee attack roll with the lute, prov"&amp;"ided you sing or hum while making the attack. Light. When you take the Attack action on your turn and attack with a Light weapon, you can make one extra attack as a Bonus Action later on the same turn. That extra attack must be made with a different Light"&amp;" weapon, and you don't add your ability modifier to the extra attack's damage unless that modifier is negative. For example, you can attack with a Shortsword in one hand and a Dagger in the other using the Attack action and a Bonus Action, but you don't a"&amp;"dd your Strength or Dexterity modifier to the damage roll of the Bonus Action unless that modifier is negative. Mastery: Slow. If you hit a creature with this weapon and deal damage to it, you can reduce its Speed by 10 feet until the start of your next t"&amp;"urn. If the creature is hit more than once by weapons that have this property, the Speed reduction doesn't exceed 10 feet.")</f>
        <v>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J21" s="8">
        <f>IFERROR(__xludf.DUMMYFUNCTION("""COMPUTED_VALUE"""),1800.0)</f>
        <v>1800</v>
      </c>
    </row>
    <row r="22">
      <c r="A22" s="10" t="str">
        <f>IFERROR(__xludf.DUMMYFUNCTION("""COMPUTED_VALUE"""),"Enspelled Staff (Level 3)")</f>
        <v>Enspelled Staff (Level 3)</v>
      </c>
      <c r="B22" s="10" t="str">
        <f>IFERROR(__xludf.DUMMYFUNCTION("""COMPUTED_VALUE"""),"DMG'24")</f>
        <v>DMG'24</v>
      </c>
      <c r="C22" s="10" t="str">
        <f>IFERROR(__xludf.DUMMYFUNCTION("""COMPUTED_VALUE"""),"rare")</f>
        <v>rare</v>
      </c>
      <c r="D22" s="10" t="str">
        <f>IFERROR(__xludf.DUMMYFUNCTION("""COMPUTED_VALUE"""),"Simple Weapon, Melee Weapon")</f>
        <v>Simple Weapon, Melee Weapon</v>
      </c>
      <c r="E22" s="10" t="str">
        <f>IFERROR(__xludf.DUMMYFUNCTION("""COMPUTED_VALUE"""),"requires attunement by a Spellcaster")</f>
        <v>requires attunement by a Spellcaster</v>
      </c>
      <c r="F22" s="10" t="str">
        <f>IFERROR(__xludf.DUMMYFUNCTION("""COMPUTED_VALUE"""),"1d6 Bludgeoning")</f>
        <v>1d6 Bludgeoning</v>
      </c>
      <c r="G22" s="10" t="str">
        <f>IFERROR(__xludf.DUMMYFUNCTION("""COMPUTED_VALUE"""),"Versatile (1d8)")</f>
        <v>Versatile (1d8)</v>
      </c>
      <c r="H22" s="10" t="str">
        <f>IFERROR(__xludf.DUMMYFUNCTION("""COMPUTED_VALUE"""),"Mastery: Topple")</f>
        <v>Mastery: Topple</v>
      </c>
      <c r="I22" s="10" t="str">
        <f>IFERROR(__xludf.DUMMYFUNCTION("""COMPUTED_VALUE"""),"Bound into this staff is a level 3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15, and its attack bonus is +7.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3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15, and its attack bonus is +7.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22" s="10">
        <f>IFERROR(__xludf.DUMMYFUNCTION("""COMPUTED_VALUE"""),2150.0)</f>
        <v>2150</v>
      </c>
    </row>
    <row r="23">
      <c r="A23" s="12"/>
      <c r="B23" s="12"/>
      <c r="C23" s="12"/>
      <c r="D23" s="12"/>
      <c r="E23" s="12"/>
      <c r="F23" s="12"/>
      <c r="G23" s="12"/>
      <c r="H23" s="12"/>
      <c r="I23" s="12"/>
      <c r="J23" s="12"/>
    </row>
    <row r="24">
      <c r="A24" s="6" t="s">
        <v>13</v>
      </c>
      <c r="J24" s="13"/>
    </row>
    <row r="25">
      <c r="A25" s="8" t="str">
        <f>IFERROR(__xludf.DUMMYFUNCTION("FILTER(MasterList_Hidden!A:J,Search(""Martial Weapon, Melee Weapon"",MasterList_Hidden!D:D),MasterList_Hidden!C:C&lt;&gt;""none"",MasterList_Hidden!J:J&lt;&gt;""Free to Guild Adventurers with Item Proficiency"",MasterList_Hidden!J:J&lt;&gt;""Free to Guild Adventurers in Go"&amp;"od Standing"",MasterList_Hidden!J:J&lt;&gt;""Artificer Replicate Magic Item Only"")"),"Trident of Fish Command")</f>
        <v>Trident of Fish Command</v>
      </c>
      <c r="B25" s="8" t="str">
        <f>IFERROR(__xludf.DUMMYFUNCTION("""COMPUTED_VALUE"""),"DMG'24")</f>
        <v>DMG'24</v>
      </c>
      <c r="C25" s="8" t="str">
        <f>IFERROR(__xludf.DUMMYFUNCTION("""COMPUTED_VALUE"""),"uncommon")</f>
        <v>uncommon</v>
      </c>
      <c r="D25" s="8" t="str">
        <f>IFERROR(__xludf.DUMMYFUNCTION("""COMPUTED_VALUE"""),"Martial Weapon, Melee Weapon")</f>
        <v>Martial Weapon, Melee Weapon</v>
      </c>
      <c r="E25" s="8" t="str">
        <f>IFERROR(__xludf.DUMMYFUNCTION("""COMPUTED_VALUE"""),"requires attunement")</f>
        <v>requires attunement</v>
      </c>
      <c r="F25" s="8" t="str">
        <f>IFERROR(__xludf.DUMMYFUNCTION("""COMPUTED_VALUE"""),"1d8 Piercing")</f>
        <v>1d8 Piercing</v>
      </c>
      <c r="G25" s="8" t="str">
        <f>IFERROR(__xludf.DUMMYFUNCTION("""COMPUTED_VALUE"""),"Thrown (20/60 ft.), Versatile (1d10)")</f>
        <v>Thrown (20/60 ft.), Versatile (1d10)</v>
      </c>
      <c r="H25" s="8" t="str">
        <f>IFERROR(__xludf.DUMMYFUNCTION("""COMPUTED_VALUE"""),"Mastery: Topple")</f>
        <v>Mastery: Topple</v>
      </c>
      <c r="I25" s="8" t="str">
        <f>IFERROR(__xludf.DUMMYFUNCTION("""COMPUTED_VALUE"""),"This magic weapon has 3 charges, and it regains 1d3 expended charges daily at dawn. While you carry it, you can expend 1 charge to cast Dominate Beast (save DC 15) from it on a Beast that has a Swim Speed. Thrown. If a weapon has the Thrown property, you "&amp;"can throw the weapon to make a ranged attack, and you can draw that weapon as part of the attack. If the weapon is a Melee weapon, use the same ability modifier for the attack and damage rolls that you use for a melee attack with that weapon. Versatile. A"&amp;" Versatile weapon can be used with one or two hands. A damage value in parentheses appears with the property. The weapon deals that damage when used with two hands to make a melee attack. Mastery: Topple. If you hit a creature with this weapon, you can fo"&amp;"rce the creature to make a Constitution saving throw (DC 8 plus the ability modifier used to make the attack roll and your Proficiency Bonus). On a failed save, the creature has the Prone condition.")</f>
        <v>This magic weapon has 3 charges, and it regains 1d3 expended charges daily at dawn. While you carry it, you can expend 1 charge to cast Dominate Beast (save DC 15) from it on a Beast that has a Swim Speed.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25" s="8">
        <f>IFERROR(__xludf.DUMMYFUNCTION("""COMPUTED_VALUE"""),350.0)</f>
        <v>350</v>
      </c>
    </row>
    <row r="26">
      <c r="A26" s="10" t="str">
        <f>IFERROR(__xludf.DUMMYFUNCTION("""COMPUTED_VALUE"""),"Grasping Whip")</f>
        <v>Grasping Whip</v>
      </c>
      <c r="B26" s="10" t="str">
        <f>IFERROR(__xludf.DUMMYFUNCTION("""COMPUTED_VALUE"""),"BMT")</f>
        <v>BMT</v>
      </c>
      <c r="C26" s="10" t="str">
        <f>IFERROR(__xludf.DUMMYFUNCTION("""COMPUTED_VALUE"""),"rare")</f>
        <v>rare</v>
      </c>
      <c r="D26" s="10" t="str">
        <f>IFERROR(__xludf.DUMMYFUNCTION("""COMPUTED_VALUE"""),"Martial Weapon, Melee Weapon")</f>
        <v>Martial Weapon, Melee Weapon</v>
      </c>
      <c r="E26" s="10"/>
      <c r="F26" s="10" t="str">
        <f>IFERROR(__xludf.DUMMYFUNCTION("""COMPUTED_VALUE"""),"1d4 Slashing")</f>
        <v>1d4 Slashing</v>
      </c>
      <c r="G26" s="10" t="str">
        <f>IFERROR(__xludf.DUMMYFUNCTION("""COMPUTED_VALUE"""),"finesse, reach")</f>
        <v>finesse, reach</v>
      </c>
      <c r="H26" s="10"/>
      <c r="I26" s="10" t="str">
        <f>IFERROR(__xludf.DUMMYFUNCTION("""COMPUTED_VALUE""")," When you hit a creature or object that is Large or smaller with this whip, you can pull that creature or object 5 feet toward you instead of dealing damage. Finesse. When making an attack with a finesse weapon, you use your choice of your Strength or Dex"&amp;"terity modifier for the attack and damage rolls. You must use the same modifier for both rolls. Reach. This weapon adds 5 feet to your reach when you attack with it. This property also determines your reach for opportunity attacks with a reach weapon.")</f>
        <v> When you hit a creature or object that is Large or smaller with this whip, you can pull that creature or object 5 feet toward you instead of dealing damage.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J26" s="10">
        <f>IFERROR(__xludf.DUMMYFUNCTION("""COMPUTED_VALUE"""),750.0)</f>
        <v>750</v>
      </c>
    </row>
    <row r="27">
      <c r="A27" s="8" t="str">
        <f>IFERROR(__xludf.DUMMYFUNCTION("""COMPUTED_VALUE"""),"Lash of Immolation")</f>
        <v>Lash of Immolation</v>
      </c>
      <c r="B27" s="8" t="str">
        <f>IFERROR(__xludf.DUMMYFUNCTION("""COMPUTED_VALUE"""),"BGG")</f>
        <v>BGG</v>
      </c>
      <c r="C27" s="8" t="str">
        <f>IFERROR(__xludf.DUMMYFUNCTION("""COMPUTED_VALUE"""),"rare")</f>
        <v>rare</v>
      </c>
      <c r="D27" s="8" t="str">
        <f>IFERROR(__xludf.DUMMYFUNCTION("""COMPUTED_VALUE"""),"Martial Weapon, Melee Weapon")</f>
        <v>Martial Weapon, Melee Weapon</v>
      </c>
      <c r="E27" s="8"/>
      <c r="F27" s="8" t="str">
        <f>IFERROR(__xludf.DUMMYFUNCTION("""COMPUTED_VALUE"""),"1d4 Slashing")</f>
        <v>1d4 Slashing</v>
      </c>
      <c r="G27" s="8" t="str">
        <f>IFERROR(__xludf.DUMMYFUNCTION("""COMPUTED_VALUE"""),"finesse, reach")</f>
        <v>finesse, reach</v>
      </c>
      <c r="H27" s="8"/>
      <c r="I27" s="8" t="str">
        <f>IFERROR(__xludf.DUMMYFUNCTION("""COMPUTED_VALUE"""),"The handle of this dark leather whip bears the fire rune, and embers dance around the whip's tail. On a hit, the whip deals an extra 1d6 fire damage. When you score a critical hit with an attack using this whip, the target also has the restrained conditio"&amp;"n until the start of your next turn, as fiery bands lash around the target. Invoking the Rune. When you make an attack with the whip and hit, you can use your reaction to invoke the whip's rune. Doing so increases the extra fire damage dealt by the whip t"&amp;"o 2d6.Once the rune has been invoked, it can't be invoked again until the next dawn. Finesse. When making an attack with a finesse weapon, you use your choice of your Strength or Dexterity modifier for the attack and damage rolls. You must use the same mo"&amp;"difier for both rolls. Reach. This weapon adds 5 feet to your reach when you attack with it. This property also determines your reach for opportunity attacks with a reach weapon.")</f>
        <v>The handle of this dark leather whip bears the fire rune, and embers dance around the whip's tail.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2d6.Once the rune has been invoked, it can't be invoked again until the next dawn.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J27" s="8">
        <f>IFERROR(__xludf.DUMMYFUNCTION("""COMPUTED_VALUE"""),950.0)</f>
        <v>950</v>
      </c>
    </row>
    <row r="28">
      <c r="A28" s="10" t="str">
        <f>IFERROR(__xludf.DUMMYFUNCTION("""COMPUTED_VALUE"""),"Scimitar of Speed")</f>
        <v>Scimitar of Speed</v>
      </c>
      <c r="B28" s="10" t="str">
        <f>IFERROR(__xludf.DUMMYFUNCTION("""COMPUTED_VALUE"""),"DMG'24")</f>
        <v>DMG'24</v>
      </c>
      <c r="C28" s="10" t="str">
        <f>IFERROR(__xludf.DUMMYFUNCTION("""COMPUTED_VALUE"""),"very rare")</f>
        <v>very rare</v>
      </c>
      <c r="D28" s="10" t="str">
        <f>IFERROR(__xludf.DUMMYFUNCTION("""COMPUTED_VALUE"""),"Martial Weapon, Melee Weapon")</f>
        <v>Martial Weapon, Melee Weapon</v>
      </c>
      <c r="E28" s="10" t="str">
        <f>IFERROR(__xludf.DUMMYFUNCTION("""COMPUTED_VALUE"""),"requires attunement")</f>
        <v>requires attunement</v>
      </c>
      <c r="F28" s="10" t="str">
        <f>IFERROR(__xludf.DUMMYFUNCTION("""COMPUTED_VALUE"""),"1d6 Slashing")</f>
        <v>1d6 Slashing</v>
      </c>
      <c r="G28" s="10" t="str">
        <f>IFERROR(__xludf.DUMMYFUNCTION("""COMPUTED_VALUE"""),"Finesse, Light")</f>
        <v>Finesse, Light</v>
      </c>
      <c r="H28" s="10" t="str">
        <f>IFERROR(__xludf.DUMMYFUNCTION("""COMPUTED_VALUE"""),"Mastery: Nick")</f>
        <v>Mastery: Nick</v>
      </c>
      <c r="I28" s="10" t="str">
        <f>IFERROR(__xludf.DUMMYFUNCTION("""COMPUTED_VALUE"""),"You can make one attack with it as a Bonus Action on each of your turns. Finesse. When making an attack with a Finesse weapon, use your choice of your Strength or Dexterity modifier for the attack and damage rolls. You must use the same modifier for both "&amp;"rolls. Light. When you take the Attack action on your turn and attack with a Light weapon, you can make one extra attack as a Bonus Action later on the same turn. That extra attack must be made with a different Light weapon, and you don't add your ability"&amp;" modifier to the extra attack's damage unless that modifier is negative. For example, you can attack with a Shortsword in one hand and a Dagger in the other using the Attack action and a Bonus Action, but you don't add your Strength or Dexterity modifier "&amp;"to the damage roll of the Bonus Action unless that modifier is negative. Mastery: Nick. When you make the extra attack of the Light property, you can make it as part of the Attack action instead of as a Bonus Action. You can make this extra attack only on"&amp;"ce per turn.")</f>
        <v>You can make one attack with it as a Bonus Action on each of your turns.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Nick. When you make the extra attack of the Light property, you can make it as part of the Attack action instead of as a Bonus Action. You can make this extra attack only once per turn.</v>
      </c>
      <c r="J28" s="20">
        <f>IFERROR(__xludf.DUMMYFUNCTION("""COMPUTED_VALUE"""),1000.0)</f>
        <v>1000</v>
      </c>
    </row>
    <row r="29">
      <c r="A29" s="8" t="str">
        <f>IFERROR(__xludf.DUMMYFUNCTION("""COMPUTED_VALUE"""),"Devotee's Censer")</f>
        <v>Devotee's Censer</v>
      </c>
      <c r="B29" s="8" t="str">
        <f>IFERROR(__xludf.DUMMYFUNCTION("""COMPUTED_VALUE"""),"TCE")</f>
        <v>TCE</v>
      </c>
      <c r="C29" s="8" t="str">
        <f>IFERROR(__xludf.DUMMYFUNCTION("""COMPUTED_VALUE"""),"rare")</f>
        <v>rare</v>
      </c>
      <c r="D29" s="8" t="str">
        <f>IFERROR(__xludf.DUMMYFUNCTION("""COMPUTED_VALUE"""),"Martial Weapon, Melee Weapon")</f>
        <v>Martial Weapon, Melee Weapon</v>
      </c>
      <c r="E29" s="8" t="str">
        <f>IFERROR(__xludf.DUMMYFUNCTION("""COMPUTED_VALUE"""),"requires attunement by a cleric or paladin")</f>
        <v>requires attunement by a cleric or paladin</v>
      </c>
      <c r="F29" s="8" t="str">
        <f>IFERROR(__xludf.DUMMYFUNCTION("""COMPUTED_VALUE"""),"1d8 Bludgeoning")</f>
        <v>1d8 Bludgeoning</v>
      </c>
      <c r="G29" s="8"/>
      <c r="H29" s="8"/>
      <c r="I29" s="8"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J29" s="19">
        <f>IFERROR(__xludf.DUMMYFUNCTION("""COMPUTED_VALUE"""),1200.0)</f>
        <v>1200</v>
      </c>
    </row>
    <row r="30">
      <c r="A30" s="10" t="str">
        <f>IFERROR(__xludf.DUMMYFUNCTION("""COMPUTED_VALUE"""),"Serpent's Fang")</f>
        <v>Serpent's Fang</v>
      </c>
      <c r="B30" s="10" t="str">
        <f>IFERROR(__xludf.DUMMYFUNCTION("""COMPUTED_VALUE"""),"CM")</f>
        <v>CM</v>
      </c>
      <c r="C30" s="10" t="str">
        <f>IFERROR(__xludf.DUMMYFUNCTION("""COMPUTED_VALUE"""),"rare")</f>
        <v>rare</v>
      </c>
      <c r="D30" s="10" t="str">
        <f>IFERROR(__xludf.DUMMYFUNCTION("""COMPUTED_VALUE"""),"Martial Weapon, Melee Weapon")</f>
        <v>Martial Weapon, Melee Weapon</v>
      </c>
      <c r="E30" s="10"/>
      <c r="F30" s="10" t="str">
        <f>IFERROR(__xludf.DUMMYFUNCTION("""COMPUTED_VALUE"""),"1d8 Slashing")</f>
        <v>1d8 Slashing</v>
      </c>
      <c r="G30" s="10" t="str">
        <f>IFERROR(__xludf.DUMMYFUNCTION("""COMPUTED_VALUE"""),"versatile (1d10)")</f>
        <v>versatile (1d10)</v>
      </c>
      <c r="H30" s="10"/>
      <c r="I30" s="10" t="str">
        <f>IFERROR(__xludf.DUMMYFUNCTION("""COMPUTED_VALUE"""),"This single-edged magic sword is made from the scrimshawed fang of a giant serpent. Its hilt changes shape to adjust to the grasp of any creature that picks it up. The weapon deals an extra 1d10 poison damage to any target it hits. Versatile. This weapon "&amp;"can be used with one or two hands. A damage value in parentheses appears with the property the damage when the weapon is used with two hands to make a melee attack.")</f>
        <v>This single-edged magic sword is made from the scrimshawed fang of a giant serpent. Its hilt changes shape to adjust to the grasp of any creature that picks it up. The weapon deals an extra 1d10 poison damage to any target it hits. Versatile. This weapon can be used with one or two hands. A damage value in parentheses appears with the property the damage when the weapon is used with two hands to make a melee attack.</v>
      </c>
      <c r="J30" s="18">
        <f>IFERROR(__xludf.DUMMYFUNCTION("""COMPUTED_VALUE"""),1200.0)</f>
        <v>1200</v>
      </c>
    </row>
    <row r="31">
      <c r="A31" s="8" t="str">
        <f>IFERROR(__xludf.DUMMYFUNCTION("""COMPUTED_VALUE"""),"Sword of the Paruns")</f>
        <v>Sword of the Paruns</v>
      </c>
      <c r="B31" s="8" t="str">
        <f>IFERROR(__xludf.DUMMYFUNCTION("""COMPUTED_VALUE"""),"GGR")</f>
        <v>GGR</v>
      </c>
      <c r="C31" s="8" t="str">
        <f>IFERROR(__xludf.DUMMYFUNCTION("""COMPUTED_VALUE"""),"very rare")</f>
        <v>very rare</v>
      </c>
      <c r="D31" s="8" t="str">
        <f>IFERROR(__xludf.DUMMYFUNCTION("""COMPUTED_VALUE"""),"Martial Weapon, Melee Weapon")</f>
        <v>Martial Weapon, Melee Weapon</v>
      </c>
      <c r="E31" s="8" t="str">
        <f>IFERROR(__xludf.DUMMYFUNCTION("""COMPUTED_VALUE"""),"requires attunement")</f>
        <v>requires attunement</v>
      </c>
      <c r="F31" s="8" t="str">
        <f>IFERROR(__xludf.DUMMYFUNCTION("""COMPUTED_VALUE"""),"1d8 Slashing")</f>
        <v>1d8 Slashing</v>
      </c>
      <c r="G31" s="8" t="str">
        <f>IFERROR(__xludf.DUMMYFUNCTION("""COMPUTED_VALUE"""),"versatile (1d10)")</f>
        <v>versatile (1d10)</v>
      </c>
      <c r="H31" s="8"/>
      <c r="I31" s="8" t="str">
        <f>IFERROR(__xludf.DUMMYFUNCTION("""COMPUTED_VALUE"""),"Once on each of your turns, you can use one of the following properties if you're holding the sword:Immediately after you use the Attack action to attack with the sword, you can enable one creature within 60 feet of you to use its reaction to make one wea"&amp;"pon attack. Immediately after you take the Dash action, you can enable one creature within 60 feet of you to use its reaction to move up to its speed. Immediately after you take the Dodge action, you can enable one creature within 60 feet of you to use it"&amp;"s reaction to gain the benefits of the Dodge action. Versatile. This weapon can be used with one or two hands. A damage value in parentheses appears with the property the damage when the weapon is used with two hands to make a melee attack.")</f>
        <v>Once on each of your turns, you can use one of the following properties if you're holding the sword:Immediately after you use the Attack action to attack with the sword, you can enable one creature within 60 feet of you to use its reaction to make one weapon attack. Immediately after you take the Dash action, you can enable one creature within 60 feet of you to use its reaction to move up to its speed. Immediately after you take the Dodge action, you can enable one creature within 60 feet of you to use its reaction to gain the benefits of the Dodge action. Versatile. This weapon can be used with one or two hands. A damage value in parentheses appears with the property the damage when the weapon is used with two hands to make a melee attack.</v>
      </c>
      <c r="J31" s="19">
        <f>IFERROR(__xludf.DUMMYFUNCTION("""COMPUTED_VALUE"""),1500.0)</f>
        <v>1500</v>
      </c>
    </row>
    <row r="32">
      <c r="A32" s="10" t="str">
        <f>IFERROR(__xludf.DUMMYFUNCTION("""COMPUTED_VALUE"""),"Reaper's Scream")</f>
        <v>Reaper's Scream</v>
      </c>
      <c r="B32" s="10" t="str">
        <f>IFERROR(__xludf.DUMMYFUNCTION("""COMPUTED_VALUE"""),"BGG")</f>
        <v>BGG</v>
      </c>
      <c r="C32" s="10" t="str">
        <f>IFERROR(__xludf.DUMMYFUNCTION("""COMPUTED_VALUE"""),"legendary")</f>
        <v>legendary</v>
      </c>
      <c r="D32" s="10" t="str">
        <f>IFERROR(__xludf.DUMMYFUNCTION("""COMPUTED_VALUE"""),"Martial Weapon, Melee Weapon")</f>
        <v>Martial Weapon, Melee Weapon</v>
      </c>
      <c r="E32" s="10" t="str">
        <f>IFERROR(__xludf.DUMMYFUNCTION("""COMPUTED_VALUE"""),"requires attunement")</f>
        <v>requires attunement</v>
      </c>
      <c r="F32" s="10" t="str">
        <f>IFERROR(__xludf.DUMMYFUNCTION("""COMPUTED_VALUE"""),"1d8 Piercing")</f>
        <v>1d8 Piercing</v>
      </c>
      <c r="G32" s="10"/>
      <c r="H32" s="10"/>
      <c r="I32" s="10" t="str">
        <f>IFERROR(__xludf.DUMMYFUNCTION("""COMPUTED_VALUE"""),"The spikes of this iron morningstar glow with sickly, pale light. The death rune is inscribed on its shaft and inlaid with pearl. Attacks with this weapon deal necrotic damage instead of piercing damage.When you attack a creature with this weapon and roll"&amp;" a 20 on the attack roll, you gain 10 temporary hit points. Any creature that hits you with a melee attack while you have 1 or more of these temporary hit points takes 10 necrotic damage. Invoking the Rune. As a bonus action, you can invoke the weapon's r"&amp;"une, unleashing the screams of every creature slain by the weapon in one cacophonous burst. Each creature of your choice within 60 feet of you must succeed on a DC 15 Wisdom saving throw or have the stunned condition until the start of your next turn.Once"&amp;" the rune has been invoked, it can't be invoked again until the next dawn.")</f>
        <v>The spikes of this iron morningstar glow with sickly, pale light. The death rune is inscribed on its shaft and inlaid with pearl. Attacks with this weapon deal necrotic damage instead of piercing damage.When you attack a creature with this weapon and roll a 20 on the attack roll, you gain 10 temporary hit points. Any creature that hits you with a melee attack while you have 1 or more of these temporary hit points takes 10 necrotic damage. Invoking the Rune. As a bonus action, you can invoke the weapon's rune, unleashing the screams of every creature slain by the weapon in one cacophonous burst. Each creature of your choice within 60 feet of you must succeed on a DC 15 Wisdom saving throw or have the stunned condition until the start of your next turn.Once the rune has been invoked, it can't be invoked again until the next dawn.</v>
      </c>
      <c r="J32" s="18">
        <f>IFERROR(__xludf.DUMMYFUNCTION("""COMPUTED_VALUE"""),1600.0)</f>
        <v>1600</v>
      </c>
    </row>
    <row r="33">
      <c r="A33" s="12"/>
      <c r="B33" s="12"/>
      <c r="C33" s="12"/>
      <c r="D33" s="12"/>
      <c r="E33" s="12"/>
      <c r="F33" s="12"/>
      <c r="G33" s="12"/>
      <c r="H33" s="12"/>
      <c r="I33" s="12"/>
      <c r="J33" s="21"/>
    </row>
    <row r="34">
      <c r="A34" s="6" t="s">
        <v>15</v>
      </c>
      <c r="J34" s="22"/>
    </row>
    <row r="35">
      <c r="A35" s="8" t="str">
        <f>IFERROR(__xludf.DUMMYFUNCTION("FILTER(MasterList_Hidden!A:J,Search(""Simple Weapon, Ranged Weapon"",MasterList_Hidden!D:D),MasterList_Hidden!C:C&lt;&gt;""none"",MasterList_Hidden!J:J&lt;&gt;""Free to Guild Adventurers with Item Proficiency"",MasterList_Hidden!J:J&lt;&gt;""Free to Guild Adventurers in Go"&amp;"od Standing"",MasterList_Hidden!J:J&lt;&gt;""Artificer Replicate Magic Item Only"")"),"Storm Boomerang")</f>
        <v>Storm Boomerang</v>
      </c>
      <c r="B35" s="8" t="str">
        <f>IFERROR(__xludf.DUMMYFUNCTION("""COMPUTED_VALUE"""),"PotA")</f>
        <v>PotA</v>
      </c>
      <c r="C35" s="8" t="str">
        <f>IFERROR(__xludf.DUMMYFUNCTION("""COMPUTED_VALUE"""),"uncommon")</f>
        <v>uncommon</v>
      </c>
      <c r="D35" s="8" t="str">
        <f>IFERROR(__xludf.DUMMYFUNCTION("""COMPUTED_VALUE"""),"Simple Weapon, Ranged Weapon")</f>
        <v>Simple Weapon, Ranged Weapon</v>
      </c>
      <c r="E35" s="8"/>
      <c r="F35" s="8" t="str">
        <f>IFERROR(__xludf.DUMMYFUNCTION("""COMPUTED_VALUE"""),"1d4 Bludgeoning")</f>
        <v>1d4 Bludgeoning</v>
      </c>
      <c r="G35" s="8" t="str">
        <f>IFERROR(__xludf.DUMMYFUNCTION("""COMPUTED_VALUE"""),"range 60/120 ft.")</f>
        <v>range 60/120 ft.</v>
      </c>
      <c r="H35" s="8"/>
      <c r="I35" s="8" t="str">
        <f>IFERROR(__xludf.DUMMYFUNCTION("""COMPUTED_VALUE"""),"This boomerang is a ranged weapon carved from griffon bone and etched with the symbol of elemental air. When thrown, it has a range of 60/120 feet, and any creature that is proficient with the javelin is also proficient with this weapon. On a hit, the boo"&amp;"merang deals 1d4 bludgeoning damage and 3d4 thunder damage, and the target must succeed on a DC 10 Constitution saving throw or be stunned until the end of its next turn. On a miss, the boomerang returns to the thrower's hand.Once the boomerang deals thun"&amp;"der damage to a target, the weapon loses its ability to deal thunder damage and its ability to stun a target. These properties return after the boomerang spends at least 1 hour inside an elemental air node. Range. A weapon that can be used to make a range"&amp;"d attack has a range shown in parentheses after the ammunition or thrown property. The range lists two numbers. The first is the weapon's normal range in feet, and the second indicates the weapon's maximum range. When attacking a target beyond normal rang"&amp;"e, you have disadvantage on the attack roll. You can't attack a target beyond the weapon's long range.")</f>
        <v>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hand.Once the boomerang deals thunder damage to a target, the weapon loses its ability to deal thunder damage and its ability to stun a target. These properties return after the boomerang spends at least 1 hour inside an elemental air node.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J35" s="19">
        <f>IFERROR(__xludf.DUMMYFUNCTION("""COMPUTED_VALUE"""),550.0)</f>
        <v>550</v>
      </c>
    </row>
    <row r="36">
      <c r="A36" s="12"/>
      <c r="B36" s="12"/>
      <c r="C36" s="12"/>
      <c r="D36" s="12"/>
      <c r="E36" s="12"/>
      <c r="F36" s="12"/>
      <c r="G36" s="12"/>
      <c r="H36" s="12"/>
      <c r="I36" s="12"/>
      <c r="J36" s="21"/>
    </row>
    <row r="37">
      <c r="A37" s="6" t="s">
        <v>39</v>
      </c>
      <c r="J37" s="22"/>
    </row>
    <row r="38">
      <c r="A38" s="8" t="str">
        <f>IFERROR(__xludf.DUMMYFUNCTION("FILTER(MasterList_Hidden!A:J,Search(A37,MasterList_Hidden!D:D),MasterList_Hidden!C:C&lt;&gt;""none"",MasterList_Hidden!J:J&lt;&gt;""Free to Guild Adventurers with Item Proficiency"",MasterList_Hidden!J:J&lt;&gt;""Free to Guild Adventurers in Good Standing"",MasterList_Hidd"&amp;"en!J:J&lt;&gt;""Artificer Replicate Magic Item Only"")"),"Instrument of Illusions")</f>
        <v>Instrument of Illusions</v>
      </c>
      <c r="B38" s="8" t="str">
        <f>IFERROR(__xludf.DUMMYFUNCTION("""COMPUTED_VALUE"""),"DMG'24")</f>
        <v>DMG'24</v>
      </c>
      <c r="C38" s="8" t="str">
        <f>IFERROR(__xludf.DUMMYFUNCTION("""COMPUTED_VALUE"""),"common")</f>
        <v>common</v>
      </c>
      <c r="D38" s="8" t="str">
        <f>IFERROR(__xludf.DUMMYFUNCTION("""COMPUTED_VALUE"""),"Wondrous Item, Instrument")</f>
        <v>Wondrous Item, Instrument</v>
      </c>
      <c r="E38" s="8"/>
      <c r="F38" s="8"/>
      <c r="G38" s="8"/>
      <c r="H38" s="8"/>
      <c r="I38" s="8" t="str">
        <f>IFERROR(__xludf.DUMMYFUNCTION("""COMPUTED_VALUE"""),"While you are playing this musical instrument, you can take a Magic action to create harmless, illusory visual effects within a 5-foot Emanation originating from the instrument. If you are a Bard, the size of the Emanation increases to 15 feet. Sample vis"&amp;"ual effects include luminous musical notes, a spectral dancer, butterflies, and gently falling snow. The magical effects have neither substance nor sound, and they are obviously illusory. The effects end when you stop playing.")</f>
        <v>While you are playing this musical instrument, you can take a Magic action to create harmless, illusory visual effects within a 5-foot Emanation originating from the instrument. If you are a Bard, the size of the Emanation increases to 15 feet. Sample visual effects include luminous musical notes, a spectral dancer, butterflies, and gently falling snow. The magical effects have neither substance nor sound, and they are obviously illusory. The effects end when you stop playing.</v>
      </c>
      <c r="J38" s="19">
        <f>IFERROR(__xludf.DUMMYFUNCTION("""COMPUTED_VALUE"""),100.0)</f>
        <v>100</v>
      </c>
    </row>
    <row r="39">
      <c r="A39" s="10" t="str">
        <f>IFERROR(__xludf.DUMMYFUNCTION("""COMPUTED_VALUE"""),"Rhythm-Maker's Drum")</f>
        <v>Rhythm-Maker's Drum</v>
      </c>
      <c r="B39" s="10" t="str">
        <f>IFERROR(__xludf.DUMMYFUNCTION("""COMPUTED_VALUE"""),"TCE")</f>
        <v>TCE</v>
      </c>
      <c r="C39" s="10" t="str">
        <f>IFERROR(__xludf.DUMMYFUNCTION("""COMPUTED_VALUE"""),"uncommon")</f>
        <v>uncommon</v>
      </c>
      <c r="D39" s="10" t="str">
        <f>IFERROR(__xludf.DUMMYFUNCTION("""COMPUTED_VALUE"""),"Wondrous Item, Instrument")</f>
        <v>Wondrous Item, Instrument</v>
      </c>
      <c r="E39" s="10" t="str">
        <f>IFERROR(__xludf.DUMMYFUNCTION("""COMPUTED_VALUE"""),"requires attunement by a bard")</f>
        <v>requires attunement by a bard</v>
      </c>
      <c r="F39" s="10"/>
      <c r="G39" s="10"/>
      <c r="H39" s="10"/>
      <c r="I39" s="10" t="str">
        <f>IFERROR(__xludf.DUMMYFUNCTION("""COMPUTED_VALUE"""),"As an action, you can play the drum to regain one use of your Bardic Inspiration feature. This property of the drum can't be used again until the next dawn.If you have proficiency with a given musical instrument, you can add your proficiency bonus to any "&amp;"ability checks you make to play music with the instrument. A bard can use a musical instrument as a spellcasting focus. Each type of musical instrument requires a separate proficiency.See the Tool Proficiencies entry for more information.Proficiency with "&amp;"a musical instrument indicates you are familiar with the techniques used to play it. You also have knowledge of some songs commonly performed with that instrument. History. Your expertise aids you in recalling lore related to your instrument. Performance."&amp;" Your ability to put on a good show is improved when you incorporate an instrument into your act. Compose a Tune. As part of a long rest, you can compose a new tune and lyrics for your instrument. You might use this ability to impress a noble or spread sc"&amp;"andalous rumors with a catchy tune.Musical InstrumentActivityDCIdentify a tune10Improvise a tune20")</f>
        <v>As an action, you can play the drum to regain one use of your Bardic Inspiration feature. This property of the drum can't be used again until the next dawn.If you have proficiency with a given musical instrument, you can add your proficiency bonus to any ability checks you make to play music with the instrument. A bard can use a musical instrument as a spellcasting focus. Each type of musical instrument requires a separate proficiency.See the Tool Proficiencies entry for more information.Proficiency with a musical instrument indicates you are familiar with the techniques used to play it. You also have knowledge of some songs commonly performed with that instrument. History. Your expertise aids you in recalling lore related to your instrument. Performance. Your ability to put on a good show is improved when you incorporate an instrument into your act. Compose a Tune. As part of a long rest, you can compose a new tune and lyrics for your instrument. You might use this ability to impress a noble or spread scandalous rumors with a catchy tune.Musical InstrumentActivityDCIdentify a tune10Improvise a tune20</v>
      </c>
      <c r="J39" s="18">
        <f>IFERROR(__xludf.DUMMYFUNCTION("""COMPUTED_VALUE"""),450.0)</f>
        <v>450</v>
      </c>
    </row>
    <row r="40">
      <c r="A40" s="8" t="str">
        <f>IFERROR(__xludf.DUMMYFUNCTION("""COMPUTED_VALUE"""),"Lute of Thunderous Thumping")</f>
        <v>Lute of Thunderous Thumping</v>
      </c>
      <c r="B40" s="8" t="str">
        <f>IFERROR(__xludf.DUMMYFUNCTION("""COMPUTED_VALUE"""),"DMG'24")</f>
        <v>DMG'24</v>
      </c>
      <c r="C40" s="8" t="str">
        <f>IFERROR(__xludf.DUMMYFUNCTION("""COMPUTED_VALUE"""),"very rare")</f>
        <v>very rare</v>
      </c>
      <c r="D40" s="8" t="str">
        <f>IFERROR(__xludf.DUMMYFUNCTION("""COMPUTED_VALUE"""),"Simple Weapon, Melee Weapon, Instrument")</f>
        <v>Simple Weapon, Melee Weapon, Instrument</v>
      </c>
      <c r="E40" s="8"/>
      <c r="F40" s="8" t="str">
        <f>IFERROR(__xludf.DUMMYFUNCTION("""COMPUTED_VALUE"""),"1d4 Bludgeoning")</f>
        <v>1d4 Bludgeoning</v>
      </c>
      <c r="G40" s="8" t="str">
        <f>IFERROR(__xludf.DUMMYFUNCTION("""COMPUTED_VALUE"""),"Light")</f>
        <v>Light</v>
      </c>
      <c r="H40" s="8" t="str">
        <f>IFERROR(__xludf.DUMMYFUNCTION("""COMPUTED_VALUE"""),"Mastery: Slow")</f>
        <v>Mastery: Slow</v>
      </c>
      <c r="I40" s="8" t="str">
        <f>IFERROR(__xludf.DUMMYFUNCTION("""COMPUTED_VALUE"""),"This reinforced lute can be wielded as a magic Club that deals an extra 2d8 Thunder damage on a hit. Sing and Swing. If you're a Bard, you can use your Charisma modifier instead of your Strength modifier when making a melee attack roll with the lute, prov"&amp;"ided you sing or hum while making the attack. Light. When you take the Attack action on your turn and attack with a Light weapon, you can make one extra attack as a Bonus Action later on the same turn. That extra attack must be made with a different Light"&amp;" weapon, and you don't add your ability modifier to the extra attack's damage unless that modifier is negative. For example, you can attack with a Shortsword in one hand and a Dagger in the other using the Attack action and a Bonus Action, but you don't a"&amp;"dd your Strength or Dexterity modifier to the damage roll of the Bonus Action unless that modifier is negative. Mastery: Slow. If you hit a creature with this weapon and deal damage to it, you can reduce its Speed by 10 feet until the start of your next t"&amp;"urn. If the creature is hit more than once by weapons that have this property, the Speed reduction doesn't exceed 10 feet.")</f>
        <v>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J40" s="19">
        <f>IFERROR(__xludf.DUMMYFUNCTION("""COMPUTED_VALUE"""),1800.0)</f>
        <v>1800</v>
      </c>
    </row>
    <row r="41">
      <c r="A41" s="12"/>
      <c r="B41" s="12"/>
      <c r="C41" s="12"/>
      <c r="D41" s="12"/>
      <c r="E41" s="12"/>
      <c r="F41" s="12"/>
      <c r="G41" s="12"/>
      <c r="H41" s="12"/>
      <c r="I41" s="12"/>
      <c r="J41" s="21"/>
    </row>
    <row r="42">
      <c r="A42" s="6" t="s">
        <v>17</v>
      </c>
      <c r="J42" s="22"/>
    </row>
    <row r="43">
      <c r="A43" s="8" t="str">
        <f>IFERROR(__xludf.DUMMYFUNCTION("FILTER(MasterList_Hidden!A:J,Search(A42,MasterList_Hidden!D:D),MasterList_Hidden!C:C&lt;&gt;""none"",MasterList_Hidden!J:J&lt;&gt;""Free to Guild Adventurers with Item Proficiency"",MasterList_Hidden!J:J&lt;&gt;""Free to Guild Adventurers in Good Standing"",MasterList_Hidd"&amp;"en!J:J&lt;&gt;""Artificer Replicate Magic Item Only"")"),"Serpent Scale Armor")</f>
        <v>Serpent Scale Armor</v>
      </c>
      <c r="B43" s="8" t="str">
        <f>IFERROR(__xludf.DUMMYFUNCTION("""COMPUTED_VALUE"""),"CM")</f>
        <v>CM</v>
      </c>
      <c r="C43" s="8" t="str">
        <f>IFERROR(__xludf.DUMMYFUNCTION("""COMPUTED_VALUE"""),"uncommon")</f>
        <v>uncommon</v>
      </c>
      <c r="D43" s="8" t="str">
        <f>IFERROR(__xludf.DUMMYFUNCTION("""COMPUTED_VALUE"""),"Medium Armor")</f>
        <v>Medium Armor</v>
      </c>
      <c r="E43" s="8"/>
      <c r="F43" s="8" t="str">
        <f>IFERROR(__xludf.DUMMYFUNCTION("""COMPUTED_VALUE"""),"AC 14 + Dex")</f>
        <v>AC 14 + Dex</v>
      </c>
      <c r="G43" s="8"/>
      <c r="H43" s="8"/>
      <c r="I43" s="8" t="str">
        <f>IFERROR(__xludf.DUMMYFUNCTION("""COMPUTED_VALUE"""),"This suit of magic armor is made from shimmering scales. While wearing it, you can apply your full Dexterity modifier (instead of a maximum of +2) when determining your Armor Class. In addition, this armor does not impose disadvantage on your Dexterity (S"&amp;"tealth) checks.")</f>
        <v>This suit of magic armor is made from shimmering scales. While wearing it, you can apply your full Dexterity modifier (instead of a maximum of +2) when determining your Armor Class. In addition, this armor does not impose disadvantage on your Dexterity (Stealth) checks.</v>
      </c>
      <c r="J43" s="19">
        <f>IFERROR(__xludf.DUMMYFUNCTION("""COMPUTED_VALUE"""),1500.0)</f>
        <v>1500</v>
      </c>
    </row>
    <row r="44">
      <c r="A44" s="12"/>
      <c r="B44" s="12"/>
      <c r="C44" s="12"/>
      <c r="D44" s="12"/>
      <c r="E44" s="12"/>
      <c r="F44" s="12"/>
      <c r="G44" s="12"/>
      <c r="H44" s="12"/>
      <c r="I44" s="12"/>
      <c r="J44" s="21"/>
    </row>
    <row r="45">
      <c r="A45" s="6" t="s">
        <v>23</v>
      </c>
      <c r="J45" s="22"/>
    </row>
    <row r="46">
      <c r="A46" s="8" t="str">
        <f>IFERROR(__xludf.DUMMYFUNCTION("FILTER(MasterList_Hidden!A:J,Search(A45,MasterList_Hidden!D:D),MasterList_Hidden!C:C&lt;&gt;""none"",MasterList_Hidden!J:J&lt;&gt;""Free to Guild Adventurers with Item Proficiency"",MasterList_Hidden!J:J&lt;&gt;""Free to Guild Adventurers in Good Standing"",MasterList_Hidd"&amp;"en!J:J&lt;&gt;""Artificer Replicate Magic Item Only"")"),"Shield of Expression")</f>
        <v>Shield of Expression</v>
      </c>
      <c r="B46" s="8" t="str">
        <f>IFERROR(__xludf.DUMMYFUNCTION("""COMPUTED_VALUE"""),"DMG'24")</f>
        <v>DMG'24</v>
      </c>
      <c r="C46" s="8" t="str">
        <f>IFERROR(__xludf.DUMMYFUNCTION("""COMPUTED_VALUE"""),"common")</f>
        <v>common</v>
      </c>
      <c r="D46" s="8" t="str">
        <f>IFERROR(__xludf.DUMMYFUNCTION("""COMPUTED_VALUE"""),"Shield")</f>
        <v>Shield</v>
      </c>
      <c r="E46" s="8"/>
      <c r="F46" s="8" t="str">
        <f>IFERROR(__xludf.DUMMYFUNCTION("""COMPUTED_VALUE"""),"AC +2")</f>
        <v>AC +2</v>
      </c>
      <c r="G46" s="8"/>
      <c r="H46" s="8"/>
      <c r="I46" s="8" t="str">
        <f>IFERROR(__xludf.DUMMYFUNCTION("""COMPUTED_VALUE"""),"The front of this Shield is shaped in the likeness of a face. While bearing the Shield, you can take a Bonus Action to alter the face's expression.")</f>
        <v>The front of this Shield is shaped in the likeness of a face. While bearing the Shield, you can take a Bonus Action to alter the face's expression.</v>
      </c>
      <c r="J46" s="19">
        <f>IFERROR(__xludf.DUMMYFUNCTION("""COMPUTED_VALUE"""),50.0)</f>
        <v>50</v>
      </c>
    </row>
    <row r="47">
      <c r="A47" s="10" t="str">
        <f>IFERROR(__xludf.DUMMYFUNCTION("""COMPUTED_VALUE"""),"Shield of Shouting")</f>
        <v>Shield of Shouting</v>
      </c>
      <c r="B47" s="10" t="str">
        <f>IFERROR(__xludf.DUMMYFUNCTION("""COMPUTED_VALUE"""),"ToA")</f>
        <v>ToA</v>
      </c>
      <c r="C47" s="10" t="str">
        <f>IFERROR(__xludf.DUMMYFUNCTION("""COMPUTED_VALUE"""),"common")</f>
        <v>common</v>
      </c>
      <c r="D47" s="10" t="str">
        <f>IFERROR(__xludf.DUMMYFUNCTION("""COMPUTED_VALUE"""),"Shield")</f>
        <v>Shield</v>
      </c>
      <c r="E47" s="10"/>
      <c r="F47" s="10" t="str">
        <f>IFERROR(__xludf.DUMMYFUNCTION("""COMPUTED_VALUE"""),"AC +2")</f>
        <v>AC +2</v>
      </c>
      <c r="G47" s="10"/>
      <c r="H47" s="10"/>
      <c r="I47" s="10" t="str">
        <f>IFERROR(__xludf.DUMMYFUNCTION("""COMPUTED_VALUE"""),"A detect magic spell reveals an aura of transmutation magic around this shield, which has a minor magical property: words spoken by the shield's bearer are amplified and sound ten times louder than normal.")</f>
        <v>A detect magic spell reveals an aura of transmutation magic around this shield, which has a minor magical property: words spoken by the shield's bearer are amplified and sound ten times louder than normal.</v>
      </c>
      <c r="J47" s="18">
        <f>IFERROR(__xludf.DUMMYFUNCTION("""COMPUTED_VALUE"""),50.0)</f>
        <v>50</v>
      </c>
    </row>
    <row r="48">
      <c r="A48" s="8" t="str">
        <f>IFERROR(__xludf.DUMMYFUNCTION("""COMPUTED_VALUE"""),"Boomerang Shield")</f>
        <v>Boomerang Shield</v>
      </c>
      <c r="B48" s="8" t="str">
        <f>IFERROR(__xludf.DUMMYFUNCTION("""COMPUTED_VALUE"""),"BMT")</f>
        <v>BMT</v>
      </c>
      <c r="C48" s="8" t="str">
        <f>IFERROR(__xludf.DUMMYFUNCTION("""COMPUTED_VALUE"""),"uncommon")</f>
        <v>uncommon</v>
      </c>
      <c r="D48" s="8" t="str">
        <f>IFERROR(__xludf.DUMMYFUNCTION("""COMPUTED_VALUE"""),"Shield")</f>
        <v>Shield</v>
      </c>
      <c r="E48" s="8" t="str">
        <f>IFERROR(__xludf.DUMMYFUNCTION("""COMPUTED_VALUE"""),"requires attunement")</f>
        <v>requires attunement</v>
      </c>
      <c r="F48" s="8" t="str">
        <f>IFERROR(__xludf.DUMMYFUNCTION("""COMPUTED_VALUE"""),"AC +2")</f>
        <v>AC +2</v>
      </c>
      <c r="G48" s="8"/>
      <c r="H48" s="8"/>
      <c r="I48" s="8" t="str">
        <f>IFERROR(__xludf.DUMMYFUNCTION("""COMPUTED_VALUE"""),"You can make a ranged weapon attack with this magic shield. It has a normal range of 20 feet and a long range of 60 feet, and it uses your Strength or Dexterity for the attack roll (your choice). If you're proficient with shields, you are proficient with "&amp;"attacks made using this shield. On a hit, it deals 1d6 slashing damage. If you throw the shield, it reappears in your hand the instant after it hits or misses a target.")</f>
        <v>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v>
      </c>
      <c r="J48" s="19">
        <f>IFERROR(__xludf.DUMMYFUNCTION("""COMPUTED_VALUE"""),250.0)</f>
        <v>250</v>
      </c>
    </row>
    <row r="49">
      <c r="A49" s="10" t="str">
        <f>IFERROR(__xludf.DUMMYFUNCTION("""COMPUTED_VALUE"""),"Spiked Shield")</f>
        <v>Spiked Shield</v>
      </c>
      <c r="B49" s="10" t="str">
        <f>IFERROR(__xludf.DUMMYFUNCTION("""COMPUTED_VALUE"""),"WttHC")</f>
        <v>WttHC</v>
      </c>
      <c r="C49" s="10" t="str">
        <f>IFERROR(__xludf.DUMMYFUNCTION("""COMPUTED_VALUE"""),"uncommon")</f>
        <v>uncommon</v>
      </c>
      <c r="D49" s="10" t="str">
        <f>IFERROR(__xludf.DUMMYFUNCTION("""COMPUTED_VALUE"""),"Shield")</f>
        <v>Shield</v>
      </c>
      <c r="E49" s="10" t="str">
        <f>IFERROR(__xludf.DUMMYFUNCTION("""COMPUTED_VALUE"""),"requires attunement")</f>
        <v>requires attunement</v>
      </c>
      <c r="F49" s="10" t="str">
        <f>IFERROR(__xludf.DUMMYFUNCTION("""COMPUTED_VALUE"""),"AC +2")</f>
        <v>AC +2</v>
      </c>
      <c r="G49" s="10"/>
      <c r="H49" s="10"/>
      <c r="I49" s="10" t="str">
        <f>IFERROR(__xludf.DUMMYFUNCTION("""COMPUTED_VALUE"""),"Crude metal spikes adorn this magic Shield. It has the following properties that you can use while holding it. Shield Bash. When you take the Attack action, you can make one of the attack rolls using the Shield against a target within 5 feet of yourself. "&amp;"Apply your Proficiency Bonus and Strength modifier to the attack roll. On a hit, the Shield deals Piercing damage equal to 2d6 plus your Strength modifier. Spike Salvo. As a Magic action, you can cause spikes to erupt from the Shield in a 30-foot Cone. Ea"&amp;"ch creature in the Cone makes a DC 13 Dexterity saving throw, taking 3d6 Piercing damage on a failed save or half as much damage on a successful one. Once this property is used, it can't be used again until the next dawn.")</f>
        <v>Crude metal spikes adorn this magic Shield. It has the following properties that you can use while holding it. Shield Bash. When you take the Attack action, you can make one of the attack rolls using the Shield against a target within 5 feet of yourself. Apply your Proficiency Bonus and Strength modifier to the attack roll. On a hit, the Shield deals Piercing damage equal to 2d6 plus your Strength modifier. Spike Salvo. As a Magic action, you can cause spikes to erupt from the Shield in a 30-foot Cone. Each creature in the Cone makes a DC 13 Dexterity saving throw, taking 3d6 Piercing damage on a failed save or half as much damage on a successful one. Once this property is used, it can't be used again until the next dawn.</v>
      </c>
      <c r="J49" s="18">
        <f>IFERROR(__xludf.DUMMYFUNCTION("""COMPUTED_VALUE"""),750.0)</f>
        <v>750</v>
      </c>
    </row>
    <row r="50">
      <c r="A50" s="8" t="str">
        <f>IFERROR(__xludf.DUMMYFUNCTION("""COMPUTED_VALUE"""),"Animated Shield")</f>
        <v>Animated Shield</v>
      </c>
      <c r="B50" s="8" t="str">
        <f>IFERROR(__xludf.DUMMYFUNCTION("""COMPUTED_VALUE"""),"DMG'24")</f>
        <v>DMG'24</v>
      </c>
      <c r="C50" s="8" t="str">
        <f>IFERROR(__xludf.DUMMYFUNCTION("""COMPUTED_VALUE"""),"very rare")</f>
        <v>very rare</v>
      </c>
      <c r="D50" s="8" t="str">
        <f>IFERROR(__xludf.DUMMYFUNCTION("""COMPUTED_VALUE"""),"Shield")</f>
        <v>Shield</v>
      </c>
      <c r="E50" s="8" t="str">
        <f>IFERROR(__xludf.DUMMYFUNCTION("""COMPUTED_VALUE"""),"requires attunement")</f>
        <v>requires attunement</v>
      </c>
      <c r="F50" s="8" t="str">
        <f>IFERROR(__xludf.DUMMYFUNCTION("""COMPUTED_VALUE"""),"AC +2")</f>
        <v>AC +2</v>
      </c>
      <c r="G50" s="8"/>
      <c r="H50" s="8"/>
      <c r="I50" s="8" t="str">
        <f>IFERROR(__xludf.DUMMYFUNCTION("""COMPUTED_VALUE"""),"While holding this Shield, you can take a Bonus Action to cause it to animate. The Shield leaps into the air and hovers in your space to protect you as if you were wielding it, leaving your hands free. The Shield remains animate for 1 minute, until you ta"&amp;"ke a Bonus Action to end this effect, or until you die or have the Incapacitated condition, at which point the Shield falls to the ground or into your hand if you have one free.")</f>
        <v>While holding this Shield, you can take a Bonus Action to cause it to animate. The Shield leaps into the air and hovers in your space to protect you as if you were wielding it, leaving your hands free. The Shield remains animate for 1 minute, until you take a Bonus Action to end this effect, or until you die or have the Incapacitated condition, at which point the Shield falls to the ground or into your hand if you have one free.</v>
      </c>
      <c r="J50" s="19">
        <f>IFERROR(__xludf.DUMMYFUNCTION("""COMPUTED_VALUE"""),1000.0)</f>
        <v>1000</v>
      </c>
    </row>
    <row r="51">
      <c r="A51" s="10" t="str">
        <f>IFERROR(__xludf.DUMMYFUNCTION("""COMPUTED_VALUE"""),"Arrow-Catching Shield")</f>
        <v>Arrow-Catching Shield</v>
      </c>
      <c r="B51" s="10" t="str">
        <f>IFERROR(__xludf.DUMMYFUNCTION("""COMPUTED_VALUE"""),"DMG'24")</f>
        <v>DMG'24</v>
      </c>
      <c r="C51" s="10" t="str">
        <f>IFERROR(__xludf.DUMMYFUNCTION("""COMPUTED_VALUE"""),"rare")</f>
        <v>rare</v>
      </c>
      <c r="D51" s="10" t="str">
        <f>IFERROR(__xludf.DUMMYFUNCTION("""COMPUTED_VALUE"""),"Shield")</f>
        <v>Shield</v>
      </c>
      <c r="E51" s="10" t="str">
        <f>IFERROR(__xludf.DUMMYFUNCTION("""COMPUTED_VALUE"""),"requires attunement")</f>
        <v>requires attunement</v>
      </c>
      <c r="F51" s="10" t="str">
        <f>IFERROR(__xludf.DUMMYFUNCTION("""COMPUTED_VALUE"""),"AC +2")</f>
        <v>AC +2</v>
      </c>
      <c r="G51" s="10"/>
      <c r="H51" s="10"/>
      <c r="I51" s="10" t="str">
        <f>IFERROR(__xludf.DUMMYFUNCTION("""COMPUTED_VALUE"""),"You gain a +2 bonus to Armor Class against ranged attack rolls while you wield this Shield. This bonus is in addition to the Shield's normal bonus to AC. Whenever an attacker makes a ranged attack roll against a target within 5 feet of you, you can take a"&amp;" Reaction to become the target of the attack instead.")</f>
        <v>You gain a +2 bonus to Armor Class against ranged attack rolls while you wield this Shield. This bonus is in addition to the Shield's normal bonus to AC. Whenever an attacker makes a ranged attack roll against a target within 5 feet of you, you can take a Reaction to become the target of the attack instead.</v>
      </c>
      <c r="J51" s="18">
        <f>IFERROR(__xludf.DUMMYFUNCTION("""COMPUTED_VALUE"""),1200.0)</f>
        <v>1200</v>
      </c>
    </row>
    <row r="52">
      <c r="A52" s="8" t="str">
        <f>IFERROR(__xludf.DUMMYFUNCTION("""COMPUTED_VALUE"""),"Sentinel Shield")</f>
        <v>Sentinel Shield</v>
      </c>
      <c r="B52" s="8" t="str">
        <f>IFERROR(__xludf.DUMMYFUNCTION("""COMPUTED_VALUE"""),"DMG'24")</f>
        <v>DMG'24</v>
      </c>
      <c r="C52" s="8" t="str">
        <f>IFERROR(__xludf.DUMMYFUNCTION("""COMPUTED_VALUE"""),"uncommon")</f>
        <v>uncommon</v>
      </c>
      <c r="D52" s="8" t="str">
        <f>IFERROR(__xludf.DUMMYFUNCTION("""COMPUTED_VALUE"""),"Shield")</f>
        <v>Shield</v>
      </c>
      <c r="E52" s="8"/>
      <c r="F52" s="8" t="str">
        <f>IFERROR(__xludf.DUMMYFUNCTION("""COMPUTED_VALUE"""),"AC +2")</f>
        <v>AC +2</v>
      </c>
      <c r="G52" s="8"/>
      <c r="H52" s="8"/>
      <c r="I52" s="8" t="str">
        <f>IFERROR(__xludf.DUMMYFUNCTION("""COMPUTED_VALUE"""),"While holding this Shield, you have Advantage on Initiative rolls and Wisdom (Perception) checks. The Shield is emblazoned with a symbol of an eye.")</f>
        <v>While holding this Shield, you have Advantage on Initiative rolls and Wisdom (Perception) checks. The Shield is emblazoned with a symbol of an eye.</v>
      </c>
      <c r="J52" s="19">
        <f>IFERROR(__xludf.DUMMYFUNCTION("""COMPUTED_VALUE"""),1500.0)</f>
        <v>1500</v>
      </c>
    </row>
    <row r="53">
      <c r="A53" s="10" t="str">
        <f>IFERROR(__xludf.DUMMYFUNCTION("""COMPUTED_VALUE"""),"Shield of the Cavalier")</f>
        <v>Shield of the Cavalier</v>
      </c>
      <c r="B53" s="10" t="str">
        <f>IFERROR(__xludf.DUMMYFUNCTION("""COMPUTED_VALUE"""),"DMG'24")</f>
        <v>DMG'24</v>
      </c>
      <c r="C53" s="10" t="str">
        <f>IFERROR(__xludf.DUMMYFUNCTION("""COMPUTED_VALUE"""),"very rare")</f>
        <v>very rare</v>
      </c>
      <c r="D53" s="10" t="str">
        <f>IFERROR(__xludf.DUMMYFUNCTION("""COMPUTED_VALUE"""),"Shield")</f>
        <v>Shield</v>
      </c>
      <c r="E53" s="10" t="str">
        <f>IFERROR(__xludf.DUMMYFUNCTION("""COMPUTED_VALUE"""),"requires attunement")</f>
        <v>requires attunement</v>
      </c>
      <c r="F53" s="10" t="str">
        <f>IFERROR(__xludf.DUMMYFUNCTION("""COMPUTED_VALUE"""),"AC +2")</f>
        <v>AC +2</v>
      </c>
      <c r="G53" s="10"/>
      <c r="H53" s="10"/>
      <c r="I53" s="10" t="str">
        <f>IFERROR(__xludf.DUMMYFUNCTION("""COMPUTED_VALUE"""),"This bonus is in addition to the Shield's normal bonus to AC.The Shield has the following additional properties that you can use while holding it. Forceful Bash. When you take the Attack action, you can make one of the attack rolls using the Shield agains"&amp;"t a target within 5 feet of yourself. Apply your Proficiency Bonus and Strength modifier to the attack roll. On a hit, the Shield deals Force damage to the target equal to 2d6 + 2 plus your Strength modifier, and if the target is a creature, you can push "&amp;"it up to 10 feet directly away from yourself. If the creature is your size or smaller, you can also knock it down, giving it the Prone condition. Protective Field. As a Reaction, when you or an ally you can see within 5 feet of you is targeted by an attac"&amp;"k or makes a saving throw against an area of effect, you can use the Shield to create an immobile 5-foot Emanation originating from you. When the Emanation appears, any creatures or objects not fully contained within it are pushed into the nearest unoccup"&amp;"ied spaces outside it. The attack or area of effect that triggered the Reaction has no effect on creatures and objects inside the Emanation, which lasts as long as you maintain Concentration, up to 1 minute. Nothing can pass into or out of the Emanation. "&amp;"A creature or object inside the Emanation can't be damaged by attacks or effects originating from outside, nor can a creature inside the Emanation damage anything outside it. Once this property is used, it can't be used again until the next dawn.")</f>
        <v>This bonus is in addition to the Shield's normal bonus to AC.The Shield has the following additional properties that you can use while holding it. Forceful Bash. When you take the Attack action, you can make one of the attack rolls using the Shield against a target within 5 feet of yourself. Apply your Proficiency Bonus and Strength modifier to the attack roll. On a hit, the Shield deals Force damage to the target equal to 2d6 + 2 plus your Strength modifier, and if the target is a creature, you can push it up to 10 feet directly away from yourself. If the creature is your size or smaller, you can also knock it down, giving it the Prone condition. Protective Field. As a Reaction, when you or an ally you can see within 5 feet of you is targeted by an attack or makes a saving throw against an area of effect, you can use the Shield to create an immobile 5-foot Emanation originating from you. When the Emanation appears, any creatures or objects not fully contained within it are pushed into the nearest unoccupied spaces outside it. The attack or area of effect that triggered the Reaction has no effect on creatures and objects inside the Emanation, which lasts as long as you maintain Concentration, up to 1 minute. Nothing can pass into or out of the Emanation. A creature or object inside the Emanation can't be damaged by attacks or effects originating from outside, nor can a creature inside the Emanation damage anything outside it. Once this property is used, it can't be used again until the next dawn.</v>
      </c>
      <c r="J53" s="18">
        <f>IFERROR(__xludf.DUMMYFUNCTION("""COMPUTED_VALUE"""),1800.0)</f>
        <v>1800</v>
      </c>
    </row>
    <row r="54">
      <c r="A54" s="8" t="str">
        <f>IFERROR(__xludf.DUMMYFUNCTION("""COMPUTED_VALUE"""),"Sapphire Buckler")</f>
        <v>Sapphire Buckler</v>
      </c>
      <c r="B54" s="8" t="str">
        <f>IFERROR(__xludf.DUMMYFUNCTION("""COMPUTED_VALUE"""),"FTD")</f>
        <v>FTD</v>
      </c>
      <c r="C54" s="8" t="str">
        <f>IFERROR(__xludf.DUMMYFUNCTION("""COMPUTED_VALUE"""),"very rare")</f>
        <v>very rare</v>
      </c>
      <c r="D54" s="8" t="str">
        <f>IFERROR(__xludf.DUMMYFUNCTION("""COMPUTED_VALUE"""),"Shield")</f>
        <v>Shield</v>
      </c>
      <c r="E54" s="8" t="str">
        <f>IFERROR(__xludf.DUMMYFUNCTION("""COMPUTED_VALUE"""),"requires attunement")</f>
        <v>requires attunement</v>
      </c>
      <c r="F54" s="8" t="str">
        <f>IFERROR(__xludf.DUMMYFUNCTION("""COMPUTED_VALUE"""),"AC +2")</f>
        <v>AC +2</v>
      </c>
      <c r="G54" s="8"/>
      <c r="H54" s="8"/>
      <c r="I54" s="8" t="str">
        <f>IFERROR(__xludf.DUMMYFUNCTION("""COMPUTED_VALUE"""),"This crystalline blue shield is fashioned from a sapphire dragon's scale and is created to aid in rooting out the influence of Aberrations. While wielding the shield, you have resistance to psychic and thunder damage. Also, when you take damage from a cre"&amp;"ature that is within 5 feet of you, you can use your reaction to deal 2d6 thunder damage to that creature. As an action, you can use the shield to help you locate Aberrations until the end of your next turn. If any Aberrations are within 1 mile of you, th"&amp;"e shield emits a low humming tone for a moment, and you know the direction of all Aberrations within that range. Once this property is used, it can't be used again until the next dawn.")</f>
        <v>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v>
      </c>
      <c r="J54" s="19">
        <f>IFERROR(__xludf.DUMMYFUNCTION("""COMPUTED_VALUE"""),2150.0)</f>
        <v>2150</v>
      </c>
    </row>
    <row r="55">
      <c r="A55" s="10" t="str">
        <f>IFERROR(__xludf.DUMMYFUNCTION("""COMPUTED_VALUE"""),"Spellguard Shield")</f>
        <v>Spellguard Shield</v>
      </c>
      <c r="B55" s="10" t="str">
        <f>IFERROR(__xludf.DUMMYFUNCTION("""COMPUTED_VALUE"""),"DMG'24")</f>
        <v>DMG'24</v>
      </c>
      <c r="C55" s="10" t="str">
        <f>IFERROR(__xludf.DUMMYFUNCTION("""COMPUTED_VALUE"""),"very rare")</f>
        <v>very rare</v>
      </c>
      <c r="D55" s="10" t="str">
        <f>IFERROR(__xludf.DUMMYFUNCTION("""COMPUTED_VALUE"""),"Shield")</f>
        <v>Shield</v>
      </c>
      <c r="E55" s="10" t="str">
        <f>IFERROR(__xludf.DUMMYFUNCTION("""COMPUTED_VALUE"""),"requires attunement")</f>
        <v>requires attunement</v>
      </c>
      <c r="F55" s="10" t="str">
        <f>IFERROR(__xludf.DUMMYFUNCTION("""COMPUTED_VALUE"""),"AC +2")</f>
        <v>AC +2</v>
      </c>
      <c r="G55" s="10"/>
      <c r="H55" s="10"/>
      <c r="I55" s="10" t="str">
        <f>IFERROR(__xludf.DUMMYFUNCTION("""COMPUTED_VALUE"""),"While holding this Shield, you have Advantage on saving throws against spells and other magical effects, and spell attack rolls have Disadvantage against you.")</f>
        <v>While holding this Shield, you have Advantage on saving throws against spells and other magical effects, and spell attack rolls have Disadvantage against you.</v>
      </c>
      <c r="J55" s="18">
        <f>IFERROR(__xludf.DUMMYFUNCTION("""COMPUTED_VALUE"""),2150.0)</f>
        <v>2150</v>
      </c>
    </row>
    <row r="56">
      <c r="A56" s="8" t="str">
        <f>IFERROR(__xludf.DUMMYFUNCTION("""COMPUTED_VALUE"""),"Shield of the Blazing Dreadnought")</f>
        <v>Shield of the Blazing Dreadnought</v>
      </c>
      <c r="B56" s="8" t="str">
        <f>IFERROR(__xludf.DUMMYFUNCTION("""COMPUTED_VALUE"""),"BGG")</f>
        <v>BGG</v>
      </c>
      <c r="C56" s="8" t="str">
        <f>IFERROR(__xludf.DUMMYFUNCTION("""COMPUTED_VALUE"""),"legendary")</f>
        <v>legendary</v>
      </c>
      <c r="D56" s="8" t="str">
        <f>IFERROR(__xludf.DUMMYFUNCTION("""COMPUTED_VALUE"""),"Shield")</f>
        <v>Shield</v>
      </c>
      <c r="E56" s="8" t="str">
        <f>IFERROR(__xludf.DUMMYFUNCTION("""COMPUTED_VALUE"""),"requires attunement")</f>
        <v>requires attunement</v>
      </c>
      <c r="F56" s="8" t="str">
        <f>IFERROR(__xludf.DUMMYFUNCTION("""COMPUTED_VALUE"""),"AC +2")</f>
        <v>AC +2</v>
      </c>
      <c r="G56" s="8"/>
      <c r="H56" s="8"/>
      <c r="I56" s="8" t="str">
        <f>IFERROR(__xludf.DUMMYFUNCTION("""COMPUTED_VALUE"""),"Modeled after the formidable spiked tower shields wielded by some fire giants, this iron shield emanates a constant warmth.You can use a bonus action to activate the shield, causing glowing lava to flow through the shield's grooves for 1 minute. While the"&amp;" shield is active, you gain the following benefits: Blazing Soul. You have immunity to fire damage. Cleansing Fire. As an action, you can cause the shield to flare with the cleansing fire of the god Surtur. Choose one creature you can see within 30 feet o"&amp;"f yourself (you can choose yourself). One disease or condition of your choice affecting this creature ends immediately; the condition can be blinded, charmed, deafened, or poisoned. Shield Bash. When you take the Attack action on your turn, you can replac"&amp;"e one of your attacks with a shield bash, targeting one creature you can see within 5 feet of yourself. The target must make a Strength saving throw (DC equals 8 + your proficiency bonus + your Strength modifier). On a failed save, the target takes 3d6 bl"&amp;"udgeoning damage plus 3d6 fire damage and is knocked prone. On a successful save, the target takes half as much damage only. You can use Shield Bash only once per turn.Once the shield has been activated, it can't be activated again until the next dawn.")</f>
        <v>Modeled after the formidable spiked tower shields wielded by some fire giants, this iron shield emanates a constant warmth.You can use a bonus action to activate the shield, causing glowing lava to flow through the shield's grooves for 1 minute. While the shield is active, you gain the following benefits: Blazing Soul. You have immunity to fire damage. Cleansing Fire. As an action, you can cause the shield to flare with the cleansing fire of the god Surtur. Choose one creature you can see within 30 feet of yourself (you can choose yourself). One disease or condition of your choice affecting this creature ends immediately; the condition can be blinded, charmed, deafened, or poisoned. Shield Bash. When you take the Attack action on your turn, you can replace one of your attacks with a shield bash, targeting one creature you can see within 5 feet of yourself. The target must make a Strength saving throw (DC equals 8 + your proficiency bonus + your Strength modifier). On a failed save, the target takes 3d6 bludgeoning damage plus 3d6 fire damage and is knocked prone. On a successful save, the target takes half as much damage only. You can use Shield Bash only once per turn.Once the shield has been activated, it can't be activated again until the next dawn.</v>
      </c>
      <c r="J56" s="19">
        <f>IFERROR(__xludf.DUMMYFUNCTION("""COMPUTED_VALUE"""),2150.0)</f>
        <v>2150</v>
      </c>
    </row>
    <row r="57">
      <c r="A57" s="12"/>
      <c r="B57" s="12"/>
      <c r="C57" s="12"/>
      <c r="D57" s="12"/>
      <c r="E57" s="12"/>
      <c r="F57" s="12"/>
      <c r="G57" s="12"/>
      <c r="H57" s="12"/>
      <c r="I57" s="12"/>
      <c r="J57" s="23"/>
    </row>
    <row r="58">
      <c r="A58" s="6" t="s">
        <v>24</v>
      </c>
      <c r="J58" s="22"/>
    </row>
    <row r="59">
      <c r="A59" s="8" t="str">
        <f>IFERROR(__xludf.DUMMYFUNCTION("FILTER(MasterList_Hidden!A:J,Search(A58,MasterList_Hidden!D:D),MasterList_Hidden!C:C&lt;&gt;""none"",MasterList_Hidden!J:J&lt;&gt;""Free to Guild Adventurers with Item Proficiency"",MasterList_Hidden!J:J&lt;&gt;""Free to Guild Adventurers in Good Standing"",MasterList_Hidd"&amp;"en!J:J&lt;&gt;""Artificer Replicate Magic Item Only"")"),"All-Purpose Tool")</f>
        <v>All-Purpose Tool</v>
      </c>
      <c r="B59" s="8" t="str">
        <f>IFERROR(__xludf.DUMMYFUNCTION("""COMPUTED_VALUE"""),"TCE")</f>
        <v>TCE</v>
      </c>
      <c r="C59" s="8" t="str">
        <f>IFERROR(__xludf.DUMMYFUNCTION("""COMPUTED_VALUE"""),"uncommon")</f>
        <v>uncommon</v>
      </c>
      <c r="D59" s="8" t="str">
        <f>IFERROR(__xludf.DUMMYFUNCTION("""COMPUTED_VALUE"""),"Wondrous Item, Spellcasting Focus")</f>
        <v>Wondrous Item, Spellcasting Focus</v>
      </c>
      <c r="E59" s="8" t="str">
        <f>IFERROR(__xludf.DUMMYFUNCTION("""COMPUTED_VALUE"""),"requires attunement by an artificer")</f>
        <v>requires attunement by an artificer</v>
      </c>
      <c r="F59" s="8"/>
      <c r="G59" s="8"/>
      <c r="H59" s="8"/>
      <c r="I59" s="8" t="str">
        <f>IFERROR(__xludf.DUMMYFUNCTION("""COMPUTED_VALUE"""),"This simple screwdriver can transform into a variety of tools; as an action, you can touch the item and transform it into any type of artisan's tool of your choice (see the ""Equipment"" chapter in the Player's Handbook for a list of artisan's tools). Wha"&amp;"tever form the tool takes, you are proficient with it. As an action, you can focus on the tool to channel your creative forces. Choose a cantrip that you don't know from any class list. For 8 hours, you can cast that cantrip, and it counts as an artificer"&amp;" cantrip for you. Once this property is used, it can't be used again until the next dawn.")</f>
        <v>This simple screwdriver can transform into a variety of tools; as an action, you can touch the item and transform it into any type of artisan's tool of your choice (see the "Equipment" chapter in the Player's Handbook for a list of artisan's tools). Whatever form the tool takes, you are proficient with it.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v>
      </c>
      <c r="J59" s="19">
        <f>IFERROR(__xludf.DUMMYFUNCTION("""COMPUTED_VALUE"""),400.0)</f>
        <v>400</v>
      </c>
    </row>
    <row r="60">
      <c r="A60" s="10" t="str">
        <f>IFERROR(__xludf.DUMMYFUNCTION("""COMPUTED_VALUE"""),"Duplicitous Manuscript")</f>
        <v>Duplicitous Manuscript</v>
      </c>
      <c r="B60" s="10" t="str">
        <f>IFERROR(__xludf.DUMMYFUNCTION("""COMPUTED_VALUE"""),"TCE")</f>
        <v>TCE</v>
      </c>
      <c r="C60" s="10" t="str">
        <f>IFERROR(__xludf.DUMMYFUNCTION("""COMPUTED_VALUE"""),"rare")</f>
        <v>rare</v>
      </c>
      <c r="D60" s="10" t="str">
        <f>IFERROR(__xludf.DUMMYFUNCTION("""COMPUTED_VALUE"""),"Wondrous Item, Spellcasting Focus")</f>
        <v>Wondrous Item, Spellcasting Focus</v>
      </c>
      <c r="E60" s="10" t="str">
        <f>IFERROR(__xludf.DUMMYFUNCTION("""COMPUTED_VALUE"""),"requires attunement by a wizard")</f>
        <v>requires attunement by a wizard</v>
      </c>
      <c r="F60" s="10"/>
      <c r="G60" s="10"/>
      <c r="H60" s="10"/>
      <c r="I60" s="10" t="str">
        <f>IFERROR(__xludf.DUMMYFUNCTION("""COMPUTED_VALUE"""),"To you, this book is a magical spellbook. To anyone else, the book appears to be a volume of verbose romance fiction. As an action, you can change the book's appearance and alter the plot of the romance. When found, the book contains the following spells:"&amp;" hallucinatory terrain, major image, mirror image, mislead, Nystul's magic aura, phantasmal force, and silent image. It functions as a spellbook for you.While you are holding the book, you can use it as a spellcasting focus for your wizard spells. The boo"&amp;"k has 3 charges, and it regains 1d3 expended charges daily at dawn. You can use the charges in the following ways while holding it:If you spend 1 minute studying the book, you can expend 1 charge to replace one of your prepared wizard spells with a differ"&amp;"ent spell in the book. The new spell must be of the illusion school. When a creature you can see makes an Intelligence (Investigation) check to discern the true nature of an illusion spell you cast, or makes a saving throw against an illusion spell you ca"&amp;"st, you can use your reaction and expend 1 charge to impose disadvantage on the roll.")</f>
        <v>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v>
      </c>
      <c r="J60" s="18">
        <f>IFERROR(__xludf.DUMMYFUNCTION("""COMPUTED_VALUE"""),550.0)</f>
        <v>550</v>
      </c>
    </row>
    <row r="61">
      <c r="A61" s="8" t="str">
        <f>IFERROR(__xludf.DUMMYFUNCTION("""COMPUTED_VALUE"""),"Nature's Mantle")</f>
        <v>Nature's Mantle</v>
      </c>
      <c r="B61" s="8" t="str">
        <f>IFERROR(__xludf.DUMMYFUNCTION("""COMPUTED_VALUE"""),"DMG'24")</f>
        <v>DMG'24</v>
      </c>
      <c r="C61" s="8" t="str">
        <f>IFERROR(__xludf.DUMMYFUNCTION("""COMPUTED_VALUE"""),"uncommon")</f>
        <v>uncommon</v>
      </c>
      <c r="D61" s="8" t="str">
        <f>IFERROR(__xludf.DUMMYFUNCTION("""COMPUTED_VALUE"""),"Wondrous Item, Spellcasting Focus")</f>
        <v>Wondrous Item, Spellcasting Focus</v>
      </c>
      <c r="E61" s="8" t="str">
        <f>IFERROR(__xludf.DUMMYFUNCTION("""COMPUTED_VALUE"""),"requires attunement by a druid or ranger")</f>
        <v>requires attunement by a druid or ranger</v>
      </c>
      <c r="F61" s="8"/>
      <c r="G61" s="8"/>
      <c r="H61" s="8"/>
      <c r="I61" s="8" t="str">
        <f>IFERROR(__xludf.DUMMYFUNCTION("""COMPUTED_VALUE"""),"This cloak shifts color and texture to blend with the terrain surrounding you. While wearing the cloak, you can use it as a Spellcasting Focus for your Druid and Ranger spells.While you are in an area that is Lightly Obscured, you can Hide as a Bonus Acti"&amp;"on even if you are being directly observed.")</f>
        <v>This cloak shifts color and texture to blend with the terrain surrounding you. While wearing the cloak, you can use it as a Spellcasting Focus for your Druid and Ranger spells.While you are in an area that is Lightly Obscured, you can Hide as a Bonus Action even if you are being directly observed.</v>
      </c>
      <c r="J61" s="19">
        <f>IFERROR(__xludf.DUMMYFUNCTION("""COMPUTED_VALUE"""),600.0)</f>
        <v>600</v>
      </c>
    </row>
    <row r="62">
      <c r="A62" s="10" t="str">
        <f>IFERROR(__xludf.DUMMYFUNCTION("""COMPUTED_VALUE"""),"Alchemical Compendium")</f>
        <v>Alchemical Compendium</v>
      </c>
      <c r="B62" s="10" t="str">
        <f>IFERROR(__xludf.DUMMYFUNCTION("""COMPUTED_VALUE"""),"TCE")</f>
        <v>TCE</v>
      </c>
      <c r="C62" s="10" t="str">
        <f>IFERROR(__xludf.DUMMYFUNCTION("""COMPUTED_VALUE"""),"rare")</f>
        <v>rare</v>
      </c>
      <c r="D62" s="10" t="str">
        <f>IFERROR(__xludf.DUMMYFUNCTION("""COMPUTED_VALUE"""),"Wondrous Item, Spellcasting Focus")</f>
        <v>Wondrous Item, Spellcasting Focus</v>
      </c>
      <c r="E62" s="10" t="str">
        <f>IFERROR(__xludf.DUMMYFUNCTION("""COMPUTED_VALUE"""),"requires attunement by a wizard")</f>
        <v>requires attunement by a wizard</v>
      </c>
      <c r="F62" s="10"/>
      <c r="G62" s="10"/>
      <c r="H62" s="10"/>
      <c r="I62" s="10" t="str">
        <f>IFERROR(__xludf.DUMMYFUNCTION("""COMPUTED_VALUE"""),"Acrid odors cling to this stained, heavy volume. The book's metal fittings are copper, iron, lead, silver, and gold, some frozen mid-transition from one metal to another. When found, the book contains the following spells: enlarge/reduce, feather fall, fl"&amp;"esh to stone, gaseous form, magic weapon, and polymorph. It functions as a spellbook for you.While you are holding the book, you can use it as a spellcasting focus for your wizard spells.The book has 3 charges, and it regains 1d3 expended charges daily at"&amp;" dawn. You can use the charges in the following ways while holding it:If you spend 1 minute studying the book, you can expend 1 charge to replace one of your prepared wizard spells with a different spell in the book. The new spell must be of the transmuta"&amp;"tion school.As an action, you can touch a nonmagical object that isn't being worn or carried and spend a number of charges to transform the target into another object. For 1 charge, the object can be no larger than 1 foot on a side. You can spend addition"&amp;"al charges to increase the maximum dimensions by 2 feet per charge. The new object must have a gold value equal to or less than the original.")</f>
        <v>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you.While you are holding the book, you can use it as a spellcasting focus for your wizard spells.The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transmutation school.As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v>
      </c>
      <c r="J62" s="18">
        <f>IFERROR(__xludf.DUMMYFUNCTION("""COMPUTED_VALUE"""),650.0)</f>
        <v>650</v>
      </c>
    </row>
    <row r="63">
      <c r="A63" s="8" t="str">
        <f>IFERROR(__xludf.DUMMYFUNCTION("""COMPUTED_VALUE"""),"Arcane Grimoire")</f>
        <v>Arcane Grimoire</v>
      </c>
      <c r="B63" s="8" t="str">
        <f>IFERROR(__xludf.DUMMYFUNCTION("""COMPUTED_VALUE"""),"TCE")</f>
        <v>TCE</v>
      </c>
      <c r="C63" s="8" t="str">
        <f>IFERROR(__xludf.DUMMYFUNCTION("""COMPUTED_VALUE"""),"uncommon")</f>
        <v>uncommon</v>
      </c>
      <c r="D63" s="8" t="str">
        <f>IFERROR(__xludf.DUMMYFUNCTION("""COMPUTED_VALUE"""),"Wondrous Item, Spellcasting Focus")</f>
        <v>Wondrous Item, Spellcasting Focus</v>
      </c>
      <c r="E63" s="8" t="str">
        <f>IFERROR(__xludf.DUMMYFUNCTION("""COMPUTED_VALUE"""),"requires attunement by a wizard")</f>
        <v>requires attunement by a wizard</v>
      </c>
      <c r="F63" s="8"/>
      <c r="G63" s="8"/>
      <c r="H63" s="8"/>
      <c r="I63" s="8" t="str">
        <f>IFERROR(__xludf.DUMMYFUNCTION("""COMPUTED_VALUE"""),"While you are holding this leather-bound book, you can use it as a spellcasting focus for your wizard spells.You can use this book as a spellbook. In addition, when you use your Arcane Recovery feature, you can increase the number of spell slot levels you"&amp;" regain by 1.")</f>
        <v>While you are holding this leather-bound book, you can use it as a spellcasting focus for your wizard spells.You can use this book as a spellbook. In addition, when you use your Arcane Recovery feature, you can increase the number of spell slot levels you regain by 1.</v>
      </c>
      <c r="J63" s="19">
        <f>IFERROR(__xludf.DUMMYFUNCTION("""COMPUTED_VALUE"""),750.0)</f>
        <v>750</v>
      </c>
    </row>
    <row r="64">
      <c r="A64" s="10" t="str">
        <f>IFERROR(__xludf.DUMMYFUNCTION("""COMPUTED_VALUE"""),"Bloodwell Vial")</f>
        <v>Bloodwell Vial</v>
      </c>
      <c r="B64" s="10" t="str">
        <f>IFERROR(__xludf.DUMMYFUNCTION("""COMPUTED_VALUE"""),"TCE")</f>
        <v>TCE</v>
      </c>
      <c r="C64" s="10" t="str">
        <f>IFERROR(__xludf.DUMMYFUNCTION("""COMPUTED_VALUE"""),"uncommon")</f>
        <v>uncommon</v>
      </c>
      <c r="D64" s="10" t="str">
        <f>IFERROR(__xludf.DUMMYFUNCTION("""COMPUTED_VALUE"""),"Wondrous Item, Spellcasting Focus")</f>
        <v>Wondrous Item, Spellcasting Focus</v>
      </c>
      <c r="E64" s="10" t="str">
        <f>IFERROR(__xludf.DUMMYFUNCTION("""COMPUTED_VALUE"""),"requires attunement by a sorcerer")</f>
        <v>requires attunement by a sorcerer</v>
      </c>
      <c r="F64" s="10"/>
      <c r="G64" s="10"/>
      <c r="H64" s="10"/>
      <c r="I64" s="10" t="str">
        <f>IFERROR(__xludf.DUMMYFUNCTION("""COMPUTED_VALUE"""),"To attune to this vial, you must place a few drops of your blood into it. The vial can't be opened while your attunement to it lasts. If your attunement to the vial ends, the contained blood turns to ash. You can use the vial as a spellcasting focus for y"&amp;"our spells while wearing or holding it. In addition, when you roll any Hit Dice to recover hit points while you are carrying the vial, you can regain 5 sorcery points. This property of the vial can't be used again until the next dawn.")</f>
        <v>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In addition, when you roll any Hit Dice to recover hit points while you are carrying the vial, you can regain 5 sorcery points. This property of the vial can't be used again until the next dawn.</v>
      </c>
      <c r="J64" s="18">
        <f>IFERROR(__xludf.DUMMYFUNCTION("""COMPUTED_VALUE"""),750.0)</f>
        <v>750</v>
      </c>
    </row>
    <row r="65">
      <c r="A65" s="8" t="str">
        <f>IFERROR(__xludf.DUMMYFUNCTION("""COMPUTED_VALUE"""),"Feywild Shard")</f>
        <v>Feywild Shard</v>
      </c>
      <c r="B65" s="8" t="str">
        <f>IFERROR(__xludf.DUMMYFUNCTION("""COMPUTED_VALUE"""),"TCE")</f>
        <v>TCE</v>
      </c>
      <c r="C65" s="8" t="str">
        <f>IFERROR(__xludf.DUMMYFUNCTION("""COMPUTED_VALUE"""),"uncommon")</f>
        <v>uncommon</v>
      </c>
      <c r="D65" s="8" t="str">
        <f>IFERROR(__xludf.DUMMYFUNCTION("""COMPUTED_VALUE"""),"Wondrous Item, Spellcasting Focus")</f>
        <v>Wondrous Item, Spellcasting Focus</v>
      </c>
      <c r="E65" s="8" t="str">
        <f>IFERROR(__xludf.DUMMYFUNCTION("""COMPUTED_VALUE"""),"requires attunement by a sorcerer")</f>
        <v>requires attunement by a sorcerer</v>
      </c>
      <c r="F65" s="8"/>
      <c r="G65" s="8"/>
      <c r="H65" s="8"/>
      <c r="I65" s="8" t="str">
        <f>IFERROR(__xludf.DUMMYFUNCTION("""COMPUTED_VALUE"""),"This warm crystal glints with the sunset colors of the Feywild sky and evokes whispers of emotional memory. As an action, you can attach the shard to a Tiny object (such as a weapon or a piece of jewelry) or detach it. It falls off if your attunement to i"&amp;"t ends. You can use the shard as a spellcasting focus while you hold or wear it.When you use a Metamagic option on a spell while you are holding or wearing the shard, you can roll on the Wild Magic Surge table in the Player's Handbook. If the result is a "&amp;"spell, it is too wild to be affected by your Metamagic, and if it normally requires concentration, it doesn't require concentration in this case; the spell lasts for its full duration.If you don't have the Wild Magic Sorcerous Origin, once this property i"&amp;"s used to roll on the Wild Magic Surge table, it can't be used again until the next dawn.")</f>
        <v>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duration.If you don't have the Wild Magic Sorcerous Origin, once this property is used to roll on the Wild Magic Surge table, it can't be used again until the next dawn.</v>
      </c>
      <c r="J65" s="19">
        <f>IFERROR(__xludf.DUMMYFUNCTION("""COMPUTED_VALUE"""),750.0)</f>
        <v>750</v>
      </c>
    </row>
    <row r="66">
      <c r="A66" s="10" t="str">
        <f>IFERROR(__xludf.DUMMYFUNCTION("""COMPUTED_VALUE"""),"Astromancy Archive")</f>
        <v>Astromancy Archive</v>
      </c>
      <c r="B66" s="10" t="str">
        <f>IFERROR(__xludf.DUMMYFUNCTION("""COMPUTED_VALUE"""),"TCE")</f>
        <v>TCE</v>
      </c>
      <c r="C66" s="10" t="str">
        <f>IFERROR(__xludf.DUMMYFUNCTION("""COMPUTED_VALUE"""),"rare")</f>
        <v>rare</v>
      </c>
      <c r="D66" s="10" t="str">
        <f>IFERROR(__xludf.DUMMYFUNCTION("""COMPUTED_VALUE"""),"Wondrous Item, Spellcasting Focus")</f>
        <v>Wondrous Item, Spellcasting Focus</v>
      </c>
      <c r="E66" s="10" t="str">
        <f>IFERROR(__xludf.DUMMYFUNCTION("""COMPUTED_VALUE"""),"requires attunement by a wizard")</f>
        <v>requires attunement by a wizard</v>
      </c>
      <c r="F66" s="10"/>
      <c r="G66" s="10"/>
      <c r="H66" s="10"/>
      <c r="I66" s="10" t="str">
        <f>IFERROR(__xludf.DUMMYFUNCTION("""COMPUTED_VALUE"""),"This brass disc of articulated, concentric rings unfolds into an armillary sphere. As a bonus action, you can unfold it into the sphere or back into a disc. When found, it contains the following spells, which are wizard spells for you while you are attune"&amp;"d to it: augury, divination, find the path, foresight, locate creature, and locate object. It functions as a spellbook for you, with spells encoded on the rings.While you are holding the archive, you can use it as a spellcasting focus for your wizard spel"&amp;"ls.The archive has 3 charges, and it regains 1d3 expended charges daily at dawn. You can use the charges in the following ways while holding it:If you spend 1 minute studying the archive, you can expend 1 charge to replace one of your prepared wizard spel"&amp;"ls with a different spell in the archive. The new spell must be of the divination school. When a creature you can see within 30 feet of you makes an attack roll, an ability check, or a saving throw, you can use your reaction to expend 1 charge and force t"&amp;"he creature to roll a d4 and apply the number rolled as a bonus or penalty (your choice) to the original roll. You can do this after you see the roll but before its effects are applied.")</f>
        <v>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rings.While you are holding the archive, you can use it as a spellcasting focus for your wizard spells.The archive has 3 charges, and it regains 1d3 expended charges daily at dawn. You can use the charges in the following ways while holding it:If you spend 1 minute studying the archive, you can expend 1 charge to replace one of your prepared wizard spells with a different spell in the archive. The new spell must be of the divination school.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v>
      </c>
      <c r="J66" s="18">
        <f>IFERROR(__xludf.DUMMYFUNCTION("""COMPUTED_VALUE"""),750.0)</f>
        <v>750</v>
      </c>
    </row>
    <row r="67">
      <c r="A67" s="8" t="str">
        <f>IFERROR(__xludf.DUMMYFUNCTION("""COMPUTED_VALUE"""),"Outer Essence Shard (Lawful)")</f>
        <v>Outer Essence Shard (Lawful)</v>
      </c>
      <c r="B67" s="8" t="str">
        <f>IFERROR(__xludf.DUMMYFUNCTION("""COMPUTED_VALUE"""),"TCE")</f>
        <v>TCE</v>
      </c>
      <c r="C67" s="8" t="str">
        <f>IFERROR(__xludf.DUMMYFUNCTION("""COMPUTED_VALUE"""),"rare")</f>
        <v>rare</v>
      </c>
      <c r="D67" s="8" t="str">
        <f>IFERROR(__xludf.DUMMYFUNCTION("""COMPUTED_VALUE"""),"Wondrous Item, Spellcasting Focus")</f>
        <v>Wondrous Item, Spellcasting Focus</v>
      </c>
      <c r="E67" s="8" t="str">
        <f>IFERROR(__xludf.DUMMYFUNCTION("""COMPUTED_VALUE"""),"requires attunement by a sorcerer")</f>
        <v>requires attunement by a sorcerer</v>
      </c>
      <c r="F67" s="8"/>
      <c r="G67" s="8"/>
      <c r="H67" s="8"/>
      <c r="I67"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can end one of the following conditions affecting yourself or one creature you can see within "&amp;"30 feet of you: charmed, blinded, deafened, frightened, poisoned, or stunned.")</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can end one of the following conditions affecting yourself or one creature you can see within 30 feet of you: charmed, blinded, deafened, frightened, poisoned, or stunned.</v>
      </c>
      <c r="J67" s="19">
        <f>IFERROR(__xludf.DUMMYFUNCTION("""COMPUTED_VALUE"""),750.0)</f>
        <v>750</v>
      </c>
    </row>
    <row r="68">
      <c r="A68" s="10" t="str">
        <f>IFERROR(__xludf.DUMMYFUNCTION("""COMPUTED_VALUE"""),"Protective Verses")</f>
        <v>Protective Verses</v>
      </c>
      <c r="B68" s="10" t="str">
        <f>IFERROR(__xludf.DUMMYFUNCTION("""COMPUTED_VALUE"""),"TCE")</f>
        <v>TCE</v>
      </c>
      <c r="C68" s="10" t="str">
        <f>IFERROR(__xludf.DUMMYFUNCTION("""COMPUTED_VALUE"""),"rare")</f>
        <v>rare</v>
      </c>
      <c r="D68" s="10" t="str">
        <f>IFERROR(__xludf.DUMMYFUNCTION("""COMPUTED_VALUE"""),"Wondrous Item, Spellcasting Focus")</f>
        <v>Wondrous Item, Spellcasting Focus</v>
      </c>
      <c r="E68" s="10" t="str">
        <f>IFERROR(__xludf.DUMMYFUNCTION("""COMPUTED_VALUE"""),"requires attunement by a wizard")</f>
        <v>requires attunement by a wizard</v>
      </c>
      <c r="F68" s="10"/>
      <c r="G68" s="10"/>
      <c r="H68" s="10"/>
      <c r="I68" s="10" t="str">
        <f>IFERROR(__xludf.DUMMYFUNCTION("""COMPUTED_VALUE"""),"This leather-bound spellbook is reinforced with iron and silver fittings and an iron lock (DC 20 to open). As an action, you can touch the book's cover and cause it to lock as if you cast arcane lock on it. When found, the book contains the following spel"&amp;"ls: arcane lock, dispel magic, globe of invulnerability, glyph of warding, Mordenkainen's private sanctum, protection from evil, and symbol. It functions as a spellbook for you. While you are holding the book, you can use it as a spellcasting focus for yo"&amp;"ur wizard spells. The book has 3 charges, and it regains 1d3 expended charges daily at dawn. You can use the charges in the following ways while holding it:If you spend 1 minute studying the book, you can expend 1 charge to replace one of your prepared wi"&amp;"zard spells with a different spell in the book. The new spell must be of the abjuration school. When you cast an abjuration spell, you can expend 1 charge to grant a creature you can see within 30 feet of you 2d10 temporary hit points.")</f>
        <v>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symbol.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abjuration school. When you cast an abjuration spell, you can expend 1 charge to grant a creature you can see within 30 feet of you 2d10 temporary hit points.</v>
      </c>
      <c r="J68" s="18">
        <f>IFERROR(__xludf.DUMMYFUNCTION("""COMPUTED_VALUE"""),750.0)</f>
        <v>750</v>
      </c>
    </row>
    <row r="69">
      <c r="A69" s="8" t="str">
        <f>IFERROR(__xludf.DUMMYFUNCTION("""COMPUTED_VALUE"""),"Crystalline Chronicle")</f>
        <v>Crystalline Chronicle</v>
      </c>
      <c r="B69" s="8" t="str">
        <f>IFERROR(__xludf.DUMMYFUNCTION("""COMPUTED_VALUE"""),"TCE")</f>
        <v>TCE</v>
      </c>
      <c r="C69" s="8" t="str">
        <f>IFERROR(__xludf.DUMMYFUNCTION("""COMPUTED_VALUE"""),"very rare")</f>
        <v>very rare</v>
      </c>
      <c r="D69" s="8" t="str">
        <f>IFERROR(__xludf.DUMMYFUNCTION("""COMPUTED_VALUE"""),"Wondrous Item, Spellcasting Focus")</f>
        <v>Wondrous Item, Spellcasting Focus</v>
      </c>
      <c r="E69" s="8" t="str">
        <f>IFERROR(__xludf.DUMMYFUNCTION("""COMPUTED_VALUE"""),"requires attunement by a wizard")</f>
        <v>requires attunement by a wizard</v>
      </c>
      <c r="F69" s="8"/>
      <c r="G69" s="8"/>
      <c r="H69" s="8"/>
      <c r="I69" s="8" t="str">
        <f>IFERROR(__xludf.DUMMYFUNCTION("""COMPUTED_VALUE"""),"An etched crystal sphere the size of a grapefruit hums faintly and pulses with irregular flares of inner light. While you are touching the crystal, you can retrieve and store information and spells within the crystal at the same rate as reading and writin"&amp;"g. When found, the crystal contains the following spells: detect thoughts, intellect fortress, Rary's telepathic bond, sending, telekinesis, Tasha's mind whip, and Tenser's floating disk. It functions as a spellbook for you, with its spells and other writ"&amp;"ing psychically encoded within it.While you are holding the crystal, you can use it as a spellcasting focus for your wizard spells, and you know the mage hand, mind sliver (appears in this book), and message cantrips if you don't already know them.The cry"&amp;"stal has 3 charges, and it regains 1d3 expended charges daily at dawn. You can use the charges in the following ways while holding it:If you spend 1 minute studying the information within the crystal, you can expend 1 charge to replace one of your prepare"&amp;"d wizard spells with a different spell in the book.When you cast a wizard spell, you can expend 1 charge to cast the spell without verbal, somatic, or material components of up to 100 gp value.")</f>
        <v>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it.While you are holding the crystal, you can use it as a spellcasting focus for your wizard spells, and you know the mage hand, mind sliver (appears in this book), and message cantrips if you don't already know them.The crystal has 3 charges, and it regains 1d3 expended charges daily at dawn. You can use the charges in the following ways while holding it:If you spend 1 minute studying the information within the crystal, you can expend 1 charge to replace one of your prepared wizard spells with a different spell in the book.When you cast a wizard spell, you can expend 1 charge to cast the spell without verbal, somatic, or material components of up to 100 gp value.</v>
      </c>
      <c r="J69" s="19">
        <f>IFERROR(__xludf.DUMMYFUNCTION("""COMPUTED_VALUE"""),750.0)</f>
        <v>750</v>
      </c>
    </row>
    <row r="70">
      <c r="A70" s="10" t="str">
        <f>IFERROR(__xludf.DUMMYFUNCTION("""COMPUTED_VALUE"""),"Elemental Essence Shard (Fire)")</f>
        <v>Elemental Essence Shard (Fire)</v>
      </c>
      <c r="B70" s="10" t="str">
        <f>IFERROR(__xludf.DUMMYFUNCTION("""COMPUTED_VALUE"""),"TCE")</f>
        <v>TCE</v>
      </c>
      <c r="C70" s="10" t="str">
        <f>IFERROR(__xludf.DUMMYFUNCTION("""COMPUTED_VALUE"""),"rare")</f>
        <v>rare</v>
      </c>
      <c r="D70" s="10" t="str">
        <f>IFERROR(__xludf.DUMMYFUNCTION("""COMPUTED_VALUE"""),"Wondrous Item, Spellcasting Focus")</f>
        <v>Wondrous Item, Spellcasting Focus</v>
      </c>
      <c r="E70" s="10" t="str">
        <f>IFERROR(__xludf.DUMMYFUNCTION("""COMPUTED_VALUE"""),"requires attunement by a sorcerer")</f>
        <v>requires attunement by a sorcerer</v>
      </c>
      <c r="F70" s="10"/>
      <c r="G70" s="10"/>
      <c r="H70" s="10"/>
      <c r="I70"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One target of the spell that you can see catches fire. The burning target takes 2d1"&amp;"0 fire damage at the start of its next turn, and then the flames go out.")</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One target of the spell that you can see catches fire. The burning target takes 2d10 fire damage at the start of its next turn, and then the flames go out.</v>
      </c>
      <c r="J70" s="18">
        <f>IFERROR(__xludf.DUMMYFUNCTION("""COMPUTED_VALUE"""),800.0)</f>
        <v>800</v>
      </c>
    </row>
    <row r="71">
      <c r="A71" s="8" t="str">
        <f>IFERROR(__xludf.DUMMYFUNCTION("""COMPUTED_VALUE"""),"Far Realm Shard")</f>
        <v>Far Realm Shard</v>
      </c>
      <c r="B71" s="8" t="str">
        <f>IFERROR(__xludf.DUMMYFUNCTION("""COMPUTED_VALUE"""),"TCE")</f>
        <v>TCE</v>
      </c>
      <c r="C71" s="8" t="str">
        <f>IFERROR(__xludf.DUMMYFUNCTION("""COMPUTED_VALUE"""),"rare")</f>
        <v>rare</v>
      </c>
      <c r="D71" s="8" t="str">
        <f>IFERROR(__xludf.DUMMYFUNCTION("""COMPUTED_VALUE"""),"Wondrous Item, Spellcasting Focus")</f>
        <v>Wondrous Item, Spellcasting Focus</v>
      </c>
      <c r="E71" s="8" t="str">
        <f>IFERROR(__xludf.DUMMYFUNCTION("""COMPUTED_VALUE"""),"requires attunement by a sorcerer")</f>
        <v>requires attunement by a sorcerer</v>
      </c>
      <c r="F71" s="8"/>
      <c r="G71" s="8"/>
      <c r="H71" s="8"/>
      <c r="I71" s="8" t="str">
        <f>IFERROR(__xludf.DUMMYFUNCTION("""COMPUTED_VALUE"""),"This writhing crystal is steeped in the warped essence of the Far Realm. As an action, you can attach the shard to a Tiny object (such as a weapon or a piece of jewelry) or detach it. It falls off if your attunement to it ends. You can use the shard as a "&amp;"spellcasting focus while you hold or wear it.When you use a Metamagic option on a spell while you are holding or wearing the shard, you can cause a slimy tentacle to rip through the fabric of reality and strike one creature you can see within 30 feet of y"&amp;"ou. The creature must succeed on a Charisma saving throw against your spell save DC or take 3d6 psychic damage and become frightened of you until the start of your next turn.")</f>
        <v>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v>
      </c>
      <c r="J71" s="19">
        <f>IFERROR(__xludf.DUMMYFUNCTION("""COMPUTED_VALUE"""),800.0)</f>
        <v>800</v>
      </c>
    </row>
    <row r="72">
      <c r="A72" s="10" t="str">
        <f>IFERROR(__xludf.DUMMYFUNCTION("""COMPUTED_VALUE"""),"Outer Essence Shard (Chaotic)")</f>
        <v>Outer Essence Shard (Chaotic)</v>
      </c>
      <c r="B72" s="10" t="str">
        <f>IFERROR(__xludf.DUMMYFUNCTION("""COMPUTED_VALUE"""),"TCE")</f>
        <v>TCE</v>
      </c>
      <c r="C72" s="10" t="str">
        <f>IFERROR(__xludf.DUMMYFUNCTION("""COMPUTED_VALUE"""),"rare")</f>
        <v>rare</v>
      </c>
      <c r="D72" s="10" t="str">
        <f>IFERROR(__xludf.DUMMYFUNCTION("""COMPUTED_VALUE"""),"Wondrous Item, Spellcasting Focus")</f>
        <v>Wondrous Item, Spellcasting Focus</v>
      </c>
      <c r="E72" s="10" t="str">
        <f>IFERROR(__xludf.DUMMYFUNCTION("""COMPUTED_VALUE"""),"requires attunement by a sorcerer")</f>
        <v>requires attunement by a sorcerer</v>
      </c>
      <c r="F72" s="10"/>
      <c r="G72" s="10"/>
      <c r="H72" s="10"/>
      <c r="I72"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has disadvantage on attack rolls "&amp;"and ability checks made before the start of your next turn.")</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has disadvantage on attack rolls and ability checks made before the start of your next turn.</v>
      </c>
      <c r="J72" s="18">
        <f>IFERROR(__xludf.DUMMYFUNCTION("""COMPUTED_VALUE"""),800.0)</f>
        <v>800</v>
      </c>
    </row>
    <row r="73">
      <c r="A73" s="8" t="str">
        <f>IFERROR(__xludf.DUMMYFUNCTION("""COMPUTED_VALUE"""),"Outer Essence Shard (Good)")</f>
        <v>Outer Essence Shard (Good)</v>
      </c>
      <c r="B73" s="8" t="str">
        <f>IFERROR(__xludf.DUMMYFUNCTION("""COMPUTED_VALUE"""),"TCE")</f>
        <v>TCE</v>
      </c>
      <c r="C73" s="8" t="str">
        <f>IFERROR(__xludf.DUMMYFUNCTION("""COMPUTED_VALUE"""),"rare")</f>
        <v>rare</v>
      </c>
      <c r="D73" s="8" t="str">
        <f>IFERROR(__xludf.DUMMYFUNCTION("""COMPUTED_VALUE"""),"Wondrous Item, Spellcasting Focus")</f>
        <v>Wondrous Item, Spellcasting Focus</v>
      </c>
      <c r="E73" s="8" t="str">
        <f>IFERROR(__xludf.DUMMYFUNCTION("""COMPUTED_VALUE"""),"requires attunement by a sorcerer")</f>
        <v>requires attunement by a sorcerer</v>
      </c>
      <c r="F73" s="8"/>
      <c r="G73" s="8"/>
      <c r="H73" s="8"/>
      <c r="I73"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or one creature of your choice that you can see within 30 feet of you gains 3d6 temporary hit "&amp;"points.")</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or one creature of your choice that you can see within 30 feet of you gains 3d6 temporary hit points.</v>
      </c>
      <c r="J73" s="19">
        <f>IFERROR(__xludf.DUMMYFUNCTION("""COMPUTED_VALUE"""),800.0)</f>
        <v>800</v>
      </c>
    </row>
    <row r="74">
      <c r="A74" s="10" t="str">
        <f>IFERROR(__xludf.DUMMYFUNCTION("""COMPUTED_VALUE"""),"Astral Shard")</f>
        <v>Astral Shard</v>
      </c>
      <c r="B74" s="10" t="str">
        <f>IFERROR(__xludf.DUMMYFUNCTION("""COMPUTED_VALUE"""),"TCE")</f>
        <v>TCE</v>
      </c>
      <c r="C74" s="10" t="str">
        <f>IFERROR(__xludf.DUMMYFUNCTION("""COMPUTED_VALUE"""),"rare")</f>
        <v>rare</v>
      </c>
      <c r="D74" s="10" t="str">
        <f>IFERROR(__xludf.DUMMYFUNCTION("""COMPUTED_VALUE"""),"Wondrous Item, Spellcasting Focus")</f>
        <v>Wondrous Item, Spellcasting Focus</v>
      </c>
      <c r="E74" s="10" t="str">
        <f>IFERROR(__xludf.DUMMYFUNCTION("""COMPUTED_VALUE"""),"requires attunement by a sorcerer")</f>
        <v>requires attunement by a sorcerer</v>
      </c>
      <c r="F74" s="10"/>
      <c r="G74" s="10"/>
      <c r="H74" s="10"/>
      <c r="I74" s="10" t="str">
        <f>IFERROR(__xludf.DUMMYFUNCTION("""COMPUTED_VALUE"""),"This crystal is a solidified shard of the Astral Plane, swirling with silver mist. As an action, you can attach the shard to a Tiny object (such as a weapon or a piece of jewelry) or detach it. It falls off if your attunement to it ends. You can use the s"&amp;"hard as a spellcasting focus while you hold or wear it. When you use a Metamagic option on a spell while you are holding or wearing the shard, immediately after casting the spell you can teleport to an unoccupied space you can see within 30 feet of you.")</f>
        <v>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v>
      </c>
      <c r="J74" s="18">
        <f>IFERROR(__xludf.DUMMYFUNCTION("""COMPUTED_VALUE"""),850.0)</f>
        <v>850</v>
      </c>
    </row>
    <row r="75">
      <c r="A75" s="8" t="str">
        <f>IFERROR(__xludf.DUMMYFUNCTION("""COMPUTED_VALUE"""),"Fulminating Treatise")</f>
        <v>Fulminating Treatise</v>
      </c>
      <c r="B75" s="8" t="str">
        <f>IFERROR(__xludf.DUMMYFUNCTION("""COMPUTED_VALUE"""),"TCE")</f>
        <v>TCE</v>
      </c>
      <c r="C75" s="8" t="str">
        <f>IFERROR(__xludf.DUMMYFUNCTION("""COMPUTED_VALUE"""),"rare")</f>
        <v>rare</v>
      </c>
      <c r="D75" s="8" t="str">
        <f>IFERROR(__xludf.DUMMYFUNCTION("""COMPUTED_VALUE"""),"Wondrous Item, Spellcasting Focus")</f>
        <v>Wondrous Item, Spellcasting Focus</v>
      </c>
      <c r="E75" s="8" t="str">
        <f>IFERROR(__xludf.DUMMYFUNCTION("""COMPUTED_VALUE"""),"requires attunement by a wizard")</f>
        <v>requires attunement by a wizard</v>
      </c>
      <c r="F75" s="8"/>
      <c r="G75" s="8"/>
      <c r="H75" s="8"/>
      <c r="I75" s="8" t="str">
        <f>IFERROR(__xludf.DUMMYFUNCTION("""COMPUTED_VALUE"""),"This thick, scorched spellbook reeks of smoke and ozone, and sparks of energy crackles along the edges of its pages. When found, the book contains the following spells: contingency, fireball, gust of wind, Leomund's tiny hut, magic missile, thunderwave, a"&amp;"nd wall of force. It functions as a spellbook for you. While you are holding the book, you can use it as a spellcasting focus for your wizard spells. The book has 3 charges, and it regains 1d3 expended charges daily at dawn. You can use the charges in the"&amp;" following ways while holding it:If you spend 1 minute studying the book, you can expend 1 charge to replace one of your prepared wizard spells with a different spell in the book. The new spell must be of the evocation school .When one creature you can se"&amp;"e takes damage from an evocation spell you cast, you can use your reaction and expend 1 charge to deal an extra 2d6 force damage to the creature and knock the creature prone if it is Large or smaller.")</f>
        <v>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v>
      </c>
      <c r="J75" s="19">
        <f>IFERROR(__xludf.DUMMYFUNCTION("""COMPUTED_VALUE"""),950.0)</f>
        <v>950</v>
      </c>
    </row>
    <row r="76">
      <c r="A76" s="10" t="str">
        <f>IFERROR(__xludf.DUMMYFUNCTION("""COMPUTED_VALUE"""),"Libram of Souls and Flesh")</f>
        <v>Libram of Souls and Flesh</v>
      </c>
      <c r="B76" s="10" t="str">
        <f>IFERROR(__xludf.DUMMYFUNCTION("""COMPUTED_VALUE"""),"TCE")</f>
        <v>TCE</v>
      </c>
      <c r="C76" s="10" t="str">
        <f>IFERROR(__xludf.DUMMYFUNCTION("""COMPUTED_VALUE"""),"rare")</f>
        <v>rare</v>
      </c>
      <c r="D76" s="10" t="str">
        <f>IFERROR(__xludf.DUMMYFUNCTION("""COMPUTED_VALUE"""),"Wondrous Item, Spellcasting Focus")</f>
        <v>Wondrous Item, Spellcasting Focus</v>
      </c>
      <c r="E76" s="10" t="str">
        <f>IFERROR(__xludf.DUMMYFUNCTION("""COMPUTED_VALUE"""),"requires attunement by a wizard")</f>
        <v>requires attunement by a wizard</v>
      </c>
      <c r="F76" s="10"/>
      <c r="G76" s="10"/>
      <c r="H76" s="10"/>
      <c r="I76" s="10" t="str">
        <f>IFERROR(__xludf.DUMMYFUNCTION("""COMPUTED_VALUE"""),"With covers made of skin and fittings of bone, this tome is cold to the touch, and it whispers faintly. When found, the book contains the following spells, which are wizard spells for you while you are attuned to the book: animate dead, circle of death, f"&amp;"alse life, finger of death, speak with dead, summon undead, and vampiric touch. It functions as a spellbook for you.While you are holding the book, you can use it as a spellcasting focus for your wizard spells. The book has 3 charges, and it regains 1d3 e"&amp;"xpended charges daily at dawn. You can use the charges in the following ways while holding it:If you spend 1 minute studying the book, you can expend 1 charge to replace one of your prepared wizard spells with a different spell in the book. The new spell "&amp;"must be of the necromancy school. As an action, you can expend 1 charge to take on a semblance of undeath for 10 minutes. For the duration, you take on a deathly appearance, and undead creatures are indifferent to you, unless you have damaged them. You al"&amp;"so appear undead to all outward inspection and to spells used to determine the target's status. The effect ends if you deal damage or force a creature to make a saving throw.")</f>
        <v>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and vampiric touch.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necromancy school.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v>
      </c>
      <c r="J76" s="18">
        <f>IFERROR(__xludf.DUMMYFUNCTION("""COMPUTED_VALUE"""),950.0)</f>
        <v>950</v>
      </c>
    </row>
    <row r="77">
      <c r="A77" s="8" t="str">
        <f>IFERROR(__xludf.DUMMYFUNCTION("""COMPUTED_VALUE"""),"Heart Weaver's Primer")</f>
        <v>Heart Weaver's Primer</v>
      </c>
      <c r="B77" s="8" t="str">
        <f>IFERROR(__xludf.DUMMYFUNCTION("""COMPUTED_VALUE"""),"TCE")</f>
        <v>TCE</v>
      </c>
      <c r="C77" s="8" t="str">
        <f>IFERROR(__xludf.DUMMYFUNCTION("""COMPUTED_VALUE"""),"rare")</f>
        <v>rare</v>
      </c>
      <c r="D77" s="8" t="str">
        <f>IFERROR(__xludf.DUMMYFUNCTION("""COMPUTED_VALUE"""),"Wondrous Item, Spellcasting Focus")</f>
        <v>Wondrous Item, Spellcasting Focus</v>
      </c>
      <c r="E77" s="8" t="str">
        <f>IFERROR(__xludf.DUMMYFUNCTION("""COMPUTED_VALUE"""),"requires attunement by a wizard")</f>
        <v>requires attunement by a wizard</v>
      </c>
      <c r="F77" s="8"/>
      <c r="G77" s="8"/>
      <c r="H77" s="8"/>
      <c r="I77" s="8" t="str">
        <f>IFERROR(__xludf.DUMMYFUNCTION("""COMPUTED_VALUE"""),"This pristine book smells faintly of a random scent you find pleasing. When found, the book contains the following spells: antipathy/sympathy, charm person, dominate person, enthrall, hypnotic pattern, modify memory, and suggestion. It functions as a spel"&amp;"lbook for you. While you are holding the book, you can use it as a spellcasting focus for your wizard spells. The book has 3 charges, and it regains 1d3 expended charges daily at dawn. You can use the charges in the following ways while holding it:If you "&amp;"spend 1 minute studying the book, you can expend 1 charge to replace one of your prepared wizard spells with a different spell in the book. The new spell must be of the enchantment school. When you cast an enchantment spell, you can expend 1 charge to imp"&amp;"ose disadvantage on the first saving throw one target makes against the spell.")</f>
        <v>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v>
      </c>
      <c r="J77" s="19">
        <f>IFERROR(__xludf.DUMMYFUNCTION("""COMPUTED_VALUE"""),1000.0)</f>
        <v>1000</v>
      </c>
    </row>
    <row r="78">
      <c r="A78" s="10" t="str">
        <f>IFERROR(__xludf.DUMMYFUNCTION("""COMPUTED_VALUE"""),"Outer Essence Shard (Evil)")</f>
        <v>Outer Essence Shard (Evil)</v>
      </c>
      <c r="B78" s="10" t="str">
        <f>IFERROR(__xludf.DUMMYFUNCTION("""COMPUTED_VALUE"""),"TCE")</f>
        <v>TCE</v>
      </c>
      <c r="C78" s="10" t="str">
        <f>IFERROR(__xludf.DUMMYFUNCTION("""COMPUTED_VALUE"""),"rare")</f>
        <v>rare</v>
      </c>
      <c r="D78" s="10" t="str">
        <f>IFERROR(__xludf.DUMMYFUNCTION("""COMPUTED_VALUE"""),"Wondrous Item, Spellcasting Focus")</f>
        <v>Wondrous Item, Spellcasting Focus</v>
      </c>
      <c r="E78" s="10" t="str">
        <f>IFERROR(__xludf.DUMMYFUNCTION("""COMPUTED_VALUE"""),"requires attunement by a sorcerer")</f>
        <v>requires attunement by a sorcerer</v>
      </c>
      <c r="F78" s="10"/>
      <c r="G78" s="10"/>
      <c r="H78" s="10"/>
      <c r="I78"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takes an extra 3d6 necrotic damag"&amp;"e.")</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takes an extra 3d6 necrotic damage.</v>
      </c>
      <c r="J78" s="18">
        <f>IFERROR(__xludf.DUMMYFUNCTION("""COMPUTED_VALUE"""),1000.0)</f>
        <v>1000</v>
      </c>
    </row>
    <row r="79">
      <c r="A79" s="8" t="str">
        <f>IFERROR(__xludf.DUMMYFUNCTION("""COMPUTED_VALUE"""),"Planecaller's Codex")</f>
        <v>Planecaller's Codex</v>
      </c>
      <c r="B79" s="8" t="str">
        <f>IFERROR(__xludf.DUMMYFUNCTION("""COMPUTED_VALUE"""),"TCE")</f>
        <v>TCE</v>
      </c>
      <c r="C79" s="8" t="str">
        <f>IFERROR(__xludf.DUMMYFUNCTION("""COMPUTED_VALUE"""),"rare")</f>
        <v>rare</v>
      </c>
      <c r="D79" s="8" t="str">
        <f>IFERROR(__xludf.DUMMYFUNCTION("""COMPUTED_VALUE"""),"Wondrous Item, Spellcasting Focus")</f>
        <v>Wondrous Item, Spellcasting Focus</v>
      </c>
      <c r="E79" s="8" t="str">
        <f>IFERROR(__xludf.DUMMYFUNCTION("""COMPUTED_VALUE"""),"requires attunement by a wizard")</f>
        <v>requires attunement by a wizard</v>
      </c>
      <c r="F79" s="8"/>
      <c r="G79" s="8"/>
      <c r="H79" s="8"/>
      <c r="I79" s="8" t="str">
        <f>IFERROR(__xludf.DUMMYFUNCTION("""COMPUTED_VALUE"""),"The pages of this book are bound in fiend hide, and its cover is embossed with a diagram of the Great Wheel of the multiverse. When found, the book contains the following spells: banishment, find familiar, gate, magic circle, planar binding, and summon el"&amp;"emental. It functions as a spellbook for you. While you are holding the book, you can use it as a spellcasting focus for your wizard spells. The book has 3 charges, and it regains 1d3 expended charges daily at dawn. You can use the charges in the followin"&amp;"g ways while holding it:If you spend 1 minute studying the book, you can expend 1 charge to replace one of your prepared wizard spells with a different spell in the book. The new spell must be of the conjuration school. When you cast a conjuration spell t"&amp;"hat summons or creates one creature, you can expend 1 charge to grant that creature advantage on attack rolls for 1 minute.")</f>
        <v>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cast a conjuration spell that summons or creates one creature, you can expend 1 charge to grant that creature advantage on attack rolls for 1 minute.</v>
      </c>
      <c r="J79" s="19">
        <f>IFERROR(__xludf.DUMMYFUNCTION("""COMPUTED_VALUE"""),1000.0)</f>
        <v>1000</v>
      </c>
    </row>
    <row r="80">
      <c r="A80" s="10" t="str">
        <f>IFERROR(__xludf.DUMMYFUNCTION("""COMPUTED_VALUE"""),"Atlas of Endless Horizons")</f>
        <v>Atlas of Endless Horizons</v>
      </c>
      <c r="B80" s="10" t="str">
        <f>IFERROR(__xludf.DUMMYFUNCTION("""COMPUTED_VALUE"""),"TCE")</f>
        <v>TCE</v>
      </c>
      <c r="C80" s="10" t="str">
        <f>IFERROR(__xludf.DUMMYFUNCTION("""COMPUTED_VALUE"""),"rare")</f>
        <v>rare</v>
      </c>
      <c r="D80" s="10" t="str">
        <f>IFERROR(__xludf.DUMMYFUNCTION("""COMPUTED_VALUE"""),"Wondrous Item, Spellcasting Focus")</f>
        <v>Wondrous Item, Spellcasting Focus</v>
      </c>
      <c r="E80" s="10" t="str">
        <f>IFERROR(__xludf.DUMMYFUNCTION("""COMPUTED_VALUE"""),"requires attunement by a wizard")</f>
        <v>requires attunement by a wizard</v>
      </c>
      <c r="F80" s="10"/>
      <c r="G80" s="10"/>
      <c r="H80" s="10"/>
      <c r="I80" s="10" t="str">
        <f>IFERROR(__xludf.DUMMYFUNCTION("""COMPUTED_VALUE"""),"This thick book is bound in dark leather, crisscrossed with inlaid silver lines suggesting a map or chart. When found, the book contains the following spells, which are wizard spells for you while you are attuned to the book: arcane gate, dimension door, "&amp;"gate, misty step, plane shift, teleportation circle, and word of recall. It functions as a spellbook for you.While you are holding the book, you can use it as a spellcasting focus for your wizard spells. The book has 3 charges, and it regains 1d3 expended"&amp;" charges daily at dawn. You can use the charges in the following ways while holding it:If you spend 1 minute studying the book, you can expend 1 charge to replace one of your prepared wizard spells with a different spell in the book. The new spell must be"&amp;" of the conjuration school. When you are hit by an attack, you can use your reaction to expend 1 charge to teleport up to 10 feet to an unoccupied space you can see. If your new position is out of range of the attack, it misses you.")</f>
        <v>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are hit by an attack, you can use your reaction to expend 1 charge to teleport up to 10 feet to an unoccupied space you can see. If your new position is out of range of the attack, it misses you.</v>
      </c>
      <c r="J80" s="18">
        <f>IFERROR(__xludf.DUMMYFUNCTION("""COMPUTED_VALUE"""),1200.0)</f>
        <v>1200</v>
      </c>
    </row>
    <row r="81">
      <c r="A81" s="8" t="str">
        <f>IFERROR(__xludf.DUMMYFUNCTION("""COMPUTED_VALUE"""),"Elemental Essence Shard (Air)")</f>
        <v>Elemental Essence Shard (Air)</v>
      </c>
      <c r="B81" s="8" t="str">
        <f>IFERROR(__xludf.DUMMYFUNCTION("""COMPUTED_VALUE"""),"TCE")</f>
        <v>TCE</v>
      </c>
      <c r="C81" s="8" t="str">
        <f>IFERROR(__xludf.DUMMYFUNCTION("""COMPUTED_VALUE"""),"rare")</f>
        <v>rare</v>
      </c>
      <c r="D81" s="8" t="str">
        <f>IFERROR(__xludf.DUMMYFUNCTION("""COMPUTED_VALUE"""),"Wondrous Item, Spellcasting Focus")</f>
        <v>Wondrous Item, Spellcasting Focus</v>
      </c>
      <c r="E81" s="8" t="str">
        <f>IFERROR(__xludf.DUMMYFUNCTION("""COMPUTED_VALUE"""),"requires attunement by a sorcerer")</f>
        <v>requires attunement by a sorcerer</v>
      </c>
      <c r="F81" s="8"/>
      <c r="G81" s="8"/>
      <c r="H81" s="8"/>
      <c r="I81"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can immediately fly up to 60 feet without provoking opportunity attacks.")</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can immediately fly up to 60 feet without provoking opportunity attacks.</v>
      </c>
      <c r="J81" s="19">
        <f>IFERROR(__xludf.DUMMYFUNCTION("""COMPUTED_VALUE"""),1200.0)</f>
        <v>1200</v>
      </c>
    </row>
    <row r="82">
      <c r="A82" s="10" t="str">
        <f>IFERROR(__xludf.DUMMYFUNCTION("""COMPUTED_VALUE"""),"Elemental Essence Shard (Earth)")</f>
        <v>Elemental Essence Shard (Earth)</v>
      </c>
      <c r="B82" s="10" t="str">
        <f>IFERROR(__xludf.DUMMYFUNCTION("""COMPUTED_VALUE"""),"TCE")</f>
        <v>TCE</v>
      </c>
      <c r="C82" s="10" t="str">
        <f>IFERROR(__xludf.DUMMYFUNCTION("""COMPUTED_VALUE"""),"rare")</f>
        <v>rare</v>
      </c>
      <c r="D82" s="10" t="str">
        <f>IFERROR(__xludf.DUMMYFUNCTION("""COMPUTED_VALUE"""),"Wondrous Item, Spellcasting Focus")</f>
        <v>Wondrous Item, Spellcasting Focus</v>
      </c>
      <c r="E82" s="10" t="str">
        <f>IFERROR(__xludf.DUMMYFUNCTION("""COMPUTED_VALUE"""),"requires attunement by a sorcerer")</f>
        <v>requires attunement by a sorcerer</v>
      </c>
      <c r="F82" s="10"/>
      <c r="G82" s="10"/>
      <c r="H82" s="10"/>
      <c r="I82"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gain resistance to a damage type of your choice until the start of your next tu"&amp;"rn.")</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gain resistance to a damage type of your choice until the start of your next turn.</v>
      </c>
      <c r="J82" s="18">
        <f>IFERROR(__xludf.DUMMYFUNCTION("""COMPUTED_VALUE"""),1200.0)</f>
        <v>1200</v>
      </c>
    </row>
    <row r="83">
      <c r="A83" s="8" t="str">
        <f>IFERROR(__xludf.DUMMYFUNCTION("""COMPUTED_VALUE"""),"Elemental Essence Shard (Water)")</f>
        <v>Elemental Essence Shard (Water)</v>
      </c>
      <c r="B83" s="8" t="str">
        <f>IFERROR(__xludf.DUMMYFUNCTION("""COMPUTED_VALUE"""),"TCE")</f>
        <v>TCE</v>
      </c>
      <c r="C83" s="8" t="str">
        <f>IFERROR(__xludf.DUMMYFUNCTION("""COMPUTED_VALUE"""),"rare")</f>
        <v>rare</v>
      </c>
      <c r="D83" s="8" t="str">
        <f>IFERROR(__xludf.DUMMYFUNCTION("""COMPUTED_VALUE"""),"Wondrous Item, Spellcasting Focus")</f>
        <v>Wondrous Item, Spellcasting Focus</v>
      </c>
      <c r="E83" s="8" t="str">
        <f>IFERROR(__xludf.DUMMYFUNCTION("""COMPUTED_VALUE"""),"requires attunement by a sorcerer")</f>
        <v>requires attunement by a sorcerer</v>
      </c>
      <c r="F83" s="8"/>
      <c r="G83" s="8"/>
      <c r="H83" s="8"/>
      <c r="I83"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create a wave of water that bursts out from you in a 10-foot radius. Each creat"&amp;"ure of your choice that you can see in that area takes 2d6 cold damage and must succeed on a Strength saving throw against your spell save DC or be pushed 10 feet away from you and fall prone.")</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create a wave of water that bursts out from you in a 10-foot radius. Each creature of your choice that you can see in that area takes 2d6 cold damage and must succeed on a Strength saving throw against your spell save DC or be pushed 10 feet away from you and fall prone.</v>
      </c>
      <c r="J83" s="19">
        <f>IFERROR(__xludf.DUMMYFUNCTION("""COMPUTED_VALUE"""),1200.0)</f>
        <v>1200</v>
      </c>
    </row>
    <row r="84">
      <c r="A84" s="10" t="str">
        <f>IFERROR(__xludf.DUMMYFUNCTION("""COMPUTED_VALUE"""),"Stirring Dragon-Touched Focus")</f>
        <v>Stirring Dragon-Touched Focus</v>
      </c>
      <c r="B84" s="10" t="str">
        <f>IFERROR(__xludf.DUMMYFUNCTION("""COMPUTED_VALUE"""),"FTD")</f>
        <v>FTD</v>
      </c>
      <c r="C84" s="10" t="str">
        <f>IFERROR(__xludf.DUMMYFUNCTION("""COMPUTED_VALUE"""),"rare")</f>
        <v>rare</v>
      </c>
      <c r="D84" s="10" t="str">
        <f>IFERROR(__xludf.DUMMYFUNCTION("""COMPUTED_VALUE"""),"Wondrous Item, Spellcasting Focus")</f>
        <v>Wondrous Item, Spellcasting Focus</v>
      </c>
      <c r="E84" s="10" t="str">
        <f>IFERROR(__xludf.DUMMYFUNCTION("""COMPUTED_VALUE"""),"requires attunement by a spellcaster")</f>
        <v>requires attunement by a spellcaster</v>
      </c>
      <c r="F84" s="10"/>
      <c r="G84" s="10"/>
      <c r="H84" s="10"/>
      <c r="I84" s="10" t="str">
        <f>IFERROR(__xludf.DUMMYFUNCTION("""COMPUTED_VALUE"""),"This wondrous item can be a scepter, an orb, an amulet, a crystal, or another finely crafted object. It typically incorporates imagery of dragons' wings, claws, teeth, or scales. You have advantage on initiative rolls. While you are holding the focus, it "&amp;"can function as a spellcasting focus for all your spells. The focus gains an additional property determined by the family of the dragon in whose hoard it became Stirring:Chromatic. Whenever you use a spell slot to cast a spell that deals acid, cold, fire,"&amp;" lightning, or poison damage, roll a d6, and you gain a bonus equal to the number rolled to one of the spell's damage rolls. Gem. Whenever you use a spell slot to cast a spell, you can immediately teleport to an unoccupied space you can see within 15 feet"&amp;" of you. Metallic. When a creature you can see within 30 feet of you makes a saving throw, you can use your reaction to give that creature advantage on the saving throw.")</f>
        <v>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v>
      </c>
      <c r="J84" s="18">
        <f>IFERROR(__xludf.DUMMYFUNCTION("""COMPUTED_VALUE"""),1200.0)</f>
        <v>1200</v>
      </c>
    </row>
    <row r="85">
      <c r="A85" s="8" t="str">
        <f>IFERROR(__xludf.DUMMYFUNCTION("""COMPUTED_VALUE"""),"Shadowfell Shard")</f>
        <v>Shadowfell Shard</v>
      </c>
      <c r="B85" s="8" t="str">
        <f>IFERROR(__xludf.DUMMYFUNCTION("""COMPUTED_VALUE"""),"TCE")</f>
        <v>TCE</v>
      </c>
      <c r="C85" s="8" t="str">
        <f>IFERROR(__xludf.DUMMYFUNCTION("""COMPUTED_VALUE"""),"rare")</f>
        <v>rare</v>
      </c>
      <c r="D85" s="8" t="str">
        <f>IFERROR(__xludf.DUMMYFUNCTION("""COMPUTED_VALUE"""),"Wondrous Item, Spellcasting Focus")</f>
        <v>Wondrous Item, Spellcasting Focus</v>
      </c>
      <c r="E85" s="8" t="str">
        <f>IFERROR(__xludf.DUMMYFUNCTION("""COMPUTED_VALUE"""),"requires attunement by a sorcerer")</f>
        <v>requires attunement by a sorcerer</v>
      </c>
      <c r="F85" s="8"/>
      <c r="G85" s="8"/>
      <c r="H85" s="8"/>
      <c r="I85" s="8" t="str">
        <f>IFERROR(__xludf.DUMMYFUNCTION("""COMPUTED_VALUE"""),"This dull, cold crystal sits heavy and leaden, saturated by the Shadowfell's despair. As an action, you can attach the shard to a Tiny object (such as a weapon or a piece of jewelry) or detach it. It falls off if your attunement to it ends. You can use th"&amp;"e shard as a spellcasting focus while you hold or wear it.When you use a Metamagic option on a spell while you are holding or wearing the shard, you can momentarily curse one creature targeted by the spell; choose one ability score, and until the end of y"&amp;"our next turn, the creature has disadvantage on ability checks and saving throws that use that ability.")</f>
        <v>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v>
      </c>
      <c r="J85" s="19">
        <f>IFERROR(__xludf.DUMMYFUNCTION("""COMPUTED_VALUE"""),1400.0)</f>
        <v>1400</v>
      </c>
    </row>
    <row r="86">
      <c r="A86" s="12"/>
      <c r="B86" s="12"/>
      <c r="C86" s="12"/>
      <c r="D86" s="12"/>
      <c r="E86" s="12"/>
      <c r="F86" s="12"/>
      <c r="G86" s="12"/>
      <c r="H86" s="12"/>
      <c r="I86" s="12"/>
      <c r="J86" s="21"/>
    </row>
    <row r="87">
      <c r="A87" s="6" t="s">
        <v>40</v>
      </c>
      <c r="J87" s="22"/>
    </row>
    <row r="88">
      <c r="A88" s="24" t="s">
        <v>41</v>
      </c>
    </row>
    <row r="89">
      <c r="A89" s="10" t="str">
        <f>IFERROR(__xludf.DUMMYFUNCTION("FILTER(MasterList_Hidden!A:J,Search(""*Generic Variant*"",MasterList_Hidden!D:D),MasterList_Hidden!J:J&lt;&gt;""Free to Guild Adventurers with Item Proficiency"",MasterList_Hidden!J:J&lt;&gt;""Free to Guild Adventurers in Good Standing"",MasterList_Hidden!J:J&lt;&gt;""Arti"&amp;"ficer Replicate Magic Item Only"")"),"Armor of Gleaming")</f>
        <v>Armor of Gleaming</v>
      </c>
      <c r="B89" s="10" t="str">
        <f>IFERROR(__xludf.DUMMYFUNCTION("""COMPUTED_VALUE"""),"DMG'24")</f>
        <v>DMG'24</v>
      </c>
      <c r="C89" s="10" t="str">
        <f>IFERROR(__xludf.DUMMYFUNCTION("""COMPUTED_VALUE"""),"common")</f>
        <v>common</v>
      </c>
      <c r="D89" s="10" t="str">
        <f>IFERROR(__xludf.DUMMYFUNCTION("""COMPUTED_VALUE"""),"Generic Variant")</f>
        <v>Generic Variant</v>
      </c>
      <c r="E89" s="10"/>
      <c r="F89" s="10"/>
      <c r="G89" s="10"/>
      <c r="H89" s="10"/>
      <c r="I89" s="10" t="str">
        <f>IFERROR(__xludf.DUMMYFUNCTION("""COMPUTED_VALUE"""),"This armor never gets dirty. 
Applied to non-magical Base Equipment.")</f>
        <v>This armor never gets dirty. 
Applied to non-magical Base Equipment.</v>
      </c>
      <c r="J89" s="18">
        <f>IFERROR(__xludf.DUMMYFUNCTION("""COMPUTED_VALUE"""),50.0)</f>
        <v>50</v>
      </c>
    </row>
    <row r="90">
      <c r="A90" s="8" t="str">
        <f>IFERROR(__xludf.DUMMYFUNCTION("""COMPUTED_VALUE"""),"Cast-Off Armor")</f>
        <v>Cast-Off Armor</v>
      </c>
      <c r="B90" s="8" t="str">
        <f>IFERROR(__xludf.DUMMYFUNCTION("""COMPUTED_VALUE"""),"DMG'24")</f>
        <v>DMG'24</v>
      </c>
      <c r="C90" s="8" t="str">
        <f>IFERROR(__xludf.DUMMYFUNCTION("""COMPUTED_VALUE"""),"common")</f>
        <v>common</v>
      </c>
      <c r="D90" s="8" t="str">
        <f>IFERROR(__xludf.DUMMYFUNCTION("""COMPUTED_VALUE"""),"Generic Variant")</f>
        <v>Generic Variant</v>
      </c>
      <c r="E90" s="8"/>
      <c r="F90" s="8"/>
      <c r="G90" s="8"/>
      <c r="H90" s="8"/>
      <c r="I90" s="8" t="str">
        <f>IFERROR(__xludf.DUMMYFUNCTION("""COMPUTED_VALUE"""),"You can doff this armor as a Magic action. 
Applied to non-magical Base Equipment.")</f>
        <v>You can doff this armor as a Magic action. 
Applied to non-magical Base Equipment.</v>
      </c>
      <c r="J90" s="19">
        <f>IFERROR(__xludf.DUMMYFUNCTION("""COMPUTED_VALUE"""),50.0)</f>
        <v>50</v>
      </c>
    </row>
    <row r="91">
      <c r="A91" s="10" t="str">
        <f>IFERROR(__xludf.DUMMYFUNCTION("""COMPUTED_VALUE"""),"Moon-Touched Sword")</f>
        <v>Moon-Touched Sword</v>
      </c>
      <c r="B91" s="10" t="str">
        <f>IFERROR(__xludf.DUMMYFUNCTION("""COMPUTED_VALUE"""),"DMG'24")</f>
        <v>DMG'24</v>
      </c>
      <c r="C91" s="10" t="str">
        <f>IFERROR(__xludf.DUMMYFUNCTION("""COMPUTED_VALUE"""),"common")</f>
        <v>common</v>
      </c>
      <c r="D91" s="10" t="str">
        <f>IFERROR(__xludf.DUMMYFUNCTION("""COMPUTED_VALUE"""),"Generic Variant")</f>
        <v>Generic Variant</v>
      </c>
      <c r="E91" s="10"/>
      <c r="F91" s="10"/>
      <c r="G91" s="10"/>
      <c r="H91" s="10"/>
      <c r="I91" s="10" t="str">
        <f>IFERROR(__xludf.DUMMYFUNCTION("""COMPUTED_VALUE"""),"In Darkness, the unsheathed blade of this weapon sheds moonlight, creating Bright Light in a 15-foot radius and Dim Light for an additional 15 feet. 
Applied to non-magical Base Equipment.")</f>
        <v>In Darkness, the unsheathed blade of this weapon sheds moonlight, creating Bright Light in a 15-foot radius and Dim Light for an additional 15 feet. 
Applied to non-magical Base Equipment.</v>
      </c>
      <c r="J91" s="18">
        <f>IFERROR(__xludf.DUMMYFUNCTION("""COMPUTED_VALUE"""),50.0)</f>
        <v>50</v>
      </c>
    </row>
    <row r="92">
      <c r="A92" s="8" t="str">
        <f>IFERROR(__xludf.DUMMYFUNCTION("""COMPUTED_VALUE"""),"Smoldering Armor")</f>
        <v>Smoldering Armor</v>
      </c>
      <c r="B92" s="8" t="str">
        <f>IFERROR(__xludf.DUMMYFUNCTION("""COMPUTED_VALUE"""),"DMG'24")</f>
        <v>DMG'24</v>
      </c>
      <c r="C92" s="8" t="str">
        <f>IFERROR(__xludf.DUMMYFUNCTION("""COMPUTED_VALUE"""),"common")</f>
        <v>common</v>
      </c>
      <c r="D92" s="8" t="str">
        <f>IFERROR(__xludf.DUMMYFUNCTION("""COMPUTED_VALUE"""),"Generic Variant")</f>
        <v>Generic Variant</v>
      </c>
      <c r="E92" s="8"/>
      <c r="F92" s="8"/>
      <c r="G92" s="8"/>
      <c r="H92" s="8"/>
      <c r="I92" s="8" t="str">
        <f>IFERROR(__xludf.DUMMYFUNCTION("""COMPUTED_VALUE"""),"Wisps of harmless, odorless smoke rise from this armor while it is worn. 
Applied to non-magical Base Equipment.")</f>
        <v>Wisps of harmless, odorless smoke rise from this armor while it is worn. 
Applied to non-magical Base Equipment.</v>
      </c>
      <c r="J92" s="19">
        <f>IFERROR(__xludf.DUMMYFUNCTION("""COMPUTED_VALUE"""),50.0)</f>
        <v>50</v>
      </c>
    </row>
    <row r="93">
      <c r="A93" s="10" t="str">
        <f>IFERROR(__xludf.DUMMYFUNCTION("""COMPUTED_VALUE"""),"Adamantine Armor")</f>
        <v>Adamantine Armor</v>
      </c>
      <c r="B93" s="10" t="str">
        <f>IFERROR(__xludf.DUMMYFUNCTION("""COMPUTED_VALUE"""),"DMG'24")</f>
        <v>DMG'24</v>
      </c>
      <c r="C93" s="10" t="str">
        <f>IFERROR(__xludf.DUMMYFUNCTION("""COMPUTED_VALUE"""),"uncommon")</f>
        <v>uncommon</v>
      </c>
      <c r="D93" s="10" t="str">
        <f>IFERROR(__xludf.DUMMYFUNCTION("""COMPUTED_VALUE"""),"Generic Variant")</f>
        <v>Generic Variant</v>
      </c>
      <c r="E93" s="10"/>
      <c r="F93" s="10"/>
      <c r="G93" s="10"/>
      <c r="H93" s="10"/>
      <c r="I93" s="10" t="str">
        <f>IFERROR(__xludf.DUMMYFUNCTION("""COMPUTED_VALUE"""),"This suit of armor is reinforced with adamantine, one of the hardest substances in existence. While you're wearing it, any Critical Hit against you becomes a normal hit. 
Applied to non-magical Base Equipment.")</f>
        <v>This suit of armor is reinforced with adamantine, one of the hardest substances in existence. While you're wearing it, any Critical Hit against you becomes a normal hit. 
Applied to non-magical Base Equipment.</v>
      </c>
      <c r="J93" s="18">
        <f>IFERROR(__xludf.DUMMYFUNCTION("""COMPUTED_VALUE"""),250.0)</f>
        <v>250</v>
      </c>
    </row>
    <row r="94">
      <c r="A94" s="8" t="str">
        <f>IFERROR(__xludf.DUMMYFUNCTION("""COMPUTED_VALUE"""),"+1 Spell attack Roll")</f>
        <v>+1 Spell attack Roll</v>
      </c>
      <c r="B94" s="8" t="str">
        <f>IFERROR(__xludf.DUMMYFUNCTION("""COMPUTED_VALUE"""),"Custom rule")</f>
        <v>Custom rule</v>
      </c>
      <c r="C94" s="8" t="str">
        <f>IFERROR(__xludf.DUMMYFUNCTION("""COMPUTED_VALUE"""),"Uncommon")</f>
        <v>Uncommon</v>
      </c>
      <c r="D94" s="8" t="str">
        <f>IFERROR(__xludf.DUMMYFUNCTION("""COMPUTED_VALUE"""),"Generic Variant")</f>
        <v>Generic Variant</v>
      </c>
      <c r="E94" s="8"/>
      <c r="F94" s="8"/>
      <c r="G94" s="8"/>
      <c r="H94" s="8"/>
      <c r="I94" s="8" t="str">
        <f>IFERROR(__xludf.DUMMYFUNCTION("""COMPUTED_VALUE"""),"You have a +1 bonus to spell attack rolls when using this focus. Available to level 5+.")</f>
        <v>You have a +1 bonus to spell attack rolls when using this focus. Available to level 5+.</v>
      </c>
      <c r="J94" s="19">
        <f>IFERROR(__xludf.DUMMYFUNCTION("""COMPUTED_VALUE"""),300.0)</f>
        <v>300</v>
      </c>
    </row>
    <row r="95">
      <c r="A95" s="10" t="str">
        <f>IFERROR(__xludf.DUMMYFUNCTION("""COMPUTED_VALUE"""),"+1 Weapon")</f>
        <v>+1 Weapon</v>
      </c>
      <c r="B95" s="10" t="str">
        <f>IFERROR(__xludf.DUMMYFUNCTION("""COMPUTED_VALUE"""),"DMG'24")</f>
        <v>DMG'24</v>
      </c>
      <c r="C95" s="10" t="str">
        <f>IFERROR(__xludf.DUMMYFUNCTION("""COMPUTED_VALUE"""),"uncommon")</f>
        <v>uncommon</v>
      </c>
      <c r="D95" s="10" t="str">
        <f>IFERROR(__xludf.DUMMYFUNCTION("""COMPUTED_VALUE"""),"Generic Variant")</f>
        <v>Generic Variant</v>
      </c>
      <c r="E95" s="10"/>
      <c r="F95" s="10"/>
      <c r="G95" s="10"/>
      <c r="H95" s="10"/>
      <c r="I95" s="10" t="str">
        <f>IFERROR(__xludf.DUMMYFUNCTION("""COMPUTED_VALUE"""),"You have a +1 bonus to attack and damage rolls made with this magic weapon.
Available to level 5+.")</f>
        <v>You have a +1 bonus to attack and damage rolls made with this magic weapon.
Available to level 5+.</v>
      </c>
      <c r="J95" s="20">
        <f>IFERROR(__xludf.DUMMYFUNCTION("""COMPUTED_VALUE"""),300.0)</f>
        <v>300</v>
      </c>
    </row>
    <row r="96">
      <c r="A96" s="8" t="str">
        <f>IFERROR(__xludf.DUMMYFUNCTION("""COMPUTED_VALUE"""),"Armor of Fungal Spores")</f>
        <v>Armor of Fungal Spores</v>
      </c>
      <c r="B96" s="8" t="str">
        <f>IFERROR(__xludf.DUMMYFUNCTION("""COMPUTED_VALUE"""),"BMT")</f>
        <v>BMT</v>
      </c>
      <c r="C96" s="8" t="str">
        <f>IFERROR(__xludf.DUMMYFUNCTION("""COMPUTED_VALUE"""),"uncommon")</f>
        <v>uncommon</v>
      </c>
      <c r="D96" s="8" t="str">
        <f>IFERROR(__xludf.DUMMYFUNCTION("""COMPUTED_VALUE"""),"Generic Variant")</f>
        <v>Generic Variant</v>
      </c>
      <c r="E96" s="8"/>
      <c r="F96" s="8"/>
      <c r="G96" s="8"/>
      <c r="H96" s="8"/>
      <c r="I96" s="8" t="str">
        <f>IFERROR(__xludf.DUMMYFUNCTION("""COMPUTED_VALUE"""),"While wearing this armor, you can take a bonus action to make the armor emit poisonous spores, which fill a 10-foot-radius sphere centered on yourself. Each creature in that area must succeed on a DC 15 Constitution saving throw or have the poisoned condi"&amp;"tion until the end of your next turn. Once this property is used, it can't be used again until the next dawn. 
Applied to non-magical Base Equipment.")</f>
        <v>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 
Applied to non-magical Base Equipment.</v>
      </c>
      <c r="J96" s="19">
        <f>IFERROR(__xludf.DUMMYFUNCTION("""COMPUTED_VALUE"""),300.0)</f>
        <v>300</v>
      </c>
    </row>
    <row r="97">
      <c r="A97" s="10" t="str">
        <f>IFERROR(__xludf.DUMMYFUNCTION("""COMPUTED_VALUE"""),"Mithral Armor")</f>
        <v>Mithral Armor</v>
      </c>
      <c r="B97" s="10" t="str">
        <f>IFERROR(__xludf.DUMMYFUNCTION("""COMPUTED_VALUE"""),"DMG'24")</f>
        <v>DMG'24</v>
      </c>
      <c r="C97" s="10" t="str">
        <f>IFERROR(__xludf.DUMMYFUNCTION("""COMPUTED_VALUE"""),"uncommon")</f>
        <v>uncommon</v>
      </c>
      <c r="D97" s="10" t="str">
        <f>IFERROR(__xludf.DUMMYFUNCTION("""COMPUTED_VALUE"""),"Generic Variant")</f>
        <v>Generic Variant</v>
      </c>
      <c r="E97" s="10"/>
      <c r="F97" s="10"/>
      <c r="G97" s="10"/>
      <c r="H97" s="10"/>
      <c r="I97" s="10" t="str">
        <f>IFERROR(__xludf.DUMMYFUNCTION("""COMPUTED_VALUE"""),"Mithral is a light, flexible metal. A mithral chain shirt or breastplate can be worn under normal clothes.If the armor normally imposes disadvantage on Dexterity (Stealth) checks or has a Strength requirement, the mithral version of the armor doesn't. 
Ap"&amp;"plied to non-magical Base Equipment.")</f>
        <v>Mithral is a light, flexible metal. A mithral chain shirt or breastplate can be worn under normal clothes.If the armor normally imposes disadvantage on Dexterity (Stealth) checks or has a Strength requirement, the mithral version of the armor doesn't. 
Applied to non-magical Base Equipment.</v>
      </c>
      <c r="J97" s="18">
        <f>IFERROR(__xludf.DUMMYFUNCTION("""COMPUTED_VALUE"""),350.0)</f>
        <v>350</v>
      </c>
    </row>
    <row r="98">
      <c r="A98" s="8" t="str">
        <f>IFERROR(__xludf.DUMMYFUNCTION("""COMPUTED_VALUE"""),"Armor of Weightlessness")</f>
        <v>Armor of Weightlessness</v>
      </c>
      <c r="B98" s="8" t="str">
        <f>IFERROR(__xludf.DUMMYFUNCTION("""COMPUTED_VALUE"""),"BMT")</f>
        <v>BMT</v>
      </c>
      <c r="C98" s="8" t="str">
        <f>IFERROR(__xludf.DUMMYFUNCTION("""COMPUTED_VALUE"""),"uncommon")</f>
        <v>uncommon</v>
      </c>
      <c r="D98" s="8" t="str">
        <f>IFERROR(__xludf.DUMMYFUNCTION("""COMPUTED_VALUE"""),"Generic Variant")</f>
        <v>Generic Variant</v>
      </c>
      <c r="E98" s="8" t="str">
        <f>IFERROR(__xludf.DUMMYFUNCTION("""COMPUTED_VALUE"""),"requires attunement")</f>
        <v>requires attunement</v>
      </c>
      <c r="F98" s="8"/>
      <c r="G98" s="8"/>
      <c r="H98" s="8"/>
      <c r="I98" s="8" t="str">
        <f>IFERROR(__xludf.DUMMYFUNCTION("""COMPUTED_VALUE"""),"This armor has 5 charges. While you wear it, you can use a bonus action to expend 1 or more charges to cast one of the following spells from the armor, targeting yourself: Jump (1 charge) or Levitate (2 charges).This armor regains 1d4 + 1 expended charges"&amp;" daily at dawn. 
Applied to non-magical Base Equipment.")</f>
        <v>This armor has 5 charges. While you wear it, you can use a bonus action to expend 1 or more charges to cast one of the following spells from the armor, targeting yourself: Jump (1 charge) or Levitate (2 charges).This armor regains 1d4 + 1 expended charges daily at dawn. 
Applied to non-magical Base Equipment.</v>
      </c>
      <c r="J98" s="19">
        <f>IFERROR(__xludf.DUMMYFUNCTION("""COMPUTED_VALUE"""),400.0)</f>
        <v>400</v>
      </c>
    </row>
    <row r="99">
      <c r="A99" s="10" t="str">
        <f>IFERROR(__xludf.DUMMYFUNCTION("""COMPUTED_VALUE"""),"Enspelled Armor (Cantrip)")</f>
        <v>Enspelled Armor (Cantrip)</v>
      </c>
      <c r="B99" s="10" t="str">
        <f>IFERROR(__xludf.DUMMYFUNCTION("""COMPUTED_VALUE"""),"DMG'24")</f>
        <v>DMG'24</v>
      </c>
      <c r="C99" s="10" t="str">
        <f>IFERROR(__xludf.DUMMYFUNCTION("""COMPUTED_VALUE"""),"uncommon")</f>
        <v>uncommon</v>
      </c>
      <c r="D99" s="10" t="str">
        <f>IFERROR(__xludf.DUMMYFUNCTION("""COMPUTED_VALUE"""),"Generic Variant")</f>
        <v>Generic Variant</v>
      </c>
      <c r="E99" s="10" t="str">
        <f>IFERROR(__xludf.DUMMYFUNCTION("""COMPUTED_VALUE"""),"requires attunement")</f>
        <v>requires attunement</v>
      </c>
      <c r="F99" s="10"/>
      <c r="G99" s="10"/>
      <c r="H99" s="10"/>
      <c r="I99" s="10" t="str">
        <f>IFERROR(__xludf.DUMMYFUNCTION("""COMPUTED_VALUE"""),"Bound into this armor is a cantrip. The cantrip is determined when the armor is created and must belong to the Abjuration or Illusion school of magic. The armor has 6 charges and regains 1d6 expended charges daily at dawn. While wearing the armor, you can"&amp;" expend 1 charge to cast its spell.The spell's saving throw DC is 13, and its attack bonus is +5. 
Applied to non-magical Base Equipment.")</f>
        <v>Bound into this armor is a cantrip. The cantrip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J99" s="18">
        <f>IFERROR(__xludf.DUMMYFUNCTION("""COMPUTED_VALUE"""),750.0)</f>
        <v>750</v>
      </c>
    </row>
    <row r="100">
      <c r="A100" s="8" t="str">
        <f>IFERROR(__xludf.DUMMYFUNCTION("""COMPUTED_VALUE"""),"Enspelled Weapon (Cantrip)")</f>
        <v>Enspelled Weapon (Cantrip)</v>
      </c>
      <c r="B100" s="8" t="str">
        <f>IFERROR(__xludf.DUMMYFUNCTION("""COMPUTED_VALUE"""),"DMG'24")</f>
        <v>DMG'24</v>
      </c>
      <c r="C100" s="8" t="str">
        <f>IFERROR(__xludf.DUMMYFUNCTION("""COMPUTED_VALUE"""),"uncommon")</f>
        <v>uncommon</v>
      </c>
      <c r="D100" s="8" t="str">
        <f>IFERROR(__xludf.DUMMYFUNCTION("""COMPUTED_VALUE"""),"Generic Variant")</f>
        <v>Generic Variant</v>
      </c>
      <c r="E100" s="8" t="str">
        <f>IFERROR(__xludf.DUMMYFUNCTION("""COMPUTED_VALUE"""),"requires attunement")</f>
        <v>requires attunement</v>
      </c>
      <c r="F100" s="8"/>
      <c r="G100" s="8"/>
      <c r="H100" s="8"/>
      <c r="I100" s="8" t="str">
        <f>IFERROR(__xludf.DUMMYFUNCTION("""COMPUTED_VALUE"""),"Bound into this weapon is a cantrip. The cantrip is determined when the weapon is created and must belong to the Conjuration, Divination, Evocation, Necromancy, or Transmutation school of magic. The weapon has 6 charges and regains 1d6 expended charges da"&amp;"ily at dawn. While holding the weapon, you can expend 1 charge to cast its spell.The spell's saving throw DC is 13, and its attack bonus is +5. 
Applied to non-magical Base Equipment.")</f>
        <v>Bound into this weapon is a cantrip. The cantrip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J100" s="19">
        <f>IFERROR(__xludf.DUMMYFUNCTION("""COMPUTED_VALUE"""),750.0)</f>
        <v>750</v>
      </c>
    </row>
    <row r="101">
      <c r="A101" s="10" t="str">
        <f>IFERROR(__xludf.DUMMYFUNCTION("""COMPUTED_VALUE"""),"Armor of Safeguarding")</f>
        <v>Armor of Safeguarding</v>
      </c>
      <c r="B101" s="10" t="str">
        <f>IFERROR(__xludf.DUMMYFUNCTION("""COMPUTED_VALUE"""),"BGG")</f>
        <v>BGG</v>
      </c>
      <c r="C101" s="10" t="str">
        <f>IFERROR(__xludf.DUMMYFUNCTION("""COMPUTED_VALUE"""),"very rare")</f>
        <v>very rare</v>
      </c>
      <c r="D101" s="10" t="str">
        <f>IFERROR(__xludf.DUMMYFUNCTION("""COMPUTED_VALUE"""),"Generic Variant")</f>
        <v>Generic Variant</v>
      </c>
      <c r="E101" s="10" t="str">
        <f>IFERROR(__xludf.DUMMYFUNCTION("""COMPUTED_VALUE"""),"requires attunement")</f>
        <v>requires attunement</v>
      </c>
      <c r="F101" s="10"/>
      <c r="G101" s="10"/>
      <c r="H101" s="10"/>
      <c r="I101" s="10" t="str">
        <f>IFERROR(__xludf.DUMMYFUNCTION("""COMPUTED_VALUE"""),"Set in the center of this armor's chest is a citrine engraved with the shield rune.While wearing this armor, your hit point maximum increases by an amount equal to 10 + your level. Invoking the Rune. As an action, you can invoke the armor's rune to cast t"&amp;"he beacon of hope spell with it; the spell has a duration of 1 minute and doesn't require concentration. Once the rune has been invoked, it can't be invoked again until the next dawn. 
Applied to non-magical Base Equipment.")</f>
        <v>Set in the center of this armor's chest is a citrine engraved with the shield rune.While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 
Applied to non-magical Base Equipment.</v>
      </c>
      <c r="J101" s="18">
        <f>IFERROR(__xludf.DUMMYFUNCTION("""COMPUTED_VALUE"""),750.0)</f>
        <v>750</v>
      </c>
    </row>
    <row r="102">
      <c r="A102" s="8" t="str">
        <f>IFERROR(__xludf.DUMMYFUNCTION("""COMPUTED_VALUE"""),"Fool's Blade")</f>
        <v>Fool's Blade</v>
      </c>
      <c r="B102" s="8" t="str">
        <f>IFERROR(__xludf.DUMMYFUNCTION("""COMPUTED_VALUE"""),"BMT")</f>
        <v>BMT</v>
      </c>
      <c r="C102" s="8" t="str">
        <f>IFERROR(__xludf.DUMMYFUNCTION("""COMPUTED_VALUE"""),"very rare")</f>
        <v>very rare</v>
      </c>
      <c r="D102" s="8" t="str">
        <f>IFERROR(__xludf.DUMMYFUNCTION("""COMPUTED_VALUE"""),"Generic Variant")</f>
        <v>Generic Variant</v>
      </c>
      <c r="E102" s="8" t="str">
        <f>IFERROR(__xludf.DUMMYFUNCTION("""COMPUTED_VALUE"""),"requires attunement")</f>
        <v>requires attunement</v>
      </c>
      <c r="F102" s="8"/>
      <c r="G102" s="8"/>
      <c r="H102" s="8"/>
      <c r="I102" s="8" t="str">
        <f>IFERROR(__xludf.DUMMYFUNCTION("""COMPUTED_VALUE"""),"This weapon appears ordinary, but it bears strong illusion magic that allows its wielder to skillfully deceive opponents. While wielding it, you also gain the following benefits:Fool's Feint. As a bonus action, you can feint, choosing a creature within 5 "&amp;"feet of you as your target. Until the start of your next turn, you have advantage on attack rolls against the target. Once this bonus action is used, it can't be used again until the next dawn.Misdirect. When a creature within 60 feet of you targets you w"&amp;"ith an attack roll, you can use your reaction to require that creature to make a DC 15 Intelligence saving throw. On a failed save, the attack instead targets another creature of your choice that is within the attacker's reach. Once this reaction has been"&amp;" used, it can't be used again until the next dawn. 
Applied to non-magical Base Equipment.")</f>
        <v>This weapon appears ordinary, but it bears strong illusion magic that allows its wielder to skillfully deceive opponents. While wielding it, you also gain the following benefits:Fool's Feint. As a bonus action, you can feint, choosing a creature within 5 feet of you as your target. Until the start of your next turn, you have advantage on attack rolls against the target. Once this bonus action is used, it can't be used again until the next dawn.Misdirect.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 
Applied to non-magical Base Equipment.</v>
      </c>
      <c r="J102" s="19">
        <f>IFERROR(__xludf.DUMMYFUNCTION("""COMPUTED_VALUE"""),800.0)</f>
        <v>800</v>
      </c>
    </row>
    <row r="103">
      <c r="A103" s="10" t="str">
        <f>IFERROR(__xludf.DUMMYFUNCTION("""COMPUTED_VALUE"""),"Dwarven Plate")</f>
        <v>Dwarven Plate</v>
      </c>
      <c r="B103" s="10" t="str">
        <f>IFERROR(__xludf.DUMMYFUNCTION("""COMPUTED_VALUE"""),"DMG'24")</f>
        <v>DMG'24</v>
      </c>
      <c r="C103" s="10" t="str">
        <f>IFERROR(__xludf.DUMMYFUNCTION("""COMPUTED_VALUE"""),"very rare")</f>
        <v>very rare</v>
      </c>
      <c r="D103" s="10" t="str">
        <f>IFERROR(__xludf.DUMMYFUNCTION("""COMPUTED_VALUE"""),"Generic Variant")</f>
        <v>Generic Variant</v>
      </c>
      <c r="E103" s="10"/>
      <c r="F103" s="10"/>
      <c r="G103" s="10"/>
      <c r="H103" s="10"/>
      <c r="I103" s="10" t="str">
        <f>IFERROR(__xludf.DUMMYFUNCTION("""COMPUTED_VALUE"""),"If an effect moves you against your will along the ground, you can take a Reaction to reduce the distance you are moved by up to 10 feet. 
Applied to non-magical Base Equipment.")</f>
        <v>If an effect moves you against your will along the ground, you can take a Reaction to reduce the distance you are moved by up to 10 feet. 
Applied to non-magical Base Equipment.</v>
      </c>
      <c r="J103" s="18">
        <f>IFERROR(__xludf.DUMMYFUNCTION("""COMPUTED_VALUE"""),850.0)</f>
        <v>850</v>
      </c>
    </row>
    <row r="104">
      <c r="A104" s="8" t="str">
        <f>IFERROR(__xludf.DUMMYFUNCTION("""COMPUTED_VALUE"""),"Enspelled Armor (Level 1)")</f>
        <v>Enspelled Armor (Level 1)</v>
      </c>
      <c r="B104" s="8" t="str">
        <f>IFERROR(__xludf.DUMMYFUNCTION("""COMPUTED_VALUE"""),"DMG'24")</f>
        <v>DMG'24</v>
      </c>
      <c r="C104" s="8" t="str">
        <f>IFERROR(__xludf.DUMMYFUNCTION("""COMPUTED_VALUE"""),"uncommon")</f>
        <v>uncommon</v>
      </c>
      <c r="D104" s="8" t="str">
        <f>IFERROR(__xludf.DUMMYFUNCTION("""COMPUTED_VALUE"""),"Generic Variant")</f>
        <v>Generic Variant</v>
      </c>
      <c r="E104" s="8" t="str">
        <f>IFERROR(__xludf.DUMMYFUNCTION("""COMPUTED_VALUE"""),"requires attunement")</f>
        <v>requires attunement</v>
      </c>
      <c r="F104" s="8"/>
      <c r="G104" s="8"/>
      <c r="H104" s="8"/>
      <c r="I104" s="8" t="str">
        <f>IFERROR(__xludf.DUMMYFUNCTION("""COMPUTED_VALUE"""),"Bound into this armor is a level 1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1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J104" s="19">
        <f>IFERROR(__xludf.DUMMYFUNCTION("""COMPUTED_VALUE"""),900.0)</f>
        <v>900</v>
      </c>
    </row>
    <row r="105">
      <c r="A105" s="10" t="str">
        <f>IFERROR(__xludf.DUMMYFUNCTION("""COMPUTED_VALUE"""),"Enspelled Weapon (Level 1)")</f>
        <v>Enspelled Weapon (Level 1)</v>
      </c>
      <c r="B105" s="10" t="str">
        <f>IFERROR(__xludf.DUMMYFUNCTION("""COMPUTED_VALUE"""),"DMG'24")</f>
        <v>DMG'24</v>
      </c>
      <c r="C105" s="10" t="str">
        <f>IFERROR(__xludf.DUMMYFUNCTION("""COMPUTED_VALUE"""),"uncommon")</f>
        <v>uncommon</v>
      </c>
      <c r="D105" s="10" t="str">
        <f>IFERROR(__xludf.DUMMYFUNCTION("""COMPUTED_VALUE"""),"Generic Variant")</f>
        <v>Generic Variant</v>
      </c>
      <c r="E105" s="10" t="str">
        <f>IFERROR(__xludf.DUMMYFUNCTION("""COMPUTED_VALUE"""),"requires attunement")</f>
        <v>requires attunement</v>
      </c>
      <c r="F105" s="10"/>
      <c r="G105" s="10"/>
      <c r="H105" s="10"/>
      <c r="I105" s="10" t="str">
        <f>IFERROR(__xludf.DUMMYFUNCTION("""COMPUTED_VALUE"""),"Bound into this weapon is a level 1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1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J105" s="18">
        <f>IFERROR(__xludf.DUMMYFUNCTION("""COMPUTED_VALUE"""),900.0)</f>
        <v>900</v>
      </c>
    </row>
    <row r="106">
      <c r="A106" s="8" t="str">
        <f>IFERROR(__xludf.DUMMYFUNCTION("""COMPUTED_VALUE"""),"Stirring Dragon's Wrath Weapon")</f>
        <v>Stirring Dragon's Wrath Weapon</v>
      </c>
      <c r="B106" s="8" t="str">
        <f>IFERROR(__xludf.DUMMYFUNCTION("""COMPUTED_VALUE"""),"FTD")</f>
        <v>FTD</v>
      </c>
      <c r="C106" s="8" t="str">
        <f>IFERROR(__xludf.DUMMYFUNCTION("""COMPUTED_VALUE"""),"rare")</f>
        <v>rare</v>
      </c>
      <c r="D106" s="8" t="str">
        <f>IFERROR(__xludf.DUMMYFUNCTION("""COMPUTED_VALUE"""),"Generic Variant")</f>
        <v>Generic Variant</v>
      </c>
      <c r="E106" s="8" t="str">
        <f>IFERROR(__xludf.DUMMYFUNCTION("""COMPUTED_VALUE"""),"requires attunement")</f>
        <v>requires attunement</v>
      </c>
      <c r="F106" s="8"/>
      <c r="G106" s="8"/>
      <c r="H106" s="8"/>
      <c r="I106" s="8" t="str">
        <f>IFERROR(__xludf.DUMMYFUNCTION("""COMPUTED_VALUE"""),"This weapon is decorated with dragon heads, claws, wings, scales, or Draconic letters. When it steeps in a dragon's hoard, it absorbs the energy of the dragon's breath weapon and deals damage of that type with its special properties. Whenever you roll a 2"&amp;"0 on your attack roll with this weapon, each creature of your choice within 5 feet of the target takes 5 damage of the type dealt by the dragon's breath weapon. On a hit, the weapon deals an extra 1d6 damage of the type dealt by the dragon's breath weapon"&amp;". 
Applied to non-magical Base Equipment.")</f>
        <v>This weapon is decorated with dragon heads, claws, wings, scales, or Draconic letters. When it steeps in a dragon's hoard, it absorbs the energy of the dragon's breath weapon and deals damage of that type with its special properties. Whenever you roll a 20 on your attack roll with this weapon, each creature of your choice within 5 feet of the target takes 5 damage of the type dealt by the dragon's breath weapon. On a hit, the weapon deals an extra 1d6 damage of the type dealt by the dragon's breath weapon. 
Applied to non-magical Base Equipment.</v>
      </c>
      <c r="J106" s="19">
        <f>IFERROR(__xludf.DUMMYFUNCTION("""COMPUTED_VALUE"""),950.0)</f>
        <v>950</v>
      </c>
    </row>
    <row r="107">
      <c r="A107" s="10" t="str">
        <f>IFERROR(__xludf.DUMMYFUNCTION("""COMPUTED_VALUE"""),"Mizzium Armor")</f>
        <v>Mizzium Armor</v>
      </c>
      <c r="B107" s="10" t="str">
        <f>IFERROR(__xludf.DUMMYFUNCTION("""COMPUTED_VALUE"""),"GGR")</f>
        <v>GGR</v>
      </c>
      <c r="C107" s="10" t="str">
        <f>IFERROR(__xludf.DUMMYFUNCTION("""COMPUTED_VALUE"""),"rare")</f>
        <v>rare</v>
      </c>
      <c r="D107" s="10" t="str">
        <f>IFERROR(__xludf.DUMMYFUNCTION("""COMPUTED_VALUE"""),"Generic Variant")</f>
        <v>Generic Variant</v>
      </c>
      <c r="E107" s="10"/>
      <c r="F107" s="10"/>
      <c r="G107" s="10"/>
      <c r="H107" s="10"/>
      <c r="I107" s="10" t="str">
        <f>IFERROR(__xludf.DUMMYFUNCTION("""COMPUTED_VALUE"""),"This suit of armor is reinforced with a magically enhanced metal alloy called mizzium, which is made in Izzet foundries. While you're wearing the armor, any critical hit against you becomes a normal hit. In addition, when you are subjected to a magical ef"&amp;"fect that allows you to make a Strength or Constitution saving throw to take only half damage, you instead take no damage if you succeed on the saving throw. 
Applied to non-magical Base Equipment.")</f>
        <v>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 
Applied to non-magical Base Equipment.</v>
      </c>
      <c r="J107" s="18">
        <f>IFERROR(__xludf.DUMMYFUNCTION("""COMPUTED_VALUE"""),1000.0)</f>
        <v>1000</v>
      </c>
    </row>
    <row r="108">
      <c r="A108" s="8" t="str">
        <f>IFERROR(__xludf.DUMMYFUNCTION("""COMPUTED_VALUE"""),"Starshot Crossbow")</f>
        <v>Starshot Crossbow</v>
      </c>
      <c r="B108" s="8" t="str">
        <f>IFERROR(__xludf.DUMMYFUNCTION("""COMPUTED_VALUE"""),"BMT")</f>
        <v>BMT</v>
      </c>
      <c r="C108" s="8" t="str">
        <f>IFERROR(__xludf.DUMMYFUNCTION("""COMPUTED_VALUE"""),"rare")</f>
        <v>rare</v>
      </c>
      <c r="D108" s="8" t="str">
        <f>IFERROR(__xludf.DUMMYFUNCTION("""COMPUTED_VALUE"""),"Generic Variant")</f>
        <v>Generic Variant</v>
      </c>
      <c r="E108" s="8" t="str">
        <f>IFERROR(__xludf.DUMMYFUNCTION("""COMPUTED_VALUE"""),"requires attunement")</f>
        <v>requires attunement</v>
      </c>
      <c r="F108" s="8"/>
      <c r="G108" s="8"/>
      <c r="H108" s="8"/>
      <c r="I108" s="8" t="str">
        <f>IFERROR(__xludf.DUMMYFUNCTION("""COMPUTED_VALUE"""),"This crossbow is crafted from blackened wood, and its limbs bear pearl inlays depicting constellations. You ignore the loading property with this crossbow. If you load no ammunition in the weapon, it produces its own, automatically creating one piece of m"&amp;"agic ammunition when you make a ranged attack with it. The ammunition created by the weapon vanishes the instant after it hits or misses a target. The crossbow has 3 charges and regains 1d3 expended charges daily at dawn. Constellations. The crossbow is d"&amp;"ecorated with three constellations. As a bonus action, you can tap one of the constellations to invoke it, expending 1 charge and producing one of the following effects:Balance. The next time you hit a creature with a ranged attack roll using this crossbo"&amp;"w before the end of your next turn, you or another creature of your choice within 30 feet of you can regain hit points equal to 1d8 plus your proficiency bonus. Flames. Until the end of your next turn, when you hit a creature with a ranged attack roll usi"&amp;"ng this crossbow, the attack deals an additional 2d8 fire damage. Rogue. Until the end of your next turn, you have the invisible condition, and anything you are wearing or carrying is also invisible. 
Applied to non-magical Base Equipment.")</f>
        <v>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 
Applied to non-magical Base Equipment.</v>
      </c>
      <c r="J108" s="19">
        <f>IFERROR(__xludf.DUMMYFUNCTION("""COMPUTED_VALUE"""),1100.0)</f>
        <v>1100</v>
      </c>
    </row>
    <row r="109">
      <c r="A109" s="10" t="str">
        <f>IFERROR(__xludf.DUMMYFUNCTION("""COMPUTED_VALUE"""),"Weapon of Warning")</f>
        <v>Weapon of Warning</v>
      </c>
      <c r="B109" s="10" t="str">
        <f>IFERROR(__xludf.DUMMYFUNCTION("""COMPUTED_VALUE"""),"DMG'24")</f>
        <v>DMG'24</v>
      </c>
      <c r="C109" s="10" t="str">
        <f>IFERROR(__xludf.DUMMYFUNCTION("""COMPUTED_VALUE"""),"uncommon")</f>
        <v>uncommon</v>
      </c>
      <c r="D109" s="10" t="str">
        <f>IFERROR(__xludf.DUMMYFUNCTION("""COMPUTED_VALUE"""),"Generic Variant")</f>
        <v>Generic Variant</v>
      </c>
      <c r="E109" s="10" t="str">
        <f>IFERROR(__xludf.DUMMYFUNCTION("""COMPUTED_VALUE"""),"requires attunement")</f>
        <v>requires attunement</v>
      </c>
      <c r="F109" s="10"/>
      <c r="G109" s="10"/>
      <c r="H109" s="10"/>
      <c r="I109" s="10" t="str">
        <f>IFERROR(__xludf.DUMMYFUNCTION("""COMPUTED_VALUE"""),"As long as this weapon is within your reach and you are attuned to it, you and allies within 30 feet of you gain the following benefits. Alarm. The weapon magically awakens each subject who is sleeping naturally when combat begins. This benefit doesn't wa"&amp;"ke a subject from magically induced sleep. Supernatural Readiness. Each subject has Advantage on its Initiative rolls. 
Applied to non-magical Base Equipment.")</f>
        <v>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Applied to non-magical Base Equipment.</v>
      </c>
      <c r="J109" s="18">
        <f>IFERROR(__xludf.DUMMYFUNCTION("""COMPUTED_VALUE"""),1200.0)</f>
        <v>1200</v>
      </c>
    </row>
    <row r="110">
      <c r="A110" s="8" t="str">
        <f>IFERROR(__xludf.DUMMYFUNCTION("""COMPUTED_VALUE"""),"+1 Spell Save DC")</f>
        <v>+1 Spell Save DC</v>
      </c>
      <c r="B110" s="8" t="str">
        <f>IFERROR(__xludf.DUMMYFUNCTION("""COMPUTED_VALUE"""),"Custom rule")</f>
        <v>Custom rule</v>
      </c>
      <c r="C110" s="8" t="str">
        <f>IFERROR(__xludf.DUMMYFUNCTION("""COMPUTED_VALUE"""),"Rare")</f>
        <v>Rare</v>
      </c>
      <c r="D110" s="8" t="str">
        <f>IFERROR(__xludf.DUMMYFUNCTION("""COMPUTED_VALUE"""),"Generic Variant")</f>
        <v>Generic Variant</v>
      </c>
      <c r="E110" s="8"/>
      <c r="F110" s="8"/>
      <c r="G110" s="8"/>
      <c r="H110" s="8"/>
      <c r="I110" s="8" t="str">
        <f>IFERROR(__xludf.DUMMYFUNCTION("""COMPUTED_VALUE"""),"You have a +1 bonus to your spell save DC when you use this focus. Available to level 5+.")</f>
        <v>You have a +1 bonus to your spell save DC when you use this focus. Available to level 5+.</v>
      </c>
      <c r="J110" s="19">
        <f>IFERROR(__xludf.DUMMYFUNCTION("""COMPUTED_VALUE"""),1200.0)</f>
        <v>1200</v>
      </c>
    </row>
    <row r="111">
      <c r="A111" s="10" t="str">
        <f>IFERROR(__xludf.DUMMYFUNCTION("""COMPUTED_VALUE"""),"Bow of Conflagration")</f>
        <v>Bow of Conflagration</v>
      </c>
      <c r="B111" s="10" t="str">
        <f>IFERROR(__xludf.DUMMYFUNCTION("""COMPUTED_VALUE"""),"BMT")</f>
        <v>BMT</v>
      </c>
      <c r="C111" s="10" t="str">
        <f>IFERROR(__xludf.DUMMYFUNCTION("""COMPUTED_VALUE"""),"rare")</f>
        <v>rare</v>
      </c>
      <c r="D111" s="10" t="str">
        <f>IFERROR(__xludf.DUMMYFUNCTION("""COMPUTED_VALUE"""),"Generic Variant")</f>
        <v>Generic Variant</v>
      </c>
      <c r="E111" s="10" t="str">
        <f>IFERROR(__xludf.DUMMYFUNCTION("""COMPUTED_VALUE"""),"requires attunement")</f>
        <v>requires attunement</v>
      </c>
      <c r="F111" s="10"/>
      <c r="G111" s="10"/>
      <c r="H111" s="10"/>
      <c r="I111" s="10" t="str">
        <f>IFERROR(__xludf.DUMMYFUNCTION("""COMPUTED_VALUE"""),"Ammunition fired from this bow blazes brightly. When you hit with an attack roll using this bow, the target takes an extra 1d6 fire damage. If the target is a flammable, nonmagical object, it catches fire, taking 1d6 fire damage at the start of each of yo"&amp;"ur turns until a creature uses an action to extinguish the flames. 
Applied to non-magical Base Equipment.")</f>
        <v>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 
Applied to non-magical Base Equipment.</v>
      </c>
      <c r="J111" s="18">
        <f>IFERROR(__xludf.DUMMYFUNCTION("""COMPUTED_VALUE"""),1200.0)</f>
        <v>1200</v>
      </c>
    </row>
    <row r="112">
      <c r="A112" s="8" t="str">
        <f>IFERROR(__xludf.DUMMYFUNCTION("""COMPUTED_VALUE"""),"Crystal Blade")</f>
        <v>Crystal Blade</v>
      </c>
      <c r="B112" s="8" t="str">
        <f>IFERROR(__xludf.DUMMYFUNCTION("""COMPUTED_VALUE"""),"FTD")</f>
        <v>FTD</v>
      </c>
      <c r="C112" s="8" t="str">
        <f>IFERROR(__xludf.DUMMYFUNCTION("""COMPUTED_VALUE"""),"rare")</f>
        <v>rare</v>
      </c>
      <c r="D112" s="8" t="str">
        <f>IFERROR(__xludf.DUMMYFUNCTION("""COMPUTED_VALUE"""),"Generic Variant")</f>
        <v>Generic Variant</v>
      </c>
      <c r="E112" s="8" t="str">
        <f>IFERROR(__xludf.DUMMYFUNCTION("""COMPUTED_VALUE"""),"requires attunement")</f>
        <v>requires attunement</v>
      </c>
      <c r="F112" s="8"/>
      <c r="G112" s="8"/>
      <c r="H112" s="8"/>
      <c r="I112" s="8" t="str">
        <f>IFERROR(__xludf.DUMMYFUNCTION("""COMPUTED_VALUE"""),"This magic sword's blade is fashioned from a horn or spine from a crystal dragon. When you hit with an attack roll using this sword, the target takes an extra 1d8 radiant damage. The sword has 3 charges and regains 1d3 expended charges daily at dawn. When"&amp;" you hit a creature with an attack roll using the sword, you can expend 1 charge to regain a number of hit points equal to the extra radiant damage the sword dealt. While you're holding the sword, you can use a bonus action to cause it to shed bright ligh"&amp;"t in a 30-foot radius and dim light for an additional 30 feet, to cause it to shed dim light in a 10-foot radius, or to douse the light. 
Applied to non-magical Base Equipment.")</f>
        <v>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 
Applied to non-magical Base Equipment.</v>
      </c>
      <c r="J112" s="19">
        <f>IFERROR(__xludf.DUMMYFUNCTION("""COMPUTED_VALUE"""),1200.0)</f>
        <v>1200</v>
      </c>
    </row>
    <row r="113">
      <c r="A113" s="10" t="str">
        <f>IFERROR(__xludf.DUMMYFUNCTION("""COMPUTED_VALUE"""),"Glimmering Moonbow")</f>
        <v>Glimmering Moonbow</v>
      </c>
      <c r="B113" s="10" t="str">
        <f>IFERROR(__xludf.DUMMYFUNCTION("""COMPUTED_VALUE"""),"BMT")</f>
        <v>BMT</v>
      </c>
      <c r="C113" s="10" t="str">
        <f>IFERROR(__xludf.DUMMYFUNCTION("""COMPUTED_VALUE"""),"rare")</f>
        <v>rare</v>
      </c>
      <c r="D113" s="10" t="str">
        <f>IFERROR(__xludf.DUMMYFUNCTION("""COMPUTED_VALUE"""),"Generic Variant")</f>
        <v>Generic Variant</v>
      </c>
      <c r="E113" s="10" t="str">
        <f>IFERROR(__xludf.DUMMYFUNCTION("""COMPUTED_VALUE"""),"requires attunement")</f>
        <v>requires attunement</v>
      </c>
      <c r="F113" s="10"/>
      <c r="G113" s="10"/>
      <c r="H113" s="10"/>
      <c r="I113" s="10" t="str">
        <f>IFERROR(__xludf.DUMMYFUNCTION("""COMPUTED_VALUE"""),"This silver-and-black bow is engraved with the phases of the moon. When you hit with a ranged attack roll using this magic bow, the target takes an extra 1d6 radiant damage. If you load no ammunition in the weapon, it produces its own, automatically creat"&amp;"ing one piece of magic ammunition when you make a ranged attack with it. The ammunition created by the bow vanishes the instant after it hits or misses a target. While wielding this magic bow, you can use a bonus action to enter a semi-incorporeal state u"&amp;"ntil the start of your next turn. While semi-incorporeal, you have resistance to bludgeoning, piercing, and slashing damage. Once this bonus action is used, it can't be used again until the next dawn. 
Applied to non-magical Base Equipment.")</f>
        <v>This silver-and-black bow is engraved with the phases of the moon.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 
Applied to non-magical Base Equipment.</v>
      </c>
      <c r="J113" s="18">
        <f>IFERROR(__xludf.DUMMYFUNCTION("""COMPUTED_VALUE"""),1200.0)</f>
        <v>1200</v>
      </c>
    </row>
    <row r="114">
      <c r="A114" s="8" t="str">
        <f>IFERROR(__xludf.DUMMYFUNCTION("""COMPUTED_VALUE"""),"Dancing Sword")</f>
        <v>Dancing Sword</v>
      </c>
      <c r="B114" s="8" t="str">
        <f>IFERROR(__xludf.DUMMYFUNCTION("""COMPUTED_VALUE"""),"DMG'24")</f>
        <v>DMG'24</v>
      </c>
      <c r="C114" s="8" t="str">
        <f>IFERROR(__xludf.DUMMYFUNCTION("""COMPUTED_VALUE"""),"very rare")</f>
        <v>very rare</v>
      </c>
      <c r="D114" s="8" t="str">
        <f>IFERROR(__xludf.DUMMYFUNCTION("""COMPUTED_VALUE"""),"Generic Variant")</f>
        <v>Generic Variant</v>
      </c>
      <c r="E114" s="8" t="str">
        <f>IFERROR(__xludf.DUMMYFUNCTION("""COMPUTED_VALUE"""),"requires attunement")</f>
        <v>requires attunement</v>
      </c>
      <c r="F114" s="8"/>
      <c r="G114" s="8"/>
      <c r="H114" s="8"/>
      <c r="I114" s="8" t="str">
        <f>IFERROR(__xludf.DUMMYFUNCTION("""COMPUTED_VALUE"""),"You can take a Bonus Action to toss this magic weapon into the air. When you do so, the weapon begins to hover, flies up to 30 feet, and attacks one creature of your choice within 5 feet of itself. The weapon uses your attack roll and adds your ability mo"&amp;"difier to damage rolls.While the weapon hovers, you can take a Bonus Action to cause it to fly up to 30 feet to another spot within 30 feet of you. As part of the same Bonus Action, you can cause the weapon to attack one creature within 5 feet of the weap"&amp;"on.After the hovering weapon attacks for the fourth time, it flies back to you and tries to return to your hand. If you have no hand free, the weapon falls to the ground in your space. If the weapon has no unobstructed path to you, it moves as close to yo"&amp;"u as it can and then falls to the ground. It also ceases to hover if you grasp it or are more than 30 feet away from it. 
Applied to non-magical Base Equipment.")</f>
        <v>You can take a Bonus Action to toss this magic weapon into the air. When you do so, the weapon begins to hover, flies up to 30 feet, and attacks one creature of your choice within 5 feet of itself. The weapon uses your attack roll and adds your ability modifier to damage rolls.While the weapon hovers, you can take a Bonus Action to cause it to fly up to 30 feet to another spot within 30 feet of you. As part of the same Bonus Action, you can cause the weapon to attack one creature within 5 feet of the weapon.After the hovering weapon attacks for the fourth time, it flies back to you and tries to return to your hand. If you have no hand free, the weapon falls to the ground in your space. If the weapon has no unobstructed path to you, it moves as close to you as it can and then falls to the ground. It also ceases to hover if you grasp it or are more than 30 feet away from it. 
Applied to non-magical Base Equipment.</v>
      </c>
      <c r="J114" s="19">
        <f>IFERROR(__xludf.DUMMYFUNCTION("""COMPUTED_VALUE"""),1200.0)</f>
        <v>1200</v>
      </c>
    </row>
    <row r="115">
      <c r="A115" s="10" t="str">
        <f>IFERROR(__xludf.DUMMYFUNCTION("""COMPUTED_VALUE"""),"Molten Bronze Skin")</f>
        <v>Molten Bronze Skin</v>
      </c>
      <c r="B115" s="10" t="str">
        <f>IFERROR(__xludf.DUMMYFUNCTION("""COMPUTED_VALUE"""),"MOT")</f>
        <v>MOT</v>
      </c>
      <c r="C115" s="10" t="str">
        <f>IFERROR(__xludf.DUMMYFUNCTION("""COMPUTED_VALUE"""),"rare")</f>
        <v>rare</v>
      </c>
      <c r="D115" s="10" t="str">
        <f>IFERROR(__xludf.DUMMYFUNCTION("""COMPUTED_VALUE"""),"Generic Variant")</f>
        <v>Generic Variant</v>
      </c>
      <c r="E115" s="10" t="str">
        <f>IFERROR(__xludf.DUMMYFUNCTION("""COMPUTED_VALUE"""),"requires attunement")</f>
        <v>requires attunement</v>
      </c>
      <c r="F115" s="10"/>
      <c r="G115" s="10"/>
      <c r="H115" s="10"/>
      <c r="I115" s="10" t="str">
        <f>IFERROR(__xludf.DUMMYFUNCTION("""COMPUTED_VALUE"""),"This magical armor appears as a jug of molten bronze. When you attune to it, the bronze adheres and contours to your skin. The armor can be worn under normal clothes, but it doesn't impede bodily functions. Once you put it on, it can't be removed unless y"&amp;"ou choose to do so.While wearing the armor, you have resistance to fire damage. The armor also doesn't impose disadvantage on Dexterity (Stealth) checks.
Applied to non-magical Base Equipment.")</f>
        <v>This magical armor appears as a jug of molten bronze. When you attune to it, the bronze adheres and contours to your skin. The armor can be worn under normal clothes, but it doesn't impede bodily functions. Once you put it on, it can't be removed unless you choose to do so.While wearing the armor, you have resistance to fire damage. The armor also doesn't impose disadvantage on Dexterity (Stealth) checks.
Applied to non-magical Base Equipment.</v>
      </c>
      <c r="J115" s="18">
        <f>IFERROR(__xludf.DUMMYFUNCTION("""COMPUTED_VALUE"""),1350.0)</f>
        <v>1350</v>
      </c>
    </row>
    <row r="116">
      <c r="A116" s="8" t="str">
        <f>IFERROR(__xludf.DUMMYFUNCTION("""COMPUTED_VALUE"""),"Clockwork Armor")</f>
        <v>Clockwork Armor</v>
      </c>
      <c r="B116" s="8" t="str">
        <f>IFERROR(__xludf.DUMMYFUNCTION("""COMPUTED_VALUE"""),"BMT")</f>
        <v>BMT</v>
      </c>
      <c r="C116" s="8" t="str">
        <f>IFERROR(__xludf.DUMMYFUNCTION("""COMPUTED_VALUE"""),"very rare")</f>
        <v>very rare</v>
      </c>
      <c r="D116" s="8" t="str">
        <f>IFERROR(__xludf.DUMMYFUNCTION("""COMPUTED_VALUE"""),"Generic Variant")</f>
        <v>Generic Variant</v>
      </c>
      <c r="E116" s="8" t="str">
        <f>IFERROR(__xludf.DUMMYFUNCTION("""COMPUTED_VALUE"""),"requires attunement")</f>
        <v>requires attunement</v>
      </c>
      <c r="F116" s="8"/>
      <c r="G116" s="8"/>
      <c r="H116" s="8"/>
      <c r="I116" s="8" t="str">
        <f>IFERROR(__xludf.DUMMYFUNCTION("""COMPUTED_VALUE"""),"The outside surface and internal joints of this armor whir with interlocking gears, drawing on the orderly magic of the plane of Mechanus.The armor has 4 charges. If you make a d20 roll while wearing this armor, you can expend 1 charge to change the numbe"&amp;"r rolled to a 10. The armor regains 1d4 expended charges daily at dawn. 
Applied to non-magical Base Equipment.")</f>
        <v>The outside surface and internal joints of this armor whir with interlocking gears, drawing on the orderly magic of the plane of Mechanus.The armor has 4 charges. If you make a d20 roll while wearing this armor, you can expend 1 charge to change the number rolled to a 10. The armor regains 1d4 expended charges daily at dawn. 
Applied to non-magical Base Equipment.</v>
      </c>
      <c r="J116" s="19">
        <f>IFERROR(__xludf.DUMMYFUNCTION("""COMPUTED_VALUE"""),1350.0)</f>
        <v>1350</v>
      </c>
    </row>
    <row r="117">
      <c r="A117" s="10" t="str">
        <f>IFERROR(__xludf.DUMMYFUNCTION("""COMPUTED_VALUE"""),"Energy Bow")</f>
        <v>Energy Bow</v>
      </c>
      <c r="B117" s="10" t="str">
        <f>IFERROR(__xludf.DUMMYFUNCTION("""COMPUTED_VALUE"""),"DMG'24")</f>
        <v>DMG'24</v>
      </c>
      <c r="C117" s="10" t="str">
        <f>IFERROR(__xludf.DUMMYFUNCTION("""COMPUTED_VALUE"""),"very rare")</f>
        <v>very rare</v>
      </c>
      <c r="D117" s="10" t="str">
        <f>IFERROR(__xludf.DUMMYFUNCTION("""COMPUTED_VALUE"""),"Generic Variant")</f>
        <v>Generic Variant</v>
      </c>
      <c r="E117" s="10" t="str">
        <f>IFERROR(__xludf.DUMMYFUNCTION("""COMPUTED_VALUE"""),"requires attunement")</f>
        <v>requires attunement</v>
      </c>
      <c r="F117" s="10"/>
      <c r="G117" s="10"/>
      <c r="H117" s="10"/>
      <c r="I117" s="10" t="str">
        <f>IFERROR(__xludf.DUMMYFUNCTION("""COMPUTED_VALUE"""),"Each time you pull your arm back in a firing motion, a magical arrow made of golden energy appears nocked and ready to fire. An arrow produced by this weapon deals Force damage instead of Piercing damage on a hit, and it disappears after it hits or misses"&amp;" its target. Until it disappears, the arrow emits Bright Light in a 20-foot radius and Dim Light for an additional 20 feet.This weapon has the following additional properties. Arrow of Restraint. Whenever you use this weapon to make a ranged attack agains"&amp;"t a creature, you can try to restrain the target instead of dealing damage to it. If the arrow hits, the target must succeed on a DC 15 Strength saving throw or have the Restrained condition for 1 minute. As an action, a creature Restrained by an arrow ca"&amp;"n make a DC 20 Strength (Athletics) check to try to break the restraint, ending the effect on itself on a successful check. Arrow of Transport. As a Magic action, you can fire one energy arrow from this weapon at a target you can see within 60 feet of you"&amp;"rself. The target can be either a willing Medium or smaller creature or an object that isn't being worn or carried, provided the object is small enough to fit inside a 5-foot Cube. The arrow teleports the target to an unoccupied space you can see within 1"&amp;"0 feet of you. Energy Ladder. As a Magic action, you can loose a flurry of energy arrows from this weapon at a wall up to 60 feet away from yourself. The arrows become glowing rungs that stick out of the wall, forming a magical ladder up to 60 feet long o"&amp;"n the wall. This ladder lasts for 1 minute before disappearing. 
Applied to non-magical Base Equipment.")</f>
        <v>Each time you pull your arm back in a firing motion, a magical arrow made of golden energy appears nocked and ready to fire. An arrow produced by this weapon deals Force damage instead of Piercing damage on a hit, and it disappears after it hits or misses its target. Until it disappears, the arrow emits Bright Light in a 20-foot radius and Dim Light for an additional 20 feet.This weapon has the following additional properties. Arrow of Restraint. Whenever you use this weapon to make a ranged attack against a creature, you can try to restrain the target instead of dealing damage to it. If the arrow hits, the target must succeed on a DC 15 Strength saving throw or have the Restrained condition for 1 minute. As an action, a creature Restrained by an arrow can make a DC 20 Strength (Athletics) check to try to break the restraint, ending the effect on itself on a successful check. Arrow of Transport. As a Magic action, you can fire one energy arrow from this weapon at a target you can see within 60 feet of yourself. The target can be either a willing Medium or smaller creature or an object that isn't being worn or carried, provided the object is small enough to fit inside a 5-foot Cube. The arrow teleports the target to an unoccupied space you can see within 10 feet of you. Energy Ladder. As a Magic action, you can loose a flurry of energy arrows from this weapon at a wall up to 60 feet away from yourself. The arrows become glowing rungs that stick out of the wall, forming a magical ladder up to 60 feet long on the wall. This ladder lasts for 1 minute before disappearing. 
Applied to non-magical Base Equipment.</v>
      </c>
      <c r="J117" s="18">
        <f>IFERROR(__xludf.DUMMYFUNCTION("""COMPUTED_VALUE"""),1350.0)</f>
        <v>1350</v>
      </c>
    </row>
    <row r="118">
      <c r="A118" s="8" t="str">
        <f>IFERROR(__xludf.DUMMYFUNCTION("""COMPUTED_VALUE"""),"Enspelled Armor (Level 2)")</f>
        <v>Enspelled Armor (Level 2)</v>
      </c>
      <c r="B118" s="8" t="str">
        <f>IFERROR(__xludf.DUMMYFUNCTION("""COMPUTED_VALUE"""),"DMG'24")</f>
        <v>DMG'24</v>
      </c>
      <c r="C118" s="8" t="str">
        <f>IFERROR(__xludf.DUMMYFUNCTION("""COMPUTED_VALUE"""),"rare")</f>
        <v>rare</v>
      </c>
      <c r="D118" s="8" t="str">
        <f>IFERROR(__xludf.DUMMYFUNCTION("""COMPUTED_VALUE"""),"Generic Variant")</f>
        <v>Generic Variant</v>
      </c>
      <c r="E118" s="8" t="str">
        <f>IFERROR(__xludf.DUMMYFUNCTION("""COMPUTED_VALUE"""),"requires attunement")</f>
        <v>requires attunement</v>
      </c>
      <c r="F118" s="8"/>
      <c r="G118" s="8"/>
      <c r="H118" s="8"/>
      <c r="I118" s="8" t="str">
        <f>IFERROR(__xludf.DUMMYFUNCTION("""COMPUTED_VALUE"""),"Bound into this armor is a level 2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2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J118" s="19">
        <f>IFERROR(__xludf.DUMMYFUNCTION("""COMPUTED_VALUE"""),1500.0)</f>
        <v>1500</v>
      </c>
    </row>
    <row r="119">
      <c r="A119" s="10" t="str">
        <f>IFERROR(__xludf.DUMMYFUNCTION("""COMPUTED_VALUE"""),"Enspelled Weapon (Level 2)")</f>
        <v>Enspelled Weapon (Level 2)</v>
      </c>
      <c r="B119" s="10" t="str">
        <f>IFERROR(__xludf.DUMMYFUNCTION("""COMPUTED_VALUE"""),"DMG'24")</f>
        <v>DMG'24</v>
      </c>
      <c r="C119" s="10" t="str">
        <f>IFERROR(__xludf.DUMMYFUNCTION("""COMPUTED_VALUE"""),"rare")</f>
        <v>rare</v>
      </c>
      <c r="D119" s="10" t="str">
        <f>IFERROR(__xludf.DUMMYFUNCTION("""COMPUTED_VALUE"""),"Generic Variant")</f>
        <v>Generic Variant</v>
      </c>
      <c r="E119" s="10" t="str">
        <f>IFERROR(__xludf.DUMMYFUNCTION("""COMPUTED_VALUE"""),"requires attunement")</f>
        <v>requires attunement</v>
      </c>
      <c r="F119" s="10"/>
      <c r="G119" s="10"/>
      <c r="H119" s="10"/>
      <c r="I119" s="10" t="str">
        <f>IFERROR(__xludf.DUMMYFUNCTION("""COMPUTED_VALUE"""),"Bound into this weapon is a level 2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2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J119" s="18">
        <f>IFERROR(__xludf.DUMMYFUNCTION("""COMPUTED_VALUE"""),1500.0)</f>
        <v>1500</v>
      </c>
    </row>
    <row r="120">
      <c r="A120" s="8" t="str">
        <f>IFERROR(__xludf.DUMMYFUNCTION("""COMPUTED_VALUE"""),"Frost Brand")</f>
        <v>Frost Brand</v>
      </c>
      <c r="B120" s="8" t="str">
        <f>IFERROR(__xludf.DUMMYFUNCTION("""COMPUTED_VALUE"""),"DMG'24")</f>
        <v>DMG'24</v>
      </c>
      <c r="C120" s="8" t="str">
        <f>IFERROR(__xludf.DUMMYFUNCTION("""COMPUTED_VALUE"""),"very rare")</f>
        <v>very rare</v>
      </c>
      <c r="D120" s="8" t="str">
        <f>IFERROR(__xludf.DUMMYFUNCTION("""COMPUTED_VALUE"""),"Generic Variant")</f>
        <v>Generic Variant</v>
      </c>
      <c r="E120" s="8" t="str">
        <f>IFERROR(__xludf.DUMMYFUNCTION("""COMPUTED_VALUE"""),"requires attunement")</f>
        <v>requires attunement</v>
      </c>
      <c r="F120" s="8"/>
      <c r="G120" s="8"/>
      <c r="H120" s="8"/>
      <c r="I120" s="8" t="str">
        <f>IFERROR(__xludf.DUMMYFUNCTION("""COMPUTED_VALUE"""),"When you hit with an attack roll using this magic weapon, the target takes an extra 1d6 Cold damage. In addition, while you hold the weapon, you have Resistance to Fire damage.In freezing temperatures, the weapon sheds Bright Light in a 10-foot radius and"&amp;" Dim Light for an additional 10 feet.When you draw this weapon, you can extinguish all nonmagical flames within 30 feet of yourself. Once used, this property can't be used again for 1 hour. 
Applied to non-magical Base Equipment.")</f>
        <v>When you hit with an attack roll using this magic weapon, the target takes an extra 1d6 Cold damage. In addition, while you hold the weapon, you have Resistance to Fire damage.In freezing temperatures, the weapon sheds Bright Light in a 10-foot radius and Dim Light for an additional 10 feet.When you draw this weapon, you can extinguish all nonmagical flames within 30 feet of yourself. Once used, this property can't be used again for 1 hour. 
Applied to non-magical Base Equipment.</v>
      </c>
      <c r="J120" s="19">
        <f>IFERROR(__xludf.DUMMYFUNCTION("""COMPUTED_VALUE"""),1500.0)</f>
        <v>1500</v>
      </c>
    </row>
    <row r="121">
      <c r="A121" s="10" t="str">
        <f>IFERROR(__xludf.DUMMYFUNCTION("""COMPUTED_VALUE"""),"+1 Spell Focus")</f>
        <v>+1 Spell Focus</v>
      </c>
      <c r="B121" s="10" t="str">
        <f>IFERROR(__xludf.DUMMYFUNCTION("""COMPUTED_VALUE"""),"Custom rule")</f>
        <v>Custom rule</v>
      </c>
      <c r="C121" s="10" t="str">
        <f>IFERROR(__xludf.DUMMYFUNCTION("""COMPUTED_VALUE"""),"Rare")</f>
        <v>Rare</v>
      </c>
      <c r="D121" s="10" t="str">
        <f>IFERROR(__xludf.DUMMYFUNCTION("""COMPUTED_VALUE"""),"Generic Variant")</f>
        <v>Generic Variant</v>
      </c>
      <c r="E121" s="10"/>
      <c r="F121" s="10"/>
      <c r="G121" s="10"/>
      <c r="H121" s="10"/>
      <c r="I121" s="10" t="str">
        <f>IFERROR(__xludf.DUMMYFUNCTION("""COMPUTED_VALUE"""),"You have a +1 bonus to your spell save DC and to spell attack rolls when using this focus.Available to level 8+")</f>
        <v>You have a +1 bonus to your spell save DC and to spell attack rolls when using this focus.Available to level 8+</v>
      </c>
      <c r="J121" s="18">
        <f>IFERROR(__xludf.DUMMYFUNCTION("""COMPUTED_VALUE"""),1800.0)</f>
        <v>1800</v>
      </c>
    </row>
    <row r="122">
      <c r="A122" s="8" t="str">
        <f>IFERROR(__xludf.DUMMYFUNCTION("""COMPUTED_VALUE"""),"+2 Weapon")</f>
        <v>+2 Weapon</v>
      </c>
      <c r="B122" s="8" t="str">
        <f>IFERROR(__xludf.DUMMYFUNCTION("""COMPUTED_VALUE"""),"Custom rule")</f>
        <v>Custom rule</v>
      </c>
      <c r="C122" s="8" t="str">
        <f>IFERROR(__xludf.DUMMYFUNCTION("""COMPUTED_VALUE"""),"Rare")</f>
        <v>Rare</v>
      </c>
      <c r="D122" s="8" t="str">
        <f>IFERROR(__xludf.DUMMYFUNCTION("""COMPUTED_VALUE"""),"Generic Variant")</f>
        <v>Generic Variant</v>
      </c>
      <c r="E122" s="8"/>
      <c r="F122" s="8"/>
      <c r="G122" s="8"/>
      <c r="H122" s="8"/>
      <c r="I122" s="8" t="str">
        <f>IFERROR(__xludf.DUMMYFUNCTION("""COMPUTED_VALUE"""),"You have a +2 bonus to attack and damage rolls made with this magic weapon. Available to level 8+")</f>
        <v>You have a +2 bonus to attack and damage rolls made with this magic weapon. Available to level 8+</v>
      </c>
      <c r="J122" s="19">
        <f>IFERROR(__xludf.DUMMYFUNCTION("""COMPUTED_VALUE"""),1800.0)</f>
        <v>1800</v>
      </c>
    </row>
    <row r="123">
      <c r="A123" s="10" t="str">
        <f>IFERROR(__xludf.DUMMYFUNCTION("""COMPUTED_VALUE"""),"Vicious Weapon")</f>
        <v>Vicious Weapon</v>
      </c>
      <c r="B123" s="10" t="str">
        <f>IFERROR(__xludf.DUMMYFUNCTION("""COMPUTED_VALUE"""),"DMG'24")</f>
        <v>DMG'24</v>
      </c>
      <c r="C123" s="10" t="str">
        <f>IFERROR(__xludf.DUMMYFUNCTION("""COMPUTED_VALUE"""),"rare")</f>
        <v>rare</v>
      </c>
      <c r="D123" s="10" t="str">
        <f>IFERROR(__xludf.DUMMYFUNCTION("""COMPUTED_VALUE"""),"Generic Variant")</f>
        <v>Generic Variant</v>
      </c>
      <c r="E123" s="10"/>
      <c r="F123" s="10"/>
      <c r="G123" s="10"/>
      <c r="H123" s="10"/>
      <c r="I123" s="10" t="str">
        <f>IFERROR(__xludf.DUMMYFUNCTION("""COMPUTED_VALUE"""),"This magic weapon deals an extra 2d6 damage to any creature it hits. This extra damage is of the same type as the weapon's normal damage. 
Available at level 8+.")</f>
        <v>This magic weapon deals an extra 2d6 damage to any creature it hits. This extra damage is of the same type as the weapon's normal damage. 
Available at level 8+.</v>
      </c>
      <c r="J123" s="18">
        <f>IFERROR(__xludf.DUMMYFUNCTION("""COMPUTED_VALUE"""),1800.0)</f>
        <v>1800</v>
      </c>
    </row>
    <row r="124">
      <c r="A124" s="8" t="str">
        <f>IFERROR(__xludf.DUMMYFUNCTION("""COMPUTED_VALUE"""),"+1 Armor Class")</f>
        <v>+1 Armor Class</v>
      </c>
      <c r="B124" s="8" t="str">
        <f>IFERROR(__xludf.DUMMYFUNCTION("""COMPUTED_VALUE"""),"Custom rule")</f>
        <v>Custom rule</v>
      </c>
      <c r="C124" s="8" t="str">
        <f>IFERROR(__xludf.DUMMYFUNCTION("""COMPUTED_VALUE"""),"Rare")</f>
        <v>Rare</v>
      </c>
      <c r="D124" s="8" t="str">
        <f>IFERROR(__xludf.DUMMYFUNCTION("""COMPUTED_VALUE"""),"Generic Variant")</f>
        <v>Generic Variant</v>
      </c>
      <c r="E124" s="8"/>
      <c r="F124" s="8"/>
      <c r="G124" s="8"/>
      <c r="H124" s="8"/>
      <c r="I124" s="8" t="str">
        <f>IFERROR(__xludf.DUMMYFUNCTION("""COMPUTED_VALUE"""),"You have a +1 bonus to your Armor Class when wearing this armor. Available to level 8+")</f>
        <v>You have a +1 bonus to your Armor Class when wearing this armor. Available to level 8+</v>
      </c>
      <c r="J124" s="19">
        <f>IFERROR(__xludf.DUMMYFUNCTION("""COMPUTED_VALUE"""),2000.0)</f>
        <v>2000</v>
      </c>
    </row>
    <row r="125">
      <c r="A125" s="10" t="str">
        <f>IFERROR(__xludf.DUMMYFUNCTION("""COMPUTED_VALUE"""),"Enspelled Armor (Level 3)")</f>
        <v>Enspelled Armor (Level 3)</v>
      </c>
      <c r="B125" s="10" t="str">
        <f>IFERROR(__xludf.DUMMYFUNCTION("""COMPUTED_VALUE"""),"DMG'24")</f>
        <v>DMG'24</v>
      </c>
      <c r="C125" s="10" t="str">
        <f>IFERROR(__xludf.DUMMYFUNCTION("""COMPUTED_VALUE"""),"rare")</f>
        <v>rare</v>
      </c>
      <c r="D125" s="10" t="str">
        <f>IFERROR(__xludf.DUMMYFUNCTION("""COMPUTED_VALUE"""),"Generic Variant")</f>
        <v>Generic Variant</v>
      </c>
      <c r="E125" s="10" t="str">
        <f>IFERROR(__xludf.DUMMYFUNCTION("""COMPUTED_VALUE"""),"requires attunement")</f>
        <v>requires attunement</v>
      </c>
      <c r="F125" s="10"/>
      <c r="G125" s="10"/>
      <c r="H125" s="10"/>
      <c r="I125" s="10" t="str">
        <f>IFERROR(__xludf.DUMMYFUNCTION("""COMPUTED_VALUE"""),"Bound into this armor is a level 3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15, and its attack bonus is +7. 
Applied to non-magical Base Equipment.")</f>
        <v>Bound into this armor is a level 3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15, and its attack bonus is +7. 
Applied to non-magical Base Equipment.</v>
      </c>
      <c r="J125" s="18">
        <f>IFERROR(__xludf.DUMMYFUNCTION("""COMPUTED_VALUE"""),2150.0)</f>
        <v>2150</v>
      </c>
    </row>
    <row r="126">
      <c r="A126" s="8" t="str">
        <f>IFERROR(__xludf.DUMMYFUNCTION("""COMPUTED_VALUE"""),"Enspelled Weapon (Level 3)")</f>
        <v>Enspelled Weapon (Level 3)</v>
      </c>
      <c r="B126" s="8" t="str">
        <f>IFERROR(__xludf.DUMMYFUNCTION("""COMPUTED_VALUE"""),"DMG'24")</f>
        <v>DMG'24</v>
      </c>
      <c r="C126" s="8" t="str">
        <f>IFERROR(__xludf.DUMMYFUNCTION("""COMPUTED_VALUE"""),"rare")</f>
        <v>rare</v>
      </c>
      <c r="D126" s="8" t="str">
        <f>IFERROR(__xludf.DUMMYFUNCTION("""COMPUTED_VALUE"""),"Generic Variant")</f>
        <v>Generic Variant</v>
      </c>
      <c r="E126" s="8" t="str">
        <f>IFERROR(__xludf.DUMMYFUNCTION("""COMPUTED_VALUE"""),"requires attunement")</f>
        <v>requires attunement</v>
      </c>
      <c r="F126" s="8"/>
      <c r="G126" s="8"/>
      <c r="H126" s="8"/>
      <c r="I126" s="8" t="str">
        <f>IFERROR(__xludf.DUMMYFUNCTION("""COMPUTED_VALUE"""),"Bound into this weapon is a level 3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15, and its attack bonus is +7. 
Applied to non-magical Base Equipment.")</f>
        <v>Bound into this weapon is a level 3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15, and its attack bonus is +7. 
Applied to non-magical Base Equipment.</v>
      </c>
      <c r="J126" s="19">
        <f>IFERROR(__xludf.DUMMYFUNCTION("""COMPUTED_VALUE"""),2150.0)</f>
        <v>2150</v>
      </c>
    </row>
    <row r="127">
      <c r="A127" s="10" t="str">
        <f>IFERROR(__xludf.DUMMYFUNCTION("""COMPUTED_VALUE"""),"Oathbow")</f>
        <v>Oathbow</v>
      </c>
      <c r="B127" s="10" t="str">
        <f>IFERROR(__xludf.DUMMYFUNCTION("""COMPUTED_VALUE"""),"DMG'24")</f>
        <v>DMG'24</v>
      </c>
      <c r="C127" s="10" t="str">
        <f>IFERROR(__xludf.DUMMYFUNCTION("""COMPUTED_VALUE"""),"very rare")</f>
        <v>very rare</v>
      </c>
      <c r="D127" s="10" t="str">
        <f>IFERROR(__xludf.DUMMYFUNCTION("""COMPUTED_VALUE"""),"Generic Variant")</f>
        <v>Generic Variant</v>
      </c>
      <c r="E127" s="10" t="str">
        <f>IFERROR(__xludf.DUMMYFUNCTION("""COMPUTED_VALUE"""),"requires attunement")</f>
        <v>requires attunement</v>
      </c>
      <c r="F127" s="10"/>
      <c r="G127" s="10"/>
      <c r="H127" s="10"/>
      <c r="I127" s="10" t="str">
        <f>IFERROR(__xludf.DUMMYFUNCTION("""COMPUTED_VALUE"""),"When you nock an arrow on this bow, it whispers in Elvish, ""Swift defeat to my enemies."" When you use this weapon to make a ranged attack, you can utter or sign the following command words: ""Swift death to you who have wronged me."" The target of your "&amp;"attack becomes your sworn enemy until it dies or until dawn 7 days later. You can have only one such sworn enemy at a time. When your sworn enemy dies, you can choose a new one after the next dawn. When you make a ranged attack roll with this weapon again"&amp;"st your sworn enemy, you have Advantage on the roll. In addition, your target gains no benefit from Half Cover or Three-Quarters Cover, and you suffer no Disadvantage due to long range. If the attack hits, your sworn enemy takes an extra 3d6 Piercing dama"&amp;"ge. While your sworn enemy lives, you have Disadvantage on attack rolls with all other weapons. 
Applied to non-magical Base Equipment.")</f>
        <v>When you nock an arrow on this bow, it whispers in Elvish, "Swift defeat to my enemies." When you use this weapon to make a ranged attack, you can utter or sign the following command words: "Swift death to you who have wronged me." The target of your attack becomes your sworn enemy until it dies or until dawn 7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Half Cover or Three-Quarters Cover, and you suffer no Disadvantage due to long range. If the attack hits, your sworn enemy takes an extra 3d6 Piercing damage. While your sworn enemy lives, you have Disadvantage on attack rolls with all other weapons. 
Applied to non-magical Base Equipment.</v>
      </c>
      <c r="J127" s="18">
        <f>IFERROR(__xludf.DUMMYFUNCTION("""COMPUTED_VALUE"""),2150.0)</f>
        <v>2150</v>
      </c>
    </row>
    <row r="128">
      <c r="A128" s="8" t="str">
        <f>IFERROR(__xludf.DUMMYFUNCTION("""COMPUTED_VALUE"""),"Intensive Training")</f>
        <v>Intensive Training</v>
      </c>
      <c r="B128" s="8" t="str">
        <f>IFERROR(__xludf.DUMMYFUNCTION("""COMPUTED_VALUE"""),"Custom rule")</f>
        <v>Custom rule</v>
      </c>
      <c r="C128" s="8" t="str">
        <f>IFERROR(__xludf.DUMMYFUNCTION("""COMPUTED_VALUE"""),"legendary")</f>
        <v>legendary</v>
      </c>
      <c r="D128" s="8" t="str">
        <f>IFERROR(__xludf.DUMMYFUNCTION("""COMPUTED_VALUE"""),"Generic Variant")</f>
        <v>Generic Variant</v>
      </c>
      <c r="E128" s="8"/>
      <c r="F128" s="8"/>
      <c r="G128" s="8"/>
      <c r="H128" s="8"/>
      <c r="I128" s="8" t="str">
        <f>IFERROR(__xludf.DUMMYFUNCTION("""COMPUTED_VALUE"""),"Gain an additional feat for which you qualify. You can purchase this a maximum of three times.")</f>
        <v>Gain an additional feat for which you qualify. You can purchase this a maximum of three times.</v>
      </c>
      <c r="J128" s="19">
        <f>IFERROR(__xludf.DUMMYFUNCTION("""COMPUTED_VALUE"""),2500.0)</f>
        <v>2500</v>
      </c>
    </row>
    <row r="129">
      <c r="A129" s="12"/>
      <c r="B129" s="12"/>
      <c r="C129" s="12"/>
      <c r="D129" s="12"/>
      <c r="E129" s="12"/>
      <c r="F129" s="12"/>
      <c r="G129" s="12"/>
      <c r="H129" s="12"/>
      <c r="I129" s="12"/>
      <c r="J129" s="21"/>
    </row>
    <row r="130">
      <c r="A130" s="6" t="s">
        <v>36</v>
      </c>
      <c r="J130" s="22"/>
    </row>
    <row r="131">
      <c r="A131" s="8" t="str">
        <f>IFERROR(__xludf.DUMMYFUNCTION("FILTER(MasterList_Hidden!A:J,Search(A130,MasterList_Hidden!K:K),MasterList_Hidden!J:J&lt;&gt;""Free to Guild Adventurers with Item Proficiency"",MasterList_Hidden!J:J&lt;&gt;""Free to Guild Adventurers in Good Standing"",MasterList_Hidden!J:J&lt;&gt;""Artificer Replicate M"&amp;"agic Item Only"")"),"Adventurer's Ring")</f>
        <v>Adventurer's Ring</v>
      </c>
      <c r="B131" s="8" t="str">
        <f>IFERROR(__xludf.DUMMYFUNCTION("""COMPUTED_VALUE"""),"FRHoF")</f>
        <v>FRHoF</v>
      </c>
      <c r="C131" s="8" t="str">
        <f>IFERROR(__xludf.DUMMYFUNCTION("""COMPUTED_VALUE"""),"common")</f>
        <v>common</v>
      </c>
      <c r="D131" s="8" t="str">
        <f>IFERROR(__xludf.DUMMYFUNCTION("""COMPUTED_VALUE"""),"Ring")</f>
        <v>Ring</v>
      </c>
      <c r="E131" s="8"/>
      <c r="F131" s="8"/>
      <c r="G131" s="8"/>
      <c r="H131" s="8"/>
      <c r="I131" s="8" t="str">
        <f>IFERROR(__xludf.DUMMYFUNCTION("""COMPUTED_VALUE"""),"While the cover on this ring is open, the ring produces a flame that creates no heat and consumes no fuel. It sheds Bright Light in a 20-foot radius and Dim Light for an additional 20 feet. As a Bonus Action, you can close the cover, smothering the flame,"&amp;" or open it again.")</f>
        <v>While the cover on this ring is open, the ring produces a flame that creates no heat and consumes no fuel. It sheds Bright Light in a 20-foot radius and Dim Light for an additional 20 feet. As a Bonus Action, you can close the cover, smothering the flame, or open it again.</v>
      </c>
      <c r="J131" s="19">
        <f>IFERROR(__xludf.DUMMYFUNCTION("""COMPUTED_VALUE"""),50.0)</f>
        <v>50</v>
      </c>
    </row>
    <row r="132">
      <c r="A132" s="10" t="str">
        <f>IFERROR(__xludf.DUMMYFUNCTION("""COMPUTED_VALUE"""),"Ring of the Orator")</f>
        <v>Ring of the Orator</v>
      </c>
      <c r="B132" s="10" t="str">
        <f>IFERROR(__xludf.DUMMYFUNCTION("""COMPUTED_VALUE"""),"PaBTSO")</f>
        <v>PaBTSO</v>
      </c>
      <c r="C132" s="10" t="str">
        <f>IFERROR(__xludf.DUMMYFUNCTION("""COMPUTED_VALUE"""),"uncommon")</f>
        <v>uncommon</v>
      </c>
      <c r="D132" s="10" t="str">
        <f>IFERROR(__xludf.DUMMYFUNCTION("""COMPUTED_VALUE"""),"Ring")</f>
        <v>Ring</v>
      </c>
      <c r="E132" s="10" t="str">
        <f>IFERROR(__xludf.DUMMYFUNCTION("""COMPUTED_VALUE"""),"requires attunement")</f>
        <v>requires attunement</v>
      </c>
      <c r="F132" s="10"/>
      <c r="G132" s="10"/>
      <c r="H132" s="10"/>
      <c r="I132" s="10" t="str">
        <f>IFERROR(__xludf.DUMMYFUNCTION("""COMPUTED_VALUE"""),"This ring has 6 charges. While you wear it, you can expend 1 of its charges to project your voice to be heard clearly by all creatures within 1 mile of yourself, regardless of intervening noise, for 1 minute. Magical silence, 1 foot of stone, 1 inch of co"&amp;"mmon metal, a thin sheet of lead, or 3 feet of wood blocks this projection. If you project your voice while speaking a language the listening creatures don't understand, you can make the creatures understand what you're saying. You must be able to see the"&amp;" creatures to make them understand. The ring regains 1d6 expended charges daily at dawn.")</f>
        <v>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v>
      </c>
      <c r="J132" s="18">
        <f>IFERROR(__xludf.DUMMYFUNCTION("""COMPUTED_VALUE"""),250.0)</f>
        <v>250</v>
      </c>
    </row>
    <row r="133">
      <c r="A133" s="8" t="str">
        <f>IFERROR(__xludf.DUMMYFUNCTION("""COMPUTED_VALUE"""),"Ring of Truth Telling")</f>
        <v>Ring of Truth Telling</v>
      </c>
      <c r="B133" s="8" t="str">
        <f>IFERROR(__xludf.DUMMYFUNCTION("""COMPUTED_VALUE"""),"WDH")</f>
        <v>WDH</v>
      </c>
      <c r="C133" s="8" t="str">
        <f>IFERROR(__xludf.DUMMYFUNCTION("""COMPUTED_VALUE"""),"uncommon")</f>
        <v>uncommon</v>
      </c>
      <c r="D133" s="8" t="str">
        <f>IFERROR(__xludf.DUMMYFUNCTION("""COMPUTED_VALUE"""),"Ring")</f>
        <v>Ring</v>
      </c>
      <c r="E133" s="8" t="str">
        <f>IFERROR(__xludf.DUMMYFUNCTION("""COMPUTED_VALUE"""),"requires attunement")</f>
        <v>requires attunement</v>
      </c>
      <c r="F133" s="8"/>
      <c r="G133" s="8"/>
      <c r="H133" s="8"/>
      <c r="I133" s="8" t="str">
        <f>IFERROR(__xludf.DUMMYFUNCTION("""COMPUTED_VALUE"""),"While wearing this ring, you have advantage on Wisdom (Insight) checks to determine whether someone is lying to you.")</f>
        <v>While wearing this ring, you have advantage on Wisdom (Insight) checks to determine whether someone is lying to you.</v>
      </c>
      <c r="J133" s="19">
        <f>IFERROR(__xludf.DUMMYFUNCTION("""COMPUTED_VALUE"""),350.0)</f>
        <v>350</v>
      </c>
    </row>
    <row r="134">
      <c r="A134" s="10" t="str">
        <f>IFERROR(__xludf.DUMMYFUNCTION("""COMPUTED_VALUE"""),"Ring of Jumping")</f>
        <v>Ring of Jumping</v>
      </c>
      <c r="B134" s="10" t="str">
        <f>IFERROR(__xludf.DUMMYFUNCTION("""COMPUTED_VALUE"""),"DMG'24")</f>
        <v>DMG'24</v>
      </c>
      <c r="C134" s="10" t="str">
        <f>IFERROR(__xludf.DUMMYFUNCTION("""COMPUTED_VALUE"""),"uncommon")</f>
        <v>uncommon</v>
      </c>
      <c r="D134" s="10" t="str">
        <f>IFERROR(__xludf.DUMMYFUNCTION("""COMPUTED_VALUE"""),"Ring")</f>
        <v>Ring</v>
      </c>
      <c r="E134" s="10" t="str">
        <f>IFERROR(__xludf.DUMMYFUNCTION("""COMPUTED_VALUE"""),"requires attunement")</f>
        <v>requires attunement</v>
      </c>
      <c r="F134" s="10"/>
      <c r="G134" s="10"/>
      <c r="H134" s="10"/>
      <c r="I134" s="10" t="str">
        <f>IFERROR(__xludf.DUMMYFUNCTION("""COMPUTED_VALUE"""),"While wearing this ring, you can cast Jump from it, but can target only yourself when you do so.")</f>
        <v>While wearing this ring, you can cast Jump from it, but can target only yourself when you do so.</v>
      </c>
      <c r="J134" s="18">
        <f>IFERROR(__xludf.DUMMYFUNCTION("""COMPUTED_VALUE"""),400.0)</f>
        <v>400</v>
      </c>
    </row>
    <row r="135">
      <c r="A135" s="8" t="str">
        <f>IFERROR(__xludf.DUMMYFUNCTION("""COMPUTED_VALUE"""),"Ring of Puzzler's Wit")</f>
        <v>Ring of Puzzler's Wit</v>
      </c>
      <c r="B135" s="8" t="str">
        <f>IFERROR(__xludf.DUMMYFUNCTION("""COMPUTED_VALUE"""),"BMT")</f>
        <v>BMT</v>
      </c>
      <c r="C135" s="8" t="str">
        <f>IFERROR(__xludf.DUMMYFUNCTION("""COMPUTED_VALUE"""),"uncommon")</f>
        <v>uncommon</v>
      </c>
      <c r="D135" s="8" t="str">
        <f>IFERROR(__xludf.DUMMYFUNCTION("""COMPUTED_VALUE"""),"Ring")</f>
        <v>Ring</v>
      </c>
      <c r="E135" s="8"/>
      <c r="F135" s="8"/>
      <c r="G135" s="8"/>
      <c r="H135" s="8"/>
      <c r="I135" s="8" t="str">
        <f>IFERROR(__xludf.DUMMYFUNCTION("""COMPUTED_VALUE"""),"This gold ring bears a fluorite stone and is enchanted to sharpen the wearer's mind.The ring has 3 charges and regains 1d4 - 1 expended charges daily at dawn. When you make an Intelligence check, you can expend 1 charge to grant yourself advantage on the "&amp;"check.")</f>
        <v>This gold ring bears a fluorite stone and is enchanted to sharpen the wearer's mind.The ring has 3 charges and regains 1d4 - 1 expended charges daily at dawn. When you make an Intelligence check, you can expend 1 charge to grant yourself advantage on the check.</v>
      </c>
      <c r="J135" s="19">
        <f>IFERROR(__xludf.DUMMYFUNCTION("""COMPUTED_VALUE"""),550.0)</f>
        <v>550</v>
      </c>
    </row>
    <row r="136">
      <c r="A136" s="10" t="str">
        <f>IFERROR(__xludf.DUMMYFUNCTION("""COMPUTED_VALUE"""),"Ring of Water Walking")</f>
        <v>Ring of Water Walking</v>
      </c>
      <c r="B136" s="10" t="str">
        <f>IFERROR(__xludf.DUMMYFUNCTION("""COMPUTED_VALUE"""),"DMG'24")</f>
        <v>DMG'24</v>
      </c>
      <c r="C136" s="10" t="str">
        <f>IFERROR(__xludf.DUMMYFUNCTION("""COMPUTED_VALUE"""),"uncommon")</f>
        <v>uncommon</v>
      </c>
      <c r="D136" s="10" t="str">
        <f>IFERROR(__xludf.DUMMYFUNCTION("""COMPUTED_VALUE"""),"Ring")</f>
        <v>Ring</v>
      </c>
      <c r="E136" s="10"/>
      <c r="F136" s="10"/>
      <c r="G136" s="10"/>
      <c r="H136" s="10"/>
      <c r="I136" s="10" t="str">
        <f>IFERROR(__xludf.DUMMYFUNCTION("""COMPUTED_VALUE"""),"While wearing this ring, you cast Water Walk from it, targeting only yourself.")</f>
        <v>While wearing this ring, you cast Water Walk from it, targeting only yourself.</v>
      </c>
      <c r="J136" s="18">
        <f>IFERROR(__xludf.DUMMYFUNCTION("""COMPUTED_VALUE"""),550.0)</f>
        <v>550</v>
      </c>
    </row>
    <row r="137">
      <c r="A137" s="8" t="str">
        <f>IFERROR(__xludf.DUMMYFUNCTION("""COMPUTED_VALUE"""),"Ring of the Ram")</f>
        <v>Ring of the Ram</v>
      </c>
      <c r="B137" s="8" t="str">
        <f>IFERROR(__xludf.DUMMYFUNCTION("""COMPUTED_VALUE"""),"DMG'24")</f>
        <v>DMG'24</v>
      </c>
      <c r="C137" s="8" t="str">
        <f>IFERROR(__xludf.DUMMYFUNCTION("""COMPUTED_VALUE"""),"rare")</f>
        <v>rare</v>
      </c>
      <c r="D137" s="8" t="str">
        <f>IFERROR(__xludf.DUMMYFUNCTION("""COMPUTED_VALUE"""),"Ring")</f>
        <v>Ring</v>
      </c>
      <c r="E137" s="8" t="str">
        <f>IFERROR(__xludf.DUMMYFUNCTION("""COMPUTED_VALUE"""),"requires attunement")</f>
        <v>requires attunement</v>
      </c>
      <c r="F137" s="8"/>
      <c r="G137" s="8"/>
      <c r="H137" s="8"/>
      <c r="I137" s="8" t="str">
        <f>IFERROR(__xludf.DUMMYFUNCTION("""COMPUTED_VALUE"""),"This ring has 3 charges and regains 1d3 expended charges daily at dawn. While wearing the ring, you can take a Magic action to expend 1 to 3 charges to make a ranged spell attack against one creature you can see within 60 feet of yourself. The ring produc"&amp;"es a spectral ram's head and makes its attack roll with a +7 bonus. On a hit, for each charge you spend, the target takes 2d10 Force damage and is pushed 5 feet away from you.Alternatively, you can expend 1 to 3 of the ring's charges as a Magic action to "&amp;"try to break a nonmagical object you can see within 60 feet of yourself that isn't being worn or carried. The ring makes a Strength check with a +5 bonus for each charge you spend.")</f>
        <v>This ring has 3 charges and regains 1d3 expended charges daily at dawn. While wearing the ring, you can take a Magic action to expend 1 to 3 charges to make a ranged spell attack against one creature you can see within 60 feet of yourself. The ring produces a spectral ram's head and makes its attack roll with a +7 bonus. On a hit, for each charge you spend, the target takes 2d10 Force damage and is pushed 5 feet away from you.Alternatively, you can expend 1 to 3 of the ring's charges as a Magic action to try to break a nonmagical object you can see within 60 feet of yourself that isn't being worn or carried. The ring makes a Strength check with a +5 bonus for each charge you spend.</v>
      </c>
      <c r="J137" s="19">
        <f>IFERROR(__xludf.DUMMYFUNCTION("""COMPUTED_VALUE"""),750.0)</f>
        <v>750</v>
      </c>
    </row>
    <row r="138">
      <c r="A138" s="10" t="str">
        <f>IFERROR(__xludf.DUMMYFUNCTION("""COMPUTED_VALUE"""),"Ring of X-ray Vision")</f>
        <v>Ring of X-ray Vision</v>
      </c>
      <c r="B138" s="10" t="str">
        <f>IFERROR(__xludf.DUMMYFUNCTION("""COMPUTED_VALUE"""),"DMG'24")</f>
        <v>DMG'24</v>
      </c>
      <c r="C138" s="10" t="str">
        <f>IFERROR(__xludf.DUMMYFUNCTION("""COMPUTED_VALUE"""),"rare")</f>
        <v>rare</v>
      </c>
      <c r="D138" s="10" t="str">
        <f>IFERROR(__xludf.DUMMYFUNCTION("""COMPUTED_VALUE"""),"Ring")</f>
        <v>Ring</v>
      </c>
      <c r="E138" s="10" t="str">
        <f>IFERROR(__xludf.DUMMYFUNCTION("""COMPUTED_VALUE"""),"requires attunement")</f>
        <v>requires attunement</v>
      </c>
      <c r="F138" s="10"/>
      <c r="G138" s="10"/>
      <c r="H138" s="10"/>
      <c r="I138" s="10" t="str">
        <f>IFERROR(__xludf.DUMMYFUNCTION("""COMPUTED_VALUE"""),"While wearing this ring, you can take a Magic action to gain X-ray vision with a range of 30 feet for 1 minute. To you, solid objects within that radius appear transparent and don't prevent light from passing through them. The vision can penetrate 1 foot "&amp;"of stone, 1 inch of common metal, or up to 3 feet of wood or dirt. Thicker substances or a thin sheet of lead block the vision.Whenever you use the ring again before taking a Long Rest, you must succeed on a DC 15 Constitution saving throw or gain 1 Exhau"&amp;"stion level.")</f>
        <v>While wearing this ring, you can take a Magic action to gain X-ray vision with a range of 30 feet for 1 minute. To you, solid objects within that radius appear transparent and don't prevent light from passing through them. The vision can penetrate 1 foot of stone, 1 inch of common metal, or up to 3 feet of wood or dirt. Thicker substances or a thin sheet of lead block the vision.Whenever you use the ring again before taking a Long Rest, you must succeed on a DC 15 Constitution saving throw or gain 1 Exhaustion level.</v>
      </c>
      <c r="J138" s="18">
        <f>IFERROR(__xludf.DUMMYFUNCTION("""COMPUTED_VALUE"""),750.0)</f>
        <v>750</v>
      </c>
    </row>
    <row r="139">
      <c r="A139" s="8" t="str">
        <f>IFERROR(__xludf.DUMMYFUNCTION("""COMPUTED_VALUE"""),"Ring of Feather Falling")</f>
        <v>Ring of Feather Falling</v>
      </c>
      <c r="B139" s="8" t="str">
        <f>IFERROR(__xludf.DUMMYFUNCTION("""COMPUTED_VALUE"""),"DMG'24")</f>
        <v>DMG'24</v>
      </c>
      <c r="C139" s="8" t="str">
        <f>IFERROR(__xludf.DUMMYFUNCTION("""COMPUTED_VALUE"""),"rare")</f>
        <v>rare</v>
      </c>
      <c r="D139" s="8" t="str">
        <f>IFERROR(__xludf.DUMMYFUNCTION("""COMPUTED_VALUE"""),"Ring")</f>
        <v>Ring</v>
      </c>
      <c r="E139" s="8" t="str">
        <f>IFERROR(__xludf.DUMMYFUNCTION("""COMPUTED_VALUE"""),"requires attunement")</f>
        <v>requires attunement</v>
      </c>
      <c r="F139" s="8"/>
      <c r="G139" s="8"/>
      <c r="H139" s="8"/>
      <c r="I139" s="8" t="str">
        <f>IFERROR(__xludf.DUMMYFUNCTION("""COMPUTED_VALUE"""),"When you fall while wearing this ring, you descend 60 feet per round and take no damage from falling.")</f>
        <v>When you fall while wearing this ring, you descend 60 feet per round and take no damage from falling.</v>
      </c>
      <c r="J139" s="19">
        <f>IFERROR(__xludf.DUMMYFUNCTION("""COMPUTED_VALUE"""),800.0)</f>
        <v>800</v>
      </c>
    </row>
    <row r="140">
      <c r="A140" s="10" t="str">
        <f>IFERROR(__xludf.DUMMYFUNCTION("""COMPUTED_VALUE"""),"Ring of Poison Resistance")</f>
        <v>Ring of Poison Resistance</v>
      </c>
      <c r="B140" s="10" t="str">
        <f>IFERROR(__xludf.DUMMYFUNCTION("""COMPUTED_VALUE"""),"DMG'24")</f>
        <v>DMG'24</v>
      </c>
      <c r="C140" s="10" t="str">
        <f>IFERROR(__xludf.DUMMYFUNCTION("""COMPUTED_VALUE"""),"rare")</f>
        <v>rare</v>
      </c>
      <c r="D140" s="10" t="str">
        <f>IFERROR(__xludf.DUMMYFUNCTION("""COMPUTED_VALUE"""),"Ring")</f>
        <v>Ring</v>
      </c>
      <c r="E140" s="10"/>
      <c r="F140" s="10"/>
      <c r="G140" s="10"/>
      <c r="H140" s="10"/>
      <c r="I140" s="10" t="str">
        <f>IFERROR(__xludf.DUMMYFUNCTION("""COMPUTED_VALUE"""),"You have Resistance to Poison damage while wearing this ring. The ring is set with amethyst.")</f>
        <v>You have Resistance to Poison damage while wearing this ring. The ring is set with amethyst.</v>
      </c>
      <c r="J140" s="18">
        <f>IFERROR(__xludf.DUMMYFUNCTION("""COMPUTED_VALUE"""),800.0)</f>
        <v>800</v>
      </c>
    </row>
    <row r="141">
      <c r="A141" s="8" t="str">
        <f>IFERROR(__xludf.DUMMYFUNCTION("""COMPUTED_VALUE"""),"Ring of Free Action")</f>
        <v>Ring of Free Action</v>
      </c>
      <c r="B141" s="8" t="str">
        <f>IFERROR(__xludf.DUMMYFUNCTION("""COMPUTED_VALUE"""),"DMG'24")</f>
        <v>DMG'24</v>
      </c>
      <c r="C141" s="8" t="str">
        <f>IFERROR(__xludf.DUMMYFUNCTION("""COMPUTED_VALUE"""),"rare")</f>
        <v>rare</v>
      </c>
      <c r="D141" s="8" t="str">
        <f>IFERROR(__xludf.DUMMYFUNCTION("""COMPUTED_VALUE"""),"Ring")</f>
        <v>Ring</v>
      </c>
      <c r="E141" s="8" t="str">
        <f>IFERROR(__xludf.DUMMYFUNCTION("""COMPUTED_VALUE"""),"requires attunement")</f>
        <v>requires attunement</v>
      </c>
      <c r="F141" s="8"/>
      <c r="G141" s="8"/>
      <c r="H141" s="8"/>
      <c r="I141" s="8" t="str">
        <f>IFERROR(__xludf.DUMMYFUNCTION("""COMPUTED_VALUE"""),"While you wear this ring, Difficult Terrain doesn't cost you extra movement. In addition, magic can neither reduce any of your Speeds nor cause you to have the Paralyzed or Restrained condition.")</f>
        <v>While you wear this ring, Difficult Terrain doesn't cost you extra movement. In addition, magic can neither reduce any of your Speeds nor cause you to have the Paralyzed or Restrained condition.</v>
      </c>
      <c r="J141" s="19">
        <f>IFERROR(__xludf.DUMMYFUNCTION("""COMPUTED_VALUE"""),950.0)</f>
        <v>950</v>
      </c>
    </row>
    <row r="142">
      <c r="A142" s="10" t="str">
        <f>IFERROR(__xludf.DUMMYFUNCTION("""COMPUTED_VALUE"""),"Ring of Acid Resistance")</f>
        <v>Ring of Acid Resistance</v>
      </c>
      <c r="B142" s="10" t="str">
        <f>IFERROR(__xludf.DUMMYFUNCTION("""COMPUTED_VALUE"""),"DMG'24")</f>
        <v>DMG'24</v>
      </c>
      <c r="C142" s="10" t="str">
        <f>IFERROR(__xludf.DUMMYFUNCTION("""COMPUTED_VALUE"""),"rare")</f>
        <v>rare</v>
      </c>
      <c r="D142" s="10" t="str">
        <f>IFERROR(__xludf.DUMMYFUNCTION("""COMPUTED_VALUE"""),"Ring")</f>
        <v>Ring</v>
      </c>
      <c r="E142" s="10"/>
      <c r="F142" s="10"/>
      <c r="G142" s="10"/>
      <c r="H142" s="10"/>
      <c r="I142" s="10" t="str">
        <f>IFERROR(__xludf.DUMMYFUNCTION("""COMPUTED_VALUE"""),"You have Resistance to Acid damage while wearing this ring. The ring is set with pearl.")</f>
        <v>You have Resistance to Acid damage while wearing this ring. The ring is set with pearl.</v>
      </c>
      <c r="J142" s="18">
        <f>IFERROR(__xludf.DUMMYFUNCTION("""COMPUTED_VALUE"""),1000.0)</f>
        <v>1000</v>
      </c>
    </row>
    <row r="143">
      <c r="A143" s="8" t="str">
        <f>IFERROR(__xludf.DUMMYFUNCTION("""COMPUTED_VALUE"""),"Ring of Cold Resistance")</f>
        <v>Ring of Cold Resistance</v>
      </c>
      <c r="B143" s="8" t="str">
        <f>IFERROR(__xludf.DUMMYFUNCTION("""COMPUTED_VALUE"""),"DMG'24")</f>
        <v>DMG'24</v>
      </c>
      <c r="C143" s="8" t="str">
        <f>IFERROR(__xludf.DUMMYFUNCTION("""COMPUTED_VALUE"""),"rare")</f>
        <v>rare</v>
      </c>
      <c r="D143" s="8" t="str">
        <f>IFERROR(__xludf.DUMMYFUNCTION("""COMPUTED_VALUE"""),"Ring")</f>
        <v>Ring</v>
      </c>
      <c r="E143" s="8"/>
      <c r="F143" s="8"/>
      <c r="G143" s="8"/>
      <c r="H143" s="8"/>
      <c r="I143" s="8" t="str">
        <f>IFERROR(__xludf.DUMMYFUNCTION("""COMPUTED_VALUE"""),"You have Resistance to Cold damage while wearing this ring. The ring is set with tourmaline.")</f>
        <v>You have Resistance to Cold damage while wearing this ring. The ring is set with tourmaline.</v>
      </c>
      <c r="J143" s="19">
        <f>IFERROR(__xludf.DUMMYFUNCTION("""COMPUTED_VALUE"""),1000.0)</f>
        <v>1000</v>
      </c>
    </row>
    <row r="144">
      <c r="A144" s="10" t="str">
        <f>IFERROR(__xludf.DUMMYFUNCTION("""COMPUTED_VALUE"""),"Ring of Fire Resistance")</f>
        <v>Ring of Fire Resistance</v>
      </c>
      <c r="B144" s="10" t="str">
        <f>IFERROR(__xludf.DUMMYFUNCTION("""COMPUTED_VALUE"""),"DMG'24")</f>
        <v>DMG'24</v>
      </c>
      <c r="C144" s="10" t="str">
        <f>IFERROR(__xludf.DUMMYFUNCTION("""COMPUTED_VALUE"""),"rare")</f>
        <v>rare</v>
      </c>
      <c r="D144" s="10" t="str">
        <f>IFERROR(__xludf.DUMMYFUNCTION("""COMPUTED_VALUE"""),"Ring")</f>
        <v>Ring</v>
      </c>
      <c r="E144" s="10"/>
      <c r="F144" s="10"/>
      <c r="G144" s="10"/>
      <c r="H144" s="10"/>
      <c r="I144" s="10" t="str">
        <f>IFERROR(__xludf.DUMMYFUNCTION("""COMPUTED_VALUE"""),"You have Resistance to Fire damage while wearing this ring. The ring is set with garnet.")</f>
        <v>You have Resistance to Fire damage while wearing this ring. The ring is set with garnet.</v>
      </c>
      <c r="J144" s="18">
        <f>IFERROR(__xludf.DUMMYFUNCTION("""COMPUTED_VALUE"""),1000.0)</f>
        <v>1000</v>
      </c>
    </row>
    <row r="145">
      <c r="A145" s="8" t="str">
        <f>IFERROR(__xludf.DUMMYFUNCTION("""COMPUTED_VALUE"""),"Ring of Lightning Resistance")</f>
        <v>Ring of Lightning Resistance</v>
      </c>
      <c r="B145" s="8" t="str">
        <f>IFERROR(__xludf.DUMMYFUNCTION("""COMPUTED_VALUE"""),"DMG'24")</f>
        <v>DMG'24</v>
      </c>
      <c r="C145" s="8" t="str">
        <f>IFERROR(__xludf.DUMMYFUNCTION("""COMPUTED_VALUE"""),"rare")</f>
        <v>rare</v>
      </c>
      <c r="D145" s="8" t="str">
        <f>IFERROR(__xludf.DUMMYFUNCTION("""COMPUTED_VALUE"""),"Ring")</f>
        <v>Ring</v>
      </c>
      <c r="E145" s="8"/>
      <c r="F145" s="8"/>
      <c r="G145" s="8"/>
      <c r="H145" s="8"/>
      <c r="I145" s="8" t="str">
        <f>IFERROR(__xludf.DUMMYFUNCTION("""COMPUTED_VALUE"""),"You have Resistance to Lightning damage while wearing this ring. The ring is set with citrine.")</f>
        <v>You have Resistance to Lightning damage while wearing this ring. The ring is set with citrine.</v>
      </c>
      <c r="J145" s="19">
        <f>IFERROR(__xludf.DUMMYFUNCTION("""COMPUTED_VALUE"""),1000.0)</f>
        <v>1000</v>
      </c>
    </row>
    <row r="146">
      <c r="A146" s="10" t="str">
        <f>IFERROR(__xludf.DUMMYFUNCTION("""COMPUTED_VALUE"""),"Ring of Necrotic Resistance")</f>
        <v>Ring of Necrotic Resistance</v>
      </c>
      <c r="B146" s="10" t="str">
        <f>IFERROR(__xludf.DUMMYFUNCTION("""COMPUTED_VALUE"""),"DMG'24")</f>
        <v>DMG'24</v>
      </c>
      <c r="C146" s="10" t="str">
        <f>IFERROR(__xludf.DUMMYFUNCTION("""COMPUTED_VALUE"""),"rare")</f>
        <v>rare</v>
      </c>
      <c r="D146" s="10" t="str">
        <f>IFERROR(__xludf.DUMMYFUNCTION("""COMPUTED_VALUE"""),"Ring")</f>
        <v>Ring</v>
      </c>
      <c r="E146" s="10"/>
      <c r="F146" s="10"/>
      <c r="G146" s="10"/>
      <c r="H146" s="10"/>
      <c r="I146" s="10" t="str">
        <f>IFERROR(__xludf.DUMMYFUNCTION("""COMPUTED_VALUE"""),"You have Resistance to Necrotic damage while wearing this ring. The ring is set with jet.")</f>
        <v>You have Resistance to Necrotic damage while wearing this ring. The ring is set with jet.</v>
      </c>
      <c r="J146" s="18">
        <f>IFERROR(__xludf.DUMMYFUNCTION("""COMPUTED_VALUE"""),1000.0)</f>
        <v>1000</v>
      </c>
    </row>
    <row r="147">
      <c r="A147" s="8" t="str">
        <f>IFERROR(__xludf.DUMMYFUNCTION("""COMPUTED_VALUE"""),"Ring of Protection")</f>
        <v>Ring of Protection</v>
      </c>
      <c r="B147" s="8" t="str">
        <f>IFERROR(__xludf.DUMMYFUNCTION("""COMPUTED_VALUE"""),"DMG'24")</f>
        <v>DMG'24</v>
      </c>
      <c r="C147" s="8" t="str">
        <f>IFERROR(__xludf.DUMMYFUNCTION("""COMPUTED_VALUE"""),"rare")</f>
        <v>rare</v>
      </c>
      <c r="D147" s="8" t="str">
        <f>IFERROR(__xludf.DUMMYFUNCTION("""COMPUTED_VALUE"""),"Ring")</f>
        <v>Ring</v>
      </c>
      <c r="E147" s="8" t="str">
        <f>IFERROR(__xludf.DUMMYFUNCTION("""COMPUTED_VALUE"""),"requires attunement")</f>
        <v>requires attunement</v>
      </c>
      <c r="F147" s="8"/>
      <c r="G147" s="8"/>
      <c r="H147" s="8"/>
      <c r="I147" s="8" t="str">
        <f>IFERROR(__xludf.DUMMYFUNCTION("""COMPUTED_VALUE"""),"You gain a +1 bonus to Armor Class and saving throws while wearing this ring.")</f>
        <v>You gain a +1 bonus to Armor Class and saving throws while wearing this ring.</v>
      </c>
      <c r="J147" s="19">
        <f>IFERROR(__xludf.DUMMYFUNCTION("""COMPUTED_VALUE"""),1000.0)</f>
        <v>1000</v>
      </c>
    </row>
    <row r="148">
      <c r="A148" s="10" t="str">
        <f>IFERROR(__xludf.DUMMYFUNCTION("""COMPUTED_VALUE"""),"Ring of Psychic Resistance")</f>
        <v>Ring of Psychic Resistance</v>
      </c>
      <c r="B148" s="10" t="str">
        <f>IFERROR(__xludf.DUMMYFUNCTION("""COMPUTED_VALUE"""),"DMG'24")</f>
        <v>DMG'24</v>
      </c>
      <c r="C148" s="10" t="str">
        <f>IFERROR(__xludf.DUMMYFUNCTION("""COMPUTED_VALUE"""),"rare")</f>
        <v>rare</v>
      </c>
      <c r="D148" s="10" t="str">
        <f>IFERROR(__xludf.DUMMYFUNCTION("""COMPUTED_VALUE"""),"Ring")</f>
        <v>Ring</v>
      </c>
      <c r="E148" s="10"/>
      <c r="F148" s="10"/>
      <c r="G148" s="10"/>
      <c r="H148" s="10"/>
      <c r="I148" s="10" t="str">
        <f>IFERROR(__xludf.DUMMYFUNCTION("""COMPUTED_VALUE"""),"You have Resistance to Psychic damage while wearing this ring. The ring is set with jade.")</f>
        <v>You have Resistance to Psychic damage while wearing this ring. The ring is set with jade.</v>
      </c>
      <c r="J148" s="18">
        <f>IFERROR(__xludf.DUMMYFUNCTION("""COMPUTED_VALUE"""),1000.0)</f>
        <v>1000</v>
      </c>
    </row>
    <row r="149">
      <c r="A149" s="8" t="str">
        <f>IFERROR(__xludf.DUMMYFUNCTION("""COMPUTED_VALUE"""),"Ring of Radiant Resistance")</f>
        <v>Ring of Radiant Resistance</v>
      </c>
      <c r="B149" s="8" t="str">
        <f>IFERROR(__xludf.DUMMYFUNCTION("""COMPUTED_VALUE"""),"DMG'24")</f>
        <v>DMG'24</v>
      </c>
      <c r="C149" s="8" t="str">
        <f>IFERROR(__xludf.DUMMYFUNCTION("""COMPUTED_VALUE"""),"rare")</f>
        <v>rare</v>
      </c>
      <c r="D149" s="8" t="str">
        <f>IFERROR(__xludf.DUMMYFUNCTION("""COMPUTED_VALUE"""),"Ring")</f>
        <v>Ring</v>
      </c>
      <c r="E149" s="8"/>
      <c r="F149" s="8"/>
      <c r="G149" s="8"/>
      <c r="H149" s="8"/>
      <c r="I149" s="8" t="str">
        <f>IFERROR(__xludf.DUMMYFUNCTION("""COMPUTED_VALUE"""),"You have Resistance to Radiant damage while wearing this ring. The ring is set with topaz.")</f>
        <v>You have Resistance to Radiant damage while wearing this ring. The ring is set with topaz.</v>
      </c>
      <c r="J149" s="19">
        <f>IFERROR(__xludf.DUMMYFUNCTION("""COMPUTED_VALUE"""),1000.0)</f>
        <v>1000</v>
      </c>
    </row>
    <row r="150">
      <c r="A150" s="10" t="str">
        <f>IFERROR(__xludf.DUMMYFUNCTION("""COMPUTED_VALUE"""),"Ring of Thunder Resistance")</f>
        <v>Ring of Thunder Resistance</v>
      </c>
      <c r="B150" s="10" t="str">
        <f>IFERROR(__xludf.DUMMYFUNCTION("""COMPUTED_VALUE"""),"DMG'24")</f>
        <v>DMG'24</v>
      </c>
      <c r="C150" s="10" t="str">
        <f>IFERROR(__xludf.DUMMYFUNCTION("""COMPUTED_VALUE"""),"rare")</f>
        <v>rare</v>
      </c>
      <c r="D150" s="10" t="str">
        <f>IFERROR(__xludf.DUMMYFUNCTION("""COMPUTED_VALUE"""),"Ring")</f>
        <v>Ring</v>
      </c>
      <c r="E150" s="10"/>
      <c r="F150" s="10"/>
      <c r="G150" s="10"/>
      <c r="H150" s="10"/>
      <c r="I150" s="10" t="str">
        <f>IFERROR(__xludf.DUMMYFUNCTION("""COMPUTED_VALUE"""),"You have Resistance to Thunder damage while wearing this ring. The ring is set with spinel.")</f>
        <v>You have Resistance to Thunder damage while wearing this ring. The ring is set with spinel.</v>
      </c>
      <c r="J150" s="18">
        <f>IFERROR(__xludf.DUMMYFUNCTION("""COMPUTED_VALUE"""),1000.0)</f>
        <v>1000</v>
      </c>
    </row>
    <row r="151">
      <c r="A151" s="8" t="str">
        <f>IFERROR(__xludf.DUMMYFUNCTION("""COMPUTED_VALUE"""),"Ring of Evasion")</f>
        <v>Ring of Evasion</v>
      </c>
      <c r="B151" s="8" t="str">
        <f>IFERROR(__xludf.DUMMYFUNCTION("""COMPUTED_VALUE"""),"DMG'24")</f>
        <v>DMG'24</v>
      </c>
      <c r="C151" s="8" t="str">
        <f>IFERROR(__xludf.DUMMYFUNCTION("""COMPUTED_VALUE"""),"rare")</f>
        <v>rare</v>
      </c>
      <c r="D151" s="8" t="str">
        <f>IFERROR(__xludf.DUMMYFUNCTION("""COMPUTED_VALUE"""),"Ring")</f>
        <v>Ring</v>
      </c>
      <c r="E151" s="8" t="str">
        <f>IFERROR(__xludf.DUMMYFUNCTION("""COMPUTED_VALUE"""),"requires attunement")</f>
        <v>requires attunement</v>
      </c>
      <c r="F151" s="8"/>
      <c r="G151" s="8"/>
      <c r="H151" s="8"/>
      <c r="I151" s="8" t="str">
        <f>IFERROR(__xludf.DUMMYFUNCTION("""COMPUTED_VALUE"""),"This ring has 3 charges, and it regains 1d3 expended charges daily at dawn. When you fail a Dexterity saving throw while wearing the ring, you can take a Reaction to expend 1 charge to succeed on that save instead.")</f>
        <v>This ring has 3 charges, and it regains 1d3 expended charges daily at dawn. When you fail a Dexterity saving throw while wearing the ring, you can take a Reaction to expend 1 charge to succeed on that save instead.</v>
      </c>
      <c r="J151" s="19">
        <f>IFERROR(__xludf.DUMMYFUNCTION("""COMPUTED_VALUE"""),1100.0)</f>
        <v>1100</v>
      </c>
    </row>
    <row r="152">
      <c r="A152" s="10" t="str">
        <f>IFERROR(__xludf.DUMMYFUNCTION("""COMPUTED_VALUE"""),"Ring of Force Resistance")</f>
        <v>Ring of Force Resistance</v>
      </c>
      <c r="B152" s="10" t="str">
        <f>IFERROR(__xludf.DUMMYFUNCTION("""COMPUTED_VALUE"""),"DMG'24")</f>
        <v>DMG'24</v>
      </c>
      <c r="C152" s="10" t="str">
        <f>IFERROR(__xludf.DUMMYFUNCTION("""COMPUTED_VALUE"""),"rare")</f>
        <v>rare</v>
      </c>
      <c r="D152" s="10" t="str">
        <f>IFERROR(__xludf.DUMMYFUNCTION("""COMPUTED_VALUE"""),"Ring")</f>
        <v>Ring</v>
      </c>
      <c r="E152" s="10"/>
      <c r="F152" s="10"/>
      <c r="G152" s="10"/>
      <c r="H152" s="10"/>
      <c r="I152" s="10" t="str">
        <f>IFERROR(__xludf.DUMMYFUNCTION("""COMPUTED_VALUE"""),"You have Resistance to Force damage while wearing this ring. The ring is set with sapphire.")</f>
        <v>You have Resistance to Force damage while wearing this ring. The ring is set with sapphire.</v>
      </c>
      <c r="J152" s="18">
        <f>IFERROR(__xludf.DUMMYFUNCTION("""COMPUTED_VALUE"""),1200.0)</f>
        <v>1200</v>
      </c>
    </row>
    <row r="153">
      <c r="A153" s="12"/>
      <c r="B153" s="12"/>
      <c r="C153" s="12"/>
      <c r="D153" s="12"/>
      <c r="E153" s="12"/>
      <c r="F153" s="12"/>
      <c r="G153" s="12"/>
      <c r="H153" s="12"/>
      <c r="I153" s="12"/>
      <c r="J153" s="21"/>
    </row>
    <row r="154">
      <c r="A154" s="6" t="s">
        <v>37</v>
      </c>
      <c r="J154" s="22"/>
    </row>
    <row r="155">
      <c r="A155" s="8" t="str">
        <f>IFERROR(__xludf.DUMMYFUNCTION("FILTER(MasterList_Hidden!A:J,Search(Left(A154,3),MasterList_Hidden!D:D),MasterList_Hidden!J:J&lt;&gt;""Free to Guild Adventurers with Item Proficiency"",MasterList_Hidden!J:J&lt;&gt;""Free to Guild Adventurers in Good Standing"",MasterList_Hidden!J:J&lt;&gt;""Artificer Rep"&amp;"licate Magic Item Only"")"),"Immovable Rod")</f>
        <v>Immovable Rod</v>
      </c>
      <c r="B155" s="8" t="str">
        <f>IFERROR(__xludf.DUMMYFUNCTION("""COMPUTED_VALUE"""),"DMG'24")</f>
        <v>DMG'24</v>
      </c>
      <c r="C155" s="8" t="str">
        <f>IFERROR(__xludf.DUMMYFUNCTION("""COMPUTED_VALUE"""),"uncommon")</f>
        <v>uncommon</v>
      </c>
      <c r="D155" s="8" t="str">
        <f>IFERROR(__xludf.DUMMYFUNCTION("""COMPUTED_VALUE"""),"Rod")</f>
        <v>Rod</v>
      </c>
      <c r="E155" s="8"/>
      <c r="F155" s="8"/>
      <c r="G155" s="8"/>
      <c r="H155" s="8"/>
      <c r="I155" s="8" t="str">
        <f>IFERROR(__xludf.DUMMYFUNCTION("""COMPUTED_VALUE"""),"This iron rod has a button on one end. You can take a Utilize action to press the button, which causes the rod to become magically fixed in place. Until you or another creature takes a Utilize action to push the button again, the rod doesn't move, even if"&amp;" it defies gravity. The rod can hold up to 8,000 pounds of weight. More weight causes the rod to deactivate and fall. A creature can take a Utilize action to make a DC 30 Strength (Athletics) check, moving the fixed rod up to 10 feet on a successful check"&amp;".")</f>
        <v>This iron rod has a button on one end. You can take a Utilize action to press the button, which causes the rod to become magically fixed in place. Until you or another creature takes a Utilize action to push the button again, the rod doesn't move, even if it defies gravity. The rod can hold up to 8,000 pounds of weight. More weight causes the rod to deactivate and fall. A creature can take a Utilize action to make a DC 30 Strength (Athletics) check, moving the fixed rod up to 10 feet on a successful check.</v>
      </c>
      <c r="J155" s="19">
        <f>IFERROR(__xludf.DUMMYFUNCTION("""COMPUTED_VALUE"""),500.0)</f>
        <v>500</v>
      </c>
    </row>
    <row r="156">
      <c r="A156" s="10" t="str">
        <f>IFERROR(__xludf.DUMMYFUNCTION("""COMPUTED_VALUE"""),"Rod of the Pact Keeper")</f>
        <v>Rod of the Pact Keeper</v>
      </c>
      <c r="B156" s="10" t="str">
        <f>IFERROR(__xludf.DUMMYFUNCTION("""COMPUTED_VALUE"""),"DMG'24")</f>
        <v>DMG'24</v>
      </c>
      <c r="C156" s="10" t="str">
        <f>IFERROR(__xludf.DUMMYFUNCTION("""COMPUTED_VALUE"""),"uncommon")</f>
        <v>uncommon</v>
      </c>
      <c r="D156" s="10" t="str">
        <f>IFERROR(__xludf.DUMMYFUNCTION("""COMPUTED_VALUE"""),"Wondrous Item, Rod")</f>
        <v>Wondrous Item, Rod</v>
      </c>
      <c r="E156" s="10" t="str">
        <f>IFERROR(__xludf.DUMMYFUNCTION("""COMPUTED_VALUE"""),"requires attunement by a warlock")</f>
        <v>requires attunement by a warlock</v>
      </c>
      <c r="F156" s="10"/>
      <c r="G156" s="10"/>
      <c r="H156" s="10"/>
      <c r="I156" s="10" t="str">
        <f>IFERROR(__xludf.DUMMYFUNCTION("""COMPUTED_VALUE"""),"You can regain one spell slot as a Magic action while holding the rod. You can't use this property again until you finish a Long Rest.")</f>
        <v>You can regain one spell slot as a Magic action while holding the rod. You can't use this property again until you finish a Long Rest.</v>
      </c>
      <c r="J156" s="18">
        <f>IFERROR(__xludf.DUMMYFUNCTION("""COMPUTED_VALUE"""),750.0)</f>
        <v>750</v>
      </c>
    </row>
    <row r="157">
      <c r="A157" s="8" t="str">
        <f>IFERROR(__xludf.DUMMYFUNCTION("""COMPUTED_VALUE"""),"Tentacle Rod")</f>
        <v>Tentacle Rod</v>
      </c>
      <c r="B157" s="8" t="str">
        <f>IFERROR(__xludf.DUMMYFUNCTION("""COMPUTED_VALUE"""),"DMG'24")</f>
        <v>DMG'24</v>
      </c>
      <c r="C157" s="8" t="str">
        <f>IFERROR(__xludf.DUMMYFUNCTION("""COMPUTED_VALUE"""),"rare")</f>
        <v>rare</v>
      </c>
      <c r="D157" s="8" t="str">
        <f>IFERROR(__xludf.DUMMYFUNCTION("""COMPUTED_VALUE"""),"Rod")</f>
        <v>Rod</v>
      </c>
      <c r="E157" s="8" t="str">
        <f>IFERROR(__xludf.DUMMYFUNCTION("""COMPUTED_VALUE"""),"requires attunement")</f>
        <v>requires attunement</v>
      </c>
      <c r="F157" s="8"/>
      <c r="G157" s="8"/>
      <c r="H157" s="8"/>
      <c r="I157" s="8" t="str">
        <f>IFERROR(__xludf.DUMMYFUNCTION("""COMPUTED_VALUE"""),"This rod ends in three rubbery tentacles. While holding the rod, you can take a Magic action to direct the tentacles to stretch outward, each one attacking a creature you can see within 15 feet of yourself. For each tentacle, make a melee attack roll with"&amp;" a +9 bonus. A tentacle deals 1d6 Psychic damage on a hit. If you hit the same target with all three tentacles, the target must succeed on a DC 15 Dexterity saving throw or have the Restrained condition until you have the Incapacitated condition, until yo"&amp;"u take a Bonus Action to release the target, or until the target is no longer within 15 feet of you. While Restrained in this way, the target takes 3d6 Psychic damage at the start of each of its turns. At the end of each of its turns, the target repeats t"&amp;"he save, ending the effect on itself on a success.")</f>
        <v>This rod ends in three rubbery tentacles. While holding the rod, you can take a Magic action to direct the tentacles to stretch outward, each one attacking a creature you can see within 15 feet of yourself. For each tentacle, make a melee attack roll with a +9 bonus. A tentacle deals 1d6 Psychic damage on a hit. If you hit the same target with all three tentacles, the target must succeed on a DC 15 Dexterity saving throw or have the Restrained condition until you have the Incapacitated condition, until you take a Bonus Action to release the target, or until the target is no longer within 15 feet of you. While Restrained in this way, the target takes 3d6 Psychic damage at the start of each of its turns. At the end of each of its turns, the target repeats the save, ending the effect on itself on a success.</v>
      </c>
      <c r="J157" s="19">
        <f>IFERROR(__xludf.DUMMYFUNCTION("""COMPUTED_VALUE"""),1200.0)</f>
        <v>1200</v>
      </c>
    </row>
    <row r="158">
      <c r="A158" s="10" t="str">
        <f>IFERROR(__xludf.DUMMYFUNCTION("""COMPUTED_VALUE"""),"Rod of Alertness")</f>
        <v>Rod of Alertness</v>
      </c>
      <c r="B158" s="10" t="str">
        <f>IFERROR(__xludf.DUMMYFUNCTION("""COMPUTED_VALUE"""),"DMG'24")</f>
        <v>DMG'24</v>
      </c>
      <c r="C158" s="10" t="str">
        <f>IFERROR(__xludf.DUMMYFUNCTION("""COMPUTED_VALUE"""),"very rare")</f>
        <v>very rare</v>
      </c>
      <c r="D158" s="10" t="str">
        <f>IFERROR(__xludf.DUMMYFUNCTION("""COMPUTED_VALUE"""),"Rod")</f>
        <v>Rod</v>
      </c>
      <c r="E158" s="10" t="str">
        <f>IFERROR(__xludf.DUMMYFUNCTION("""COMPUTED_VALUE"""),"requires attunement")</f>
        <v>requires attunement</v>
      </c>
      <c r="F158" s="10"/>
      <c r="G158" s="10"/>
      <c r="H158" s="10"/>
      <c r="I158" s="10" t="str">
        <f>IFERROR(__xludf.DUMMYFUNCTION("""COMPUTED_VALUE"""),"This rod has the following properties. Alertness. While holding the rod, you have Advantage on Wisdom (Perception) checks and on Initiative rolls. Spells. While holding the rod, you can cast the following spells from it:Detect Evil and Good Detect Magic D"&amp;"etect Poison and Disease See Invisibility Protective Aura. As a Magic action, you can plant the haft end of the rod in the ground, whereupon the rod's head sheds Bright Light in a 60-foot radius and Dim Light for an additional 60 feet. While in that Brigh"&amp;"t Light, you and your allies gain a +1 bonus to Armor Class and saving throws and can sense the location of any Invisible creature that is also in the Bright Light. The rod's head stops glowing and the effect ends after 10 minutes or when a creature takes"&amp;" a Magic action to pull the rod from the ground. Once used, this property can't be used again until the next dawn.")</f>
        <v>This rod has the following properties. Alertness. While holding the rod, you have Advantage on Wisdom (Perception) checks and on Initiative rolls. Spells. While holding the rod, you can cast the following spells from it:Detect Evil and Good Detect Magic Detect Poison and Disease See Invisibility Protective Aura. As a Magic action, you can plant the haft end of the rod in the ground, whereupon the rod's head sheds Bright Light in a 60-foot radius and Dim Light for an additional 60 feet. While in that Bright Light, you and your allies gain a +1 bonus to Armor Class and saving throws and can sense the location of any Invisible creature that is also in the Bright Light. The rod's head stops glowing and the effect ends after 10 minutes or when a creature takes a Magic action to pull the rod from the ground. Once used, this property can't be used again until the next dawn.</v>
      </c>
      <c r="J158" s="18">
        <f>IFERROR(__xludf.DUMMYFUNCTION("""COMPUTED_VALUE"""),1800.0)</f>
        <v>1800</v>
      </c>
    </row>
    <row r="159">
      <c r="A159" s="12"/>
      <c r="B159" s="12"/>
      <c r="C159" s="12"/>
      <c r="D159" s="12"/>
      <c r="E159" s="12"/>
      <c r="F159" s="12"/>
      <c r="G159" s="12"/>
      <c r="H159" s="12"/>
      <c r="I159" s="12"/>
      <c r="J159" s="21"/>
    </row>
    <row r="160">
      <c r="A160" s="6" t="s">
        <v>38</v>
      </c>
      <c r="J160" s="22"/>
    </row>
    <row r="161">
      <c r="A161" s="8" t="str">
        <f>IFERROR(__xludf.DUMMYFUNCTION("FILTER(MasterList_Hidden!A:J,Search(Left(A160,4),MasterList_Hidden!D:D),MasterList_Hidden!J:J&lt;&gt;""Free to Guild Adventurers with Item Proficiency"",MasterList_Hidden!J:J&lt;&gt;""Free to Guild Adventurers in Good Standing"",MasterList_Hidden!J:J&lt;&gt;""Artificer Rep"&amp;"licate Magic Item Only"")"),"Wand of Conducting")</f>
        <v>Wand of Conducting</v>
      </c>
      <c r="B161" s="8" t="str">
        <f>IFERROR(__xludf.DUMMYFUNCTION("""COMPUTED_VALUE"""),"DMG'24")</f>
        <v>DMG'24</v>
      </c>
      <c r="C161" s="8" t="str">
        <f>IFERROR(__xludf.DUMMYFUNCTION("""COMPUTED_VALUE"""),"common")</f>
        <v>common</v>
      </c>
      <c r="D161" s="8" t="str">
        <f>IFERROR(__xludf.DUMMYFUNCTION("""COMPUTED_VALUE"""),"Wand")</f>
        <v>Wand</v>
      </c>
      <c r="E161" s="8"/>
      <c r="F161" s="8"/>
      <c r="G161" s="8"/>
      <c r="H161" s="8"/>
      <c r="I161" s="8" t="str">
        <f>IFERROR(__xludf.DUMMYFUNCTION("""COMPUTED_VALUE"""),"This wand has 3 charges. While holding it, you can take a Magic action to expend 1 charge and create orchestral music by waving it around. The music can be heard out to 120 feet and ends when you stop waving the wand. Regaining Charges. The wand regains a"&amp;"ll expended charges daily at dawn. If you expend the wand's last charge, roll 1d20. On a 1, a sad tuba sound plays as the wand crumbles into dust and is destroyed.")</f>
        <v>This wand has 3 charges. While holding it, you can take a Magic action to expend 1 charge and create orchestral music by waving it around. The music can be heard out to 120 feet and ends when you stop waving the wand. Regaining Charges. The wand regains all expended charges daily at dawn. If you expend the wand's last charge, roll 1d20. On a 1, a sad tuba sound plays as the wand crumbles into dust and is destroyed.</v>
      </c>
      <c r="J161" s="19">
        <f>IFERROR(__xludf.DUMMYFUNCTION("""COMPUTED_VALUE"""),50.0)</f>
        <v>50</v>
      </c>
    </row>
    <row r="162">
      <c r="A162" s="10" t="str">
        <f>IFERROR(__xludf.DUMMYFUNCTION("""COMPUTED_VALUE"""),"Wand of Pyrotechnics")</f>
        <v>Wand of Pyrotechnics</v>
      </c>
      <c r="B162" s="10" t="str">
        <f>IFERROR(__xludf.DUMMYFUNCTION("""COMPUTED_VALUE"""),"DMG'24")</f>
        <v>DMG'24</v>
      </c>
      <c r="C162" s="10" t="str">
        <f>IFERROR(__xludf.DUMMYFUNCTION("""COMPUTED_VALUE"""),"common")</f>
        <v>common</v>
      </c>
      <c r="D162" s="10" t="str">
        <f>IFERROR(__xludf.DUMMYFUNCTION("""COMPUTED_VALUE"""),"Wand")</f>
        <v>Wand</v>
      </c>
      <c r="E162" s="10"/>
      <c r="F162" s="10"/>
      <c r="G162" s="10"/>
      <c r="H162" s="10"/>
      <c r="I162" s="10" t="str">
        <f>IFERROR(__xludf.DUMMYFUNCTION("""COMPUTED_VALUE"""),"This wand has 7 charges. While holding it, you can take a Magic action to expend 1 charge and create a harmless burst of multicolored light at a point you can see up to 120 feet away. The burst of light is accompanied by a crackling noise that can be hear"&amp;"d up to 300 feet away. The light is as bright as a torch flame but lasts only a second. Regaining Charges. The wand regains 1d6 + 1 expended charges daily at dawn. If you expend the wand's last charge, roll 1d20. On a 1, the wand erupts in a harmless pyro"&amp;"technic display and is destroyed.")</f>
        <v>This wand has 7 charges. While holding it, you can take a Magic action to expend 1 charge and create a harmless burst of multicolored light at a point you can see up to 120 feet away. The burst of light is accompanied by a crackling noise that can be heard up to 300 feet away. The light is as bright as a torch flame but lasts only a second. Regaining Charges. The wand regains 1d6 + 1 expended charges daily at dawn. If you expend the wand's last charge, roll 1d20. On a 1, the wand erupts in a harmless pyrotechnic display and is destroyed.</v>
      </c>
      <c r="J162" s="18">
        <f>IFERROR(__xludf.DUMMYFUNCTION("""COMPUTED_VALUE"""),50.0)</f>
        <v>50</v>
      </c>
    </row>
    <row r="163">
      <c r="A163" s="8" t="str">
        <f>IFERROR(__xludf.DUMMYFUNCTION("""COMPUTED_VALUE"""),"Wand of Scowls")</f>
        <v>Wand of Scowls</v>
      </c>
      <c r="B163" s="8" t="str">
        <f>IFERROR(__xludf.DUMMYFUNCTION("""COMPUTED_VALUE"""),"XGE")</f>
        <v>XGE</v>
      </c>
      <c r="C163" s="8" t="str">
        <f>IFERROR(__xludf.DUMMYFUNCTION("""COMPUTED_VALUE"""),"common")</f>
        <v>common</v>
      </c>
      <c r="D163" s="8" t="str">
        <f>IFERROR(__xludf.DUMMYFUNCTION("""COMPUTED_VALUE"""),"Wand")</f>
        <v>Wand</v>
      </c>
      <c r="E163" s="8"/>
      <c r="F163" s="8"/>
      <c r="G163" s="8"/>
      <c r="H163" s="8"/>
      <c r="I163" s="8" t="str">
        <f>IFERROR(__xludf.DUMMYFUNCTION("""COMPUTED_VALUE"""),"This wand has 3 charges. While holding it, you can use an action to expend 1 of its charges and target a humanoid you can see within 30 feet of you. The target must succeed on a DC 10 Charisma saving throw or be forced to scowl for 1 minute.The wand regai"&amp;"ns all expended charges daily at dawn. If you expend the wand's last charge, roll a d20. On a 1, the wand transforms into a wand of smiles.")</f>
        <v>This wand has 3 charges. While holding it, you can use an action to expend 1 of its charges and target a humanoid you can see within 30 feet of you. The target must succeed on a DC 10 Charisma saving throw or be forced to scowl for 1 minute.The wand regains all expended charges daily at dawn. If you expend the wand's last charge, roll a d20. On a 1, the wand transforms into a wand of smiles.</v>
      </c>
      <c r="J163" s="19">
        <f>IFERROR(__xludf.DUMMYFUNCTION("""COMPUTED_VALUE"""),50.0)</f>
        <v>50</v>
      </c>
    </row>
    <row r="164">
      <c r="A164" s="10" t="str">
        <f>IFERROR(__xludf.DUMMYFUNCTION("""COMPUTED_VALUE"""),"Wand of Smiles")</f>
        <v>Wand of Smiles</v>
      </c>
      <c r="B164" s="10" t="str">
        <f>IFERROR(__xludf.DUMMYFUNCTION("""COMPUTED_VALUE"""),"XGE")</f>
        <v>XGE</v>
      </c>
      <c r="C164" s="10" t="str">
        <f>IFERROR(__xludf.DUMMYFUNCTION("""COMPUTED_VALUE"""),"common")</f>
        <v>common</v>
      </c>
      <c r="D164" s="10" t="str">
        <f>IFERROR(__xludf.DUMMYFUNCTION("""COMPUTED_VALUE"""),"Wand")</f>
        <v>Wand</v>
      </c>
      <c r="E164" s="10"/>
      <c r="F164" s="10"/>
      <c r="G164" s="10"/>
      <c r="H164" s="10"/>
      <c r="I164" s="10" t="str">
        <f>IFERROR(__xludf.DUMMYFUNCTION("""COMPUTED_VALUE"""),"This wand has 3 charges. While holding it, you can use an action to expend 1 of its charges and target a humanoid you can see within 30 feet of you. The target must succeed on a DC 10 Charisma saving throw or be forced to smile for 1 minute.The wand regai"&amp;"ns all expended charges daily at dawn. If you expend the wand's last charge, roll a d20. On a 1, the wand transforms into a wand of scowls.")</f>
        <v>This wand has 3 charges. While holding it, you can use an action to expend 1 of its charges and target a humanoid you can see within 30 feet of you. The target must succeed on a DC 10 Charisma saving throw or be forced to smile for 1 minute.The wand regains all expended charges daily at dawn. If you expend the wand's last charge, roll a d20. On a 1, the wand transforms into a wand of scowls.</v>
      </c>
      <c r="J164" s="18">
        <f>IFERROR(__xludf.DUMMYFUNCTION("""COMPUTED_VALUE"""),50.0)</f>
        <v>50</v>
      </c>
    </row>
    <row r="165">
      <c r="A165" s="8" t="str">
        <f>IFERROR(__xludf.DUMMYFUNCTION("""COMPUTED_VALUE"""),"Wand of the War Mage")</f>
        <v>Wand of the War Mage</v>
      </c>
      <c r="B165" s="8" t="str">
        <f>IFERROR(__xludf.DUMMYFUNCTION("""COMPUTED_VALUE"""),"DMG'24")</f>
        <v>DMG'24</v>
      </c>
      <c r="C165" s="8" t="str">
        <f>IFERROR(__xludf.DUMMYFUNCTION("""COMPUTED_VALUE"""),"uncommon")</f>
        <v>uncommon</v>
      </c>
      <c r="D165" s="8" t="str">
        <f>IFERROR(__xludf.DUMMYFUNCTION("""COMPUTED_VALUE"""),"Wand")</f>
        <v>Wand</v>
      </c>
      <c r="E165" s="8" t="str">
        <f>IFERROR(__xludf.DUMMYFUNCTION("""COMPUTED_VALUE"""),"requires attunement by a spellcaster")</f>
        <v>requires attunement by a spellcaster</v>
      </c>
      <c r="F165" s="8"/>
      <c r="G165" s="8"/>
      <c r="H165" s="8"/>
      <c r="I165" s="8" t="str">
        <f>IFERROR(__xludf.DUMMYFUNCTION("""COMPUTED_VALUE"""),"You ignore Half Cover when making a spell attack roll when using this wand.")</f>
        <v>You ignore Half Cover when making a spell attack roll when using this wand.</v>
      </c>
      <c r="J165" s="19">
        <f>IFERROR(__xludf.DUMMYFUNCTION("""COMPUTED_VALUE"""),200.0)</f>
        <v>200</v>
      </c>
    </row>
    <row r="166">
      <c r="A166" s="10" t="str">
        <f>IFERROR(__xludf.DUMMYFUNCTION("""COMPUTED_VALUE"""),"Wand of Magic Detection")</f>
        <v>Wand of Magic Detection</v>
      </c>
      <c r="B166" s="10" t="str">
        <f>IFERROR(__xludf.DUMMYFUNCTION("""COMPUTED_VALUE"""),"DMG'24")</f>
        <v>DMG'24</v>
      </c>
      <c r="C166" s="10" t="str">
        <f>IFERROR(__xludf.DUMMYFUNCTION("""COMPUTED_VALUE"""),"uncommon")</f>
        <v>uncommon</v>
      </c>
      <c r="D166" s="10" t="str">
        <f>IFERROR(__xludf.DUMMYFUNCTION("""COMPUTED_VALUE"""),"Wand")</f>
        <v>Wand</v>
      </c>
      <c r="E166" s="10"/>
      <c r="F166" s="10"/>
      <c r="G166" s="10"/>
      <c r="H166" s="10"/>
      <c r="I166" s="10" t="str">
        <f>IFERROR(__xludf.DUMMYFUNCTION("""COMPUTED_VALUE"""),"This wand has 3 charges. While holding it, you can expend 1 charge to cast Detect Magic from it. The wand regains 1d3 expended charges daily at dawn.")</f>
        <v>This wand has 3 charges. While holding it, you can expend 1 charge to cast Detect Magic from it. The wand regains 1d3 expended charges daily at dawn.</v>
      </c>
      <c r="J166" s="18">
        <f>IFERROR(__xludf.DUMMYFUNCTION("""COMPUTED_VALUE"""),400.0)</f>
        <v>400</v>
      </c>
    </row>
    <row r="167">
      <c r="A167" s="8" t="str">
        <f>IFERROR(__xludf.DUMMYFUNCTION("""COMPUTED_VALUE"""),"Wand of Entangle")</f>
        <v>Wand of Entangle</v>
      </c>
      <c r="B167" s="8" t="str">
        <f>IFERROR(__xludf.DUMMYFUNCTION("""COMPUTED_VALUE"""),"TftYP")</f>
        <v>TftYP</v>
      </c>
      <c r="C167" s="8" t="str">
        <f>IFERROR(__xludf.DUMMYFUNCTION("""COMPUTED_VALUE"""),"uncommon")</f>
        <v>uncommon</v>
      </c>
      <c r="D167" s="8" t="str">
        <f>IFERROR(__xludf.DUMMYFUNCTION("""COMPUTED_VALUE"""),"Wand")</f>
        <v>Wand</v>
      </c>
      <c r="E167" s="8" t="str">
        <f>IFERROR(__xludf.DUMMYFUNCTION("""COMPUTED_VALUE"""),"requires attunement by a spellcaster")</f>
        <v>requires attunement by a spellcaster</v>
      </c>
      <c r="F167" s="8"/>
      <c r="G167" s="8"/>
      <c r="H167" s="8"/>
      <c r="I167" s="8" t="str">
        <f>IFERROR(__xludf.DUMMYFUNCTION("""COMPUTED_VALUE"""),"This wand has 7 charges. While holding it, you can use an action to expend 1 of its charges to cast the entangle spell (save DC 13) from it.The wand regains 1d6 + 1 expended charges daily at dawn. If you expend the wand's last charge, roll a d20. On a 1, "&amp;"the wand crumbles into ashes and is destroyed.")</f>
        <v>This wand has 7 charges. While holding it, you can use an action to expend 1 of its charges to cast the entangle spell (save DC 13) from it.The wand regains 1d6 + 1 expended charges daily at dawn. If you expend the wand's last charge, roll a d20. On a 1, the wand crumbles into ashes and is destroyed.</v>
      </c>
      <c r="J167" s="19">
        <f>IFERROR(__xludf.DUMMYFUNCTION("""COMPUTED_VALUE"""),800.0)</f>
        <v>800</v>
      </c>
    </row>
    <row r="168">
      <c r="A168" s="10" t="str">
        <f>IFERROR(__xludf.DUMMYFUNCTION("""COMPUTED_VALUE"""),"Wand of Magic Missiles")</f>
        <v>Wand of Magic Missiles</v>
      </c>
      <c r="B168" s="10" t="str">
        <f>IFERROR(__xludf.DUMMYFUNCTION("""COMPUTED_VALUE"""),"DMG'24")</f>
        <v>DMG'24</v>
      </c>
      <c r="C168" s="10" t="str">
        <f>IFERROR(__xludf.DUMMYFUNCTION("""COMPUTED_VALUE"""),"uncommon")</f>
        <v>uncommon</v>
      </c>
      <c r="D168" s="10" t="str">
        <f>IFERROR(__xludf.DUMMYFUNCTION("""COMPUTED_VALUE"""),"Wand")</f>
        <v>Wand</v>
      </c>
      <c r="E168" s="10"/>
      <c r="F168" s="10"/>
      <c r="G168" s="10"/>
      <c r="H168" s="10"/>
      <c r="I168" s="10" t="str">
        <f>IFERROR(__xludf.DUMMYFUNCTION("""COMPUTED_VALUE"""),"This wand has 7 charges. While holding it, you can expend no more than 3 charges to cast Magic Missile from it. For 1 charge, you cast the level 1 version of the spell. You can increase the spell's level by 1 for each additional charge you expend. Regaini"&amp;"ng Charges. The wand regains 1d6 + 1 expended charges daily at dawn. If you expend the wand's last charge, roll 1d20. On a 1, the wand crumbles into ashes and is destroyed.")</f>
        <v>This wand has 7 charges. While holding it, you can expend no more than 3 charges to cast Magic Missile from it. For 1 charge, you cast the level 1 version of the spell. You can increase the spell's level by 1 for each additional charge you expend. Regaining Charges. The wand regains 1d6 + 1 expended charges daily at dawn. If you expend the wand's last charge, roll 1d20. On a 1, the wand crumbles into ashes and is destroyed.</v>
      </c>
      <c r="J168" s="18">
        <f>IFERROR(__xludf.DUMMYFUNCTION("""COMPUTED_VALUE"""),1200.0)</f>
        <v>1200</v>
      </c>
    </row>
    <row r="169">
      <c r="A169" s="8" t="str">
        <f>IFERROR(__xludf.DUMMYFUNCTION("""COMPUTED_VALUE"""),"Wand of Web")</f>
        <v>Wand of Web</v>
      </c>
      <c r="B169" s="8" t="str">
        <f>IFERROR(__xludf.DUMMYFUNCTION("""COMPUTED_VALUE"""),"DMG'24")</f>
        <v>DMG'24</v>
      </c>
      <c r="C169" s="8" t="str">
        <f>IFERROR(__xludf.DUMMYFUNCTION("""COMPUTED_VALUE"""),"uncommon")</f>
        <v>uncommon</v>
      </c>
      <c r="D169" s="8" t="str">
        <f>IFERROR(__xludf.DUMMYFUNCTION("""COMPUTED_VALUE"""),"Wand")</f>
        <v>Wand</v>
      </c>
      <c r="E169" s="8" t="str">
        <f>IFERROR(__xludf.DUMMYFUNCTION("""COMPUTED_VALUE"""),"requires attunement by a spellcaster")</f>
        <v>requires attunement by a spellcaster</v>
      </c>
      <c r="F169" s="8"/>
      <c r="G169" s="8"/>
      <c r="H169" s="8"/>
      <c r="I169" s="8" t="str">
        <f>IFERROR(__xludf.DUMMYFUNCTION("""COMPUTED_VALUE"""),"This wand has 7 charges. While holding it, you can expend 1 charge to cast Web (save DC 13) from it. Regaining Charges. The wand regains 1d6 + 1 expended charges daily at dawn. If you expend the wand's last charge, roll 1d20. On a 1, the wand crumbles int"&amp;"o ashes and is destroyed.")</f>
        <v>This wand has 7 charges. While holding it, you can expend 1 charge to cast Web (save DC 13) from it. Regaining Charges. The wand regains 1d6 + 1 expended charges daily at dawn. If you expend the wand's last charge, roll 1d20. On a 1, the wand crumbles into ashes and is destroyed.</v>
      </c>
      <c r="J169" s="19">
        <f>IFERROR(__xludf.DUMMYFUNCTION("""COMPUTED_VALUE"""),2150.0)</f>
        <v>2150</v>
      </c>
    </row>
    <row r="170">
      <c r="A170" s="12"/>
      <c r="B170" s="12"/>
      <c r="C170" s="12"/>
      <c r="D170" s="12"/>
      <c r="E170" s="12"/>
      <c r="F170" s="12"/>
      <c r="G170" s="12"/>
      <c r="H170" s="12"/>
      <c r="I170" s="12"/>
      <c r="J170" s="21"/>
    </row>
  </sheetData>
  <mergeCells count="20">
    <mergeCell ref="A2:D2"/>
    <mergeCell ref="E2:H2"/>
    <mergeCell ref="A3:D3"/>
    <mergeCell ref="E3:H3"/>
    <mergeCell ref="A4:D4"/>
    <mergeCell ref="E4:H4"/>
    <mergeCell ref="A5:D5"/>
    <mergeCell ref="A58:I58"/>
    <mergeCell ref="A87:I87"/>
    <mergeCell ref="A88:J88"/>
    <mergeCell ref="A130:I130"/>
    <mergeCell ref="A154:I154"/>
    <mergeCell ref="A160:I160"/>
    <mergeCell ref="E5:H5"/>
    <mergeCell ref="A6:I6"/>
    <mergeCell ref="A24:I24"/>
    <mergeCell ref="A34:I34"/>
    <mergeCell ref="A37:I37"/>
    <mergeCell ref="A42:I42"/>
    <mergeCell ref="A45:I45"/>
  </mergeCells>
  <hyperlinks>
    <hyperlink display="Melee Simple Weapons" location="Upgrade_Simple_Melee" ref="A2"/>
    <hyperlink display="Melee Martial Weapons" location="Upgrade_Martial_Melee" ref="E2"/>
    <hyperlink display="Medium Armor" location="Upgrade_Medium_Armor" ref="I2"/>
    <hyperlink display="Ranged Simple Weapons" location="Upgrade_Simple_Melee" ref="A3"/>
    <hyperlink display="Shields" location="Upgrade_Shields" ref="I3"/>
    <hyperlink display="Instruments" location="Upgrade_Instruments" ref="A4"/>
    <hyperlink display="Spellcasting Focus" location="Upgrade_Spellcasting_Focus" ref="E4"/>
    <hyperlink display="Generic Variants" location="Upgrade_Generic_Variants" ref="I4"/>
    <hyperlink display="Rings" location="Upgrade_Rings" ref="A5"/>
    <hyperlink display="Rods" location="Upgrade_Rods" ref="E5"/>
    <hyperlink display="Wands" location="Upgrade_Wands" ref="I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5" max="5" width="14.13"/>
    <col customWidth="1" min="9" max="11" width="36.88"/>
    <col customWidth="1" min="12" max="12" width="17.38"/>
  </cols>
  <sheetData>
    <row r="1" ht="42.0" customHeight="1">
      <c r="A1" s="1" t="s">
        <v>0</v>
      </c>
      <c r="B1" s="1" t="s">
        <v>1</v>
      </c>
      <c r="C1" s="1" t="s">
        <v>2</v>
      </c>
      <c r="D1" s="1" t="s">
        <v>3</v>
      </c>
      <c r="E1" s="1" t="s">
        <v>4</v>
      </c>
      <c r="F1" s="1" t="s">
        <v>5</v>
      </c>
      <c r="G1" s="1" t="s">
        <v>6</v>
      </c>
      <c r="H1" s="1" t="s">
        <v>7</v>
      </c>
      <c r="I1" s="1" t="s">
        <v>8</v>
      </c>
      <c r="L1" s="1" t="s">
        <v>9</v>
      </c>
    </row>
    <row r="2">
      <c r="A2" s="4" t="s">
        <v>42</v>
      </c>
      <c r="C2" s="4" t="s">
        <v>43</v>
      </c>
      <c r="F2" s="4" t="s">
        <v>44</v>
      </c>
      <c r="I2" s="4" t="s">
        <v>45</v>
      </c>
      <c r="K2" s="5"/>
      <c r="L2" s="3"/>
    </row>
    <row r="3">
      <c r="A3" s="4" t="s">
        <v>46</v>
      </c>
      <c r="C3" s="4" t="s">
        <v>47</v>
      </c>
      <c r="F3" s="4" t="s">
        <v>48</v>
      </c>
      <c r="I3" s="4" t="s">
        <v>49</v>
      </c>
      <c r="J3" s="5"/>
      <c r="K3" s="5"/>
      <c r="L3" s="5"/>
    </row>
    <row r="4">
      <c r="A4" s="4" t="s">
        <v>50</v>
      </c>
      <c r="C4" s="4" t="s">
        <v>51</v>
      </c>
      <c r="F4" s="4" t="s">
        <v>52</v>
      </c>
      <c r="I4" s="4" t="s">
        <v>53</v>
      </c>
      <c r="J4" s="5"/>
      <c r="K4" s="5"/>
      <c r="L4" s="5"/>
    </row>
    <row r="5">
      <c r="A5" s="6" t="s">
        <v>42</v>
      </c>
      <c r="L5" s="6"/>
    </row>
    <row r="6">
      <c r="A6" s="8" t="str">
        <f>IFERROR(__xludf.DUMMYFUNCTION("FILTER(MasterList_Hidden!A:K,Search(A5,MasterList_Hidden!K:K),MasterList_Hidden!J:J&lt;&gt;""Free to Guild Adventurers with Item Proficiency"",MasterList_Hidden!J:J&lt;&gt;""Free to Guild Adventurers in Good Standing"",MasterList_Hidden!J:J&lt;&gt;""Artificer Replicate Mag"&amp;"ic Item Only"")"),"Antitoxin (singles)")</f>
        <v>Antitoxin (singles)</v>
      </c>
      <c r="B6" s="8" t="str">
        <f>IFERROR(__xludf.DUMMYFUNCTION("""COMPUTED_VALUE"""),"PHB'24")</f>
        <v>PHB'24</v>
      </c>
      <c r="C6" s="8" t="str">
        <f>IFERROR(__xludf.DUMMYFUNCTION("""COMPUTED_VALUE"""),"none")</f>
        <v>none</v>
      </c>
      <c r="D6" s="8" t="str">
        <f>IFERROR(__xludf.DUMMYFUNCTION("""COMPUTED_VALUE"""),"Adventuring Gear")</f>
        <v>Adventuring Gear</v>
      </c>
      <c r="E6" s="8"/>
      <c r="F6" s="8"/>
      <c r="G6" s="8"/>
      <c r="H6" s="8"/>
      <c r="I6" s="8" t="str">
        <f>IFERROR(__xludf.DUMMYFUNCTION("""COMPUTED_VALUE"""),"As a Bonus Action, you can drink a vial of Antitoxin to gain Advantage on saving throws to avoid or end the Poisoned condition for 1 hour. ")</f>
        <v>As a Bonus Action, you can drink a vial of Antitoxin to gain Advantage on saving throws to avoid or end the Poisoned condition for 1 hour. </v>
      </c>
      <c r="L6" s="8">
        <f>IFERROR(__xludf.DUMMYFUNCTION("FILTER(MasterList_Hidden!J:J,Search(A5,MasterList_Hidden!K:K),MasterList_Hidden!J:J&lt;&gt;""Free to Guild Adventurers with Item Proficiency"",MasterList_Hidden!J:J&lt;&gt;""Free to Guild Adventurers in Good Standing"",MasterList_Hidden!J:J&lt;&gt;""Artificer Replicate Mag"&amp;"ic Item Only"")"),50.0)</f>
        <v>50</v>
      </c>
    </row>
    <row r="7">
      <c r="A7" s="10" t="str">
        <f>IFERROR(__xludf.DUMMYFUNCTION("""COMPUTED_VALUE"""),"Antitoxin")</f>
        <v>Antitoxin</v>
      </c>
      <c r="B7" s="10" t="str">
        <f>IFERROR(__xludf.DUMMYFUNCTION("""COMPUTED_VALUE"""),"PHB'24")</f>
        <v>PHB'24</v>
      </c>
      <c r="C7" s="10" t="str">
        <f>IFERROR(__xludf.DUMMYFUNCTION("""COMPUTED_VALUE"""),"none")</f>
        <v>none</v>
      </c>
      <c r="D7" s="10" t="str">
        <f>IFERROR(__xludf.DUMMYFUNCTION("""COMPUTED_VALUE"""),"Adventuring Gear")</f>
        <v>Adventuring Gear</v>
      </c>
      <c r="E7" s="10"/>
      <c r="F7" s="10"/>
      <c r="G7" s="10"/>
      <c r="H7" s="10"/>
      <c r="I7" s="10" t="str">
        <f>IFERROR(__xludf.DUMMYFUNCTION("""COMPUTED_VALUE"""),"As a Bonus Action, you can drink a vial of Antitoxin to gain Advantage on saving throws to avoid or end the Poisoned condition for 1 hour.  Purchasing this gives an adventurer 1 use of this item per guild mission they go on, and does not stack unless you "&amp;"purchase more than 1.")</f>
        <v>As a Bonus Action, you can drink a vial of Antitoxin to gain Advantage on saving throws to avoid or end the Poisoned condition for 1 hour.  Purchasing this gives an adventurer 1 use of this item per guild mission they go on, and does not stack unless you purchase more than 1.</v>
      </c>
      <c r="L7" s="10">
        <f>IFERROR(__xludf.DUMMYFUNCTION("""COMPUTED_VALUE"""),100.0)</f>
        <v>100</v>
      </c>
    </row>
    <row r="8">
      <c r="A8" s="8" t="str">
        <f>IFERROR(__xludf.DUMMYFUNCTION("""COMPUTED_VALUE"""),"Potion of Climbing")</f>
        <v>Potion of Climbing</v>
      </c>
      <c r="B8" s="8" t="str">
        <f>IFERROR(__xludf.DUMMYFUNCTION("""COMPUTED_VALUE"""),"DMG'24")</f>
        <v>DMG'24</v>
      </c>
      <c r="C8" s="8" t="str">
        <f>IFERROR(__xludf.DUMMYFUNCTION("""COMPUTED_VALUE"""),"common")</f>
        <v>common</v>
      </c>
      <c r="D8" s="8" t="str">
        <f>IFERROR(__xludf.DUMMYFUNCTION("""COMPUTED_VALUE"""),"Potion")</f>
        <v>Potion</v>
      </c>
      <c r="E8" s="8"/>
      <c r="F8" s="8"/>
      <c r="G8" s="8"/>
      <c r="H8" s="8"/>
      <c r="I8" s="8" t="str">
        <f>IFERROR(__xludf.DUMMYFUNCTION("""COMPUTED_VALUE"""),"When you drink this potion, you gain a Climb Speed equal to your Speed for 1 hour. During this time, you have Advantage on Strength (Athletics) checks to climb.This potion is separated into brown, silver, and gray layers resembling bands of stone. Shaking"&amp;" the bottle fails to mix the colors.  Purchasing this gives an adventurer 1 use of this item per guild mission they go on, and does not stack unless you purchase more than 1.")</f>
        <v>When you drink this potion, you gain a Climb Speed equal to your Speed for 1 hour. During this time, you have Advantage on Strength (Athletics) checks to climb.This potion is separated into brown, silver, and gray layers resembling bands of stone. Shaking the bottle fails to mix the colors.  Purchasing this gives an adventurer 1 use of this item per guild mission they go on, and does not stack unless you purchase more than 1.</v>
      </c>
      <c r="L8" s="8">
        <f>IFERROR(__xludf.DUMMYFUNCTION("""COMPUTED_VALUE"""),150.0)</f>
        <v>150</v>
      </c>
    </row>
    <row r="9">
      <c r="A9" s="10" t="str">
        <f>IFERROR(__xludf.DUMMYFUNCTION("""COMPUTED_VALUE"""),"Rope of Climbing")</f>
        <v>Rope of Climbing</v>
      </c>
      <c r="B9" s="10" t="str">
        <f>IFERROR(__xludf.DUMMYFUNCTION("""COMPUTED_VALUE"""),"DMG'24")</f>
        <v>DMG'24</v>
      </c>
      <c r="C9" s="10" t="str">
        <f>IFERROR(__xludf.DUMMYFUNCTION("""COMPUTED_VALUE"""),"uncommon")</f>
        <v>uncommon</v>
      </c>
      <c r="D9" s="10" t="str">
        <f>IFERROR(__xludf.DUMMYFUNCTION("""COMPUTED_VALUE"""),"Wondrous Item")</f>
        <v>Wondrous Item</v>
      </c>
      <c r="E9" s="10"/>
      <c r="F9" s="10"/>
      <c r="G9" s="10"/>
      <c r="H9" s="10"/>
      <c r="I9" s="10" t="str">
        <f>IFERROR(__xludf.DUMMYFUNCTION("""COMPUTED_VALUE"""),"This 60-foot length of rope can hold up to 3,000 pounds. While holding one end of the rope, you can take a Magic action to command the other end of the rope to animate and move toward a destination you choose, up to the rope's length away from you. That e"&amp;"nd moves 10 feet on your turn when you first command it and 10 feet at the start of each of your subsequent turns until reaching its destination or until you tell it to stop. You can also tell the rope to fasten itself securely to an object or to unfasten"&amp;" itself, to knot or unknot itself, or to coil itself for carrying.If you tell the rope to knot, large knots appear at 1-foot intervals along the rope. While knotted, the rope shortens to a 50-foot length and grants Advantage on ability checks made to clim"&amp;"b using the rope.The rope has AC 20, HP 20, and Immunity to Poison and Psychic damage. It regains 1 Hit Point every 5 minutes as long as it has at least 1 Hit Point. If the rope drops to 0 Hit Points, it is destroyed.")</f>
        <v>This 60-foot length of rope can hold up to 3,000 pounds. While holding one end of the rope, you can take a Magic action to command the other end of the rope to animate and move toward a destination you choose, up to the rope's length away from you. That end moves 10 feet on your turn when you first command it and 10 feet at the start of each of your subsequent turns until reaching its destination or until you tell it to stop. You can also tell the rope to fasten itself securely to an object or to unfasten itself, to knot or unknot itself, or to coil itself for carrying.If you tell the rope to knot, large knots appear at 1-foot intervals along the rope. While knotted, the rope shortens to a 50-foot length and grants Advantage on ability checks made to climb using the rope.The rope has AC 20, HP 20, and Immunity to Poison and Psychic damage. It regains 1 Hit Point every 5 minutes as long as it has at least 1 Hit Point. If the rope drops to 0 Hit Points, it is destroyed.</v>
      </c>
      <c r="L9" s="10">
        <f>IFERROR(__xludf.DUMMYFUNCTION("""COMPUTED_VALUE"""),150.0)</f>
        <v>150</v>
      </c>
    </row>
    <row r="10">
      <c r="A10" s="8" t="str">
        <f>IFERROR(__xludf.DUMMYFUNCTION("""COMPUTED_VALUE"""),"Potion of Psionic Fortitude")</f>
        <v>Potion of Psionic Fortitude</v>
      </c>
      <c r="B10" s="8" t="str">
        <f>IFERROR(__xludf.DUMMYFUNCTION("""COMPUTED_VALUE"""),"PaBTSO")</f>
        <v>PaBTSO</v>
      </c>
      <c r="C10" s="8" t="str">
        <f>IFERROR(__xludf.DUMMYFUNCTION("""COMPUTED_VALUE"""),"uncommon")</f>
        <v>uncommon</v>
      </c>
      <c r="D10" s="8" t="str">
        <f>IFERROR(__xludf.DUMMYFUNCTION("""COMPUTED_VALUE"""),"Potion")</f>
        <v>Potion</v>
      </c>
      <c r="E10" s="8"/>
      <c r="F10" s="8"/>
      <c r="G10" s="8"/>
      <c r="H10" s="8"/>
      <c r="I10" s="8" t="str">
        <f>IFERROR(__xludf.DUMMYFUNCTION("""COMPUTED_VALUE"""),"When you drink this potion, you have advantage for 1 hour on saving throws you make to avoid or end the charmed or stunned condition on yourself. This black potion swirls with shimmering flecks of pink and purple.  Purchasing this gives an adventurer 1 us"&amp;"e of this item per guild mission they go on, and does not stack unless you purchase more than 1.")</f>
        <v>When you drink this potion, you have advantage for 1 hour on saving throws you make to avoid or end the charmed or stunned condition on yourself. This black potion swirls with shimmering flecks of pink and purple.  Purchasing this gives an adventurer 1 use of this item per guild mission they go on, and does not stack unless you purchase more than 1.</v>
      </c>
      <c r="L10" s="8">
        <f>IFERROR(__xludf.DUMMYFUNCTION("""COMPUTED_VALUE"""),300.0)</f>
        <v>300</v>
      </c>
    </row>
    <row r="11">
      <c r="A11" s="10" t="str">
        <f>IFERROR(__xludf.DUMMYFUNCTION("""COMPUTED_VALUE"""),"Periapt of Health")</f>
        <v>Periapt of Health</v>
      </c>
      <c r="B11" s="10" t="str">
        <f>IFERROR(__xludf.DUMMYFUNCTION("""COMPUTED_VALUE"""),"DMG'24")</f>
        <v>DMG'24</v>
      </c>
      <c r="C11" s="10" t="str">
        <f>IFERROR(__xludf.DUMMYFUNCTION("""COMPUTED_VALUE"""),"uncommon")</f>
        <v>uncommon</v>
      </c>
      <c r="D11" s="10" t="str">
        <f>IFERROR(__xludf.DUMMYFUNCTION("""COMPUTED_VALUE"""),"Wondrous Item")</f>
        <v>Wondrous Item</v>
      </c>
      <c r="E11" s="10" t="str">
        <f>IFERROR(__xludf.DUMMYFUNCTION("""COMPUTED_VALUE"""),"requires attunement")</f>
        <v>requires attunement</v>
      </c>
      <c r="F11" s="10"/>
      <c r="G11" s="10"/>
      <c r="H11" s="10"/>
      <c r="I11" s="10" t="str">
        <f>IFERROR(__xludf.DUMMYFUNCTION("""COMPUTED_VALUE"""),"While wearing this pendant, you can take a Magic action to regain 2d4 + 2 Hit Points. Once used, this property can't be used again until the next dawn.In addition, you have Advantage on saving throws to avoid or end the Poisoned condition while you wear t"&amp;"his pendant.")</f>
        <v>While wearing this pendant, you can take a Magic action to regain 2d4 + 2 Hit Points. Once used, this property can't be used again until the next dawn.In addition, you have Advantage on saving throws to avoid or end the Poisoned condition while you wear this pendant.</v>
      </c>
      <c r="L11" s="10">
        <f>IFERROR(__xludf.DUMMYFUNCTION("""COMPUTED_VALUE"""),350.0)</f>
        <v>350</v>
      </c>
    </row>
    <row r="12">
      <c r="A12" s="8" t="str">
        <f>IFERROR(__xludf.DUMMYFUNCTION("""COMPUTED_VALUE"""),"Ring of Truth Telling")</f>
        <v>Ring of Truth Telling</v>
      </c>
      <c r="B12" s="8" t="str">
        <f>IFERROR(__xludf.DUMMYFUNCTION("""COMPUTED_VALUE"""),"WDH")</f>
        <v>WDH</v>
      </c>
      <c r="C12" s="8" t="str">
        <f>IFERROR(__xludf.DUMMYFUNCTION("""COMPUTED_VALUE"""),"uncommon")</f>
        <v>uncommon</v>
      </c>
      <c r="D12" s="8" t="str">
        <f>IFERROR(__xludf.DUMMYFUNCTION("""COMPUTED_VALUE"""),"Ring")</f>
        <v>Ring</v>
      </c>
      <c r="E12" s="8" t="str">
        <f>IFERROR(__xludf.DUMMYFUNCTION("""COMPUTED_VALUE"""),"requires attunement")</f>
        <v>requires attunement</v>
      </c>
      <c r="F12" s="8"/>
      <c r="G12" s="8"/>
      <c r="H12" s="8"/>
      <c r="I12" s="8" t="str">
        <f>IFERROR(__xludf.DUMMYFUNCTION("""COMPUTED_VALUE"""),"While wearing this ring, you have advantage on Wisdom (Insight) checks to determine whether someone is lying to you.")</f>
        <v>While wearing this ring, you have advantage on Wisdom (Insight) checks to determine whether someone is lying to you.</v>
      </c>
      <c r="L12" s="8">
        <f>IFERROR(__xludf.DUMMYFUNCTION("""COMPUTED_VALUE"""),350.0)</f>
        <v>350</v>
      </c>
    </row>
    <row r="13">
      <c r="A13" s="11" t="str">
        <f>IFERROR(__xludf.DUMMYFUNCTION("""COMPUTED_VALUE"""),"Eyes of Minute Seeing")</f>
        <v>Eyes of Minute Seeing</v>
      </c>
      <c r="B13" s="11" t="str">
        <f>IFERROR(__xludf.DUMMYFUNCTION("""COMPUTED_VALUE"""),"DMG'24")</f>
        <v>DMG'24</v>
      </c>
      <c r="C13" s="11" t="str">
        <f>IFERROR(__xludf.DUMMYFUNCTION("""COMPUTED_VALUE"""),"uncommon")</f>
        <v>uncommon</v>
      </c>
      <c r="D13" s="11" t="str">
        <f>IFERROR(__xludf.DUMMYFUNCTION("""COMPUTED_VALUE"""),"Wondrous Item")</f>
        <v>Wondrous Item</v>
      </c>
      <c r="E13" s="11"/>
      <c r="F13" s="11"/>
      <c r="G13" s="11"/>
      <c r="H13" s="11"/>
      <c r="I13" s="11" t="str">
        <f>IFERROR(__xludf.DUMMYFUNCTION("""COMPUTED_VALUE"""),"These crystal lenses fit over the eyes. While wearing them, your vision improves significantly out to a range of 1 foot, granting you Darkvision within that range and Advantage on Intelligence (Investigation) checks made to examine something within that r"&amp;"ange.")</f>
        <v>These crystal lenses fit over the eyes. While wearing them, your vision improves significantly out to a range of 1 foot, granting you Darkvision within that range and Advantage on Intelligence (Investigation) checks made to examine something within that range.</v>
      </c>
      <c r="L13" s="11">
        <f>IFERROR(__xludf.DUMMYFUNCTION("""COMPUTED_VALUE"""),400.0)</f>
        <v>400</v>
      </c>
    </row>
    <row r="14">
      <c r="A14" s="8" t="str">
        <f>IFERROR(__xludf.DUMMYFUNCTION("""COMPUTED_VALUE"""),"Necklace of Adaptation")</f>
        <v>Necklace of Adaptation</v>
      </c>
      <c r="B14" s="8" t="str">
        <f>IFERROR(__xludf.DUMMYFUNCTION("""COMPUTED_VALUE"""),"DMG'24")</f>
        <v>DMG'24</v>
      </c>
      <c r="C14" s="8" t="str">
        <f>IFERROR(__xludf.DUMMYFUNCTION("""COMPUTED_VALUE"""),"uncommon")</f>
        <v>uncommon</v>
      </c>
      <c r="D14" s="8" t="str">
        <f>IFERROR(__xludf.DUMMYFUNCTION("""COMPUTED_VALUE"""),"Wondrous Item")</f>
        <v>Wondrous Item</v>
      </c>
      <c r="E14" s="8" t="str">
        <f>IFERROR(__xludf.DUMMYFUNCTION("""COMPUTED_VALUE"""),"requires attunement")</f>
        <v>requires attunement</v>
      </c>
      <c r="F14" s="8"/>
      <c r="G14" s="8"/>
      <c r="H14" s="8"/>
      <c r="I14" s="8" t="str">
        <f>IFERROR(__xludf.DUMMYFUNCTION("""COMPUTED_VALUE"""),"While wearing this necklace, you can breathe normally in any environment, and you have Advantage on saving throws made to avoid or end the Poisoned condition.")</f>
        <v>While wearing this necklace, you can breathe normally in any environment, and you have Advantage on saving throws made to avoid or end the Poisoned condition.</v>
      </c>
      <c r="L14" s="8">
        <f>IFERROR(__xludf.DUMMYFUNCTION("""COMPUTED_VALUE"""),400.0)</f>
        <v>400</v>
      </c>
    </row>
    <row r="15">
      <c r="A15" s="10" t="str">
        <f>IFERROR(__xludf.DUMMYFUNCTION("""COMPUTED_VALUE"""),"Eyes of the Eagle")</f>
        <v>Eyes of the Eagle</v>
      </c>
      <c r="B15" s="10" t="str">
        <f>IFERROR(__xludf.DUMMYFUNCTION("""COMPUTED_VALUE"""),"DMG'24")</f>
        <v>DMG'24</v>
      </c>
      <c r="C15" s="10" t="str">
        <f>IFERROR(__xludf.DUMMYFUNCTION("""COMPUTED_VALUE"""),"uncommon")</f>
        <v>uncommon</v>
      </c>
      <c r="D15" s="10" t="str">
        <f>IFERROR(__xludf.DUMMYFUNCTION("""COMPUTED_VALUE"""),"Wondrous Item")</f>
        <v>Wondrous Item</v>
      </c>
      <c r="E15" s="10"/>
      <c r="F15" s="10"/>
      <c r="G15" s="10"/>
      <c r="H15" s="10"/>
      <c r="I15" s="10" t="str">
        <f>IFERROR(__xludf.DUMMYFUNCTION("""COMPUTED_VALUE"""),"These crystal lenses fit over the eyes. While wearing them, you have Advantage on Wisdom (Perception) checks that rely on sight. In conditions of clear visibility, you can make out details of even extremely distant creatures and objects as small as 2 feet"&amp;" across.")</f>
        <v>These crystal lenses fit over the eyes. While wearing them, you have Advantage on Wisdom (Perception) checks that rely on sight. In conditions of clear visibility, you can make out details of even extremely distant creatures and objects as small as 2 feet across.</v>
      </c>
      <c r="L15" s="10">
        <f>IFERROR(__xludf.DUMMYFUNCTION("""COMPUTED_VALUE"""),450.0)</f>
        <v>450</v>
      </c>
    </row>
    <row r="16">
      <c r="A16" s="8" t="str">
        <f>IFERROR(__xludf.DUMMYFUNCTION("""COMPUTED_VALUE"""),"Ring of Puzzler's Wit")</f>
        <v>Ring of Puzzler's Wit</v>
      </c>
      <c r="B16" s="8" t="str">
        <f>IFERROR(__xludf.DUMMYFUNCTION("""COMPUTED_VALUE"""),"BMT")</f>
        <v>BMT</v>
      </c>
      <c r="C16" s="8" t="str">
        <f>IFERROR(__xludf.DUMMYFUNCTION("""COMPUTED_VALUE"""),"uncommon")</f>
        <v>uncommon</v>
      </c>
      <c r="D16" s="8" t="str">
        <f>IFERROR(__xludf.DUMMYFUNCTION("""COMPUTED_VALUE"""),"Ring")</f>
        <v>Ring</v>
      </c>
      <c r="E16" s="8"/>
      <c r="F16" s="8"/>
      <c r="G16" s="8"/>
      <c r="H16" s="8"/>
      <c r="I16" s="8" t="str">
        <f>IFERROR(__xludf.DUMMYFUNCTION("""COMPUTED_VALUE"""),"This gold ring bears a fluorite stone and is enchanted to sharpen the wearer's mind.The ring has 3 charges and regains 1d4 - 1 expended charges daily at dawn. When you make an Intelligence check, you can expend 1 charge to grant yourself advantage on the "&amp;"check.")</f>
        <v>This gold ring bears a fluorite stone and is enchanted to sharpen the wearer's mind.The ring has 3 charges and regains 1d4 - 1 expended charges daily at dawn. When you make an Intelligence check, you can expend 1 charge to grant yourself advantage on the check.</v>
      </c>
      <c r="L16" s="8">
        <f>IFERROR(__xludf.DUMMYFUNCTION("""COMPUTED_VALUE"""),550.0)</f>
        <v>550</v>
      </c>
    </row>
    <row r="17">
      <c r="A17" s="10" t="str">
        <f>IFERROR(__xludf.DUMMYFUNCTION("""COMPUTED_VALUE"""),"Knave's Eye Patch")</f>
        <v>Knave's Eye Patch</v>
      </c>
      <c r="B17" s="10" t="str">
        <f>IFERROR(__xludf.DUMMYFUNCTION("""COMPUTED_VALUE"""),"WDH")</f>
        <v>WDH</v>
      </c>
      <c r="C17" s="10" t="str">
        <f>IFERROR(__xludf.DUMMYFUNCTION("""COMPUTED_VALUE"""),"rare")</f>
        <v>rare</v>
      </c>
      <c r="D17" s="10" t="str">
        <f>IFERROR(__xludf.DUMMYFUNCTION("""COMPUTED_VALUE"""),"Wondrous Item")</f>
        <v>Wondrous Item</v>
      </c>
      <c r="E17" s="10" t="str">
        <f>IFERROR(__xludf.DUMMYFUNCTION("""COMPUTED_VALUE"""),"requires attunement")</f>
        <v>requires attunement</v>
      </c>
      <c r="F17" s="10"/>
      <c r="G17" s="10"/>
      <c r="H17" s="10"/>
      <c r="I17" s="10" t="str">
        <f>IFERROR(__xludf.DUMMYFUNCTION("""COMPUTED_VALUE"""),"While wearing this eye patch, you gain these benefits:You have advantage on Wisdom (Perception) checks that rely on sight.If you have the Sunlight Sensitivity trait, you are unaffected by the trait.You are immune to magic that allows other creatures to re"&amp;"ad your thoughts or determine whether you are lying. Creatures can communicate telepathically with you only if you allow it.")</f>
        <v>While wearing this eye patch, you gain these benefits:You have advantage on Wisdom (Perception) checks that rely on sight.If you have the Sunlight Sensitivity trait, you are unaffected by the trait.You are immune to magic that allows other creatures to read your thoughts or determine whether you are lying. Creatures can communicate telepathically with you only if you allow it.</v>
      </c>
      <c r="L17" s="10">
        <f>IFERROR(__xludf.DUMMYFUNCTION("""COMPUTED_VALUE"""),550.0)</f>
        <v>550</v>
      </c>
    </row>
    <row r="18">
      <c r="A18" s="8" t="str">
        <f>IFERROR(__xludf.DUMMYFUNCTION("""COMPUTED_VALUE"""),"Cloak of Elvenkind")</f>
        <v>Cloak of Elvenkind</v>
      </c>
      <c r="B18" s="8" t="str">
        <f>IFERROR(__xludf.DUMMYFUNCTION("""COMPUTED_VALUE"""),"DMG'24")</f>
        <v>DMG'24</v>
      </c>
      <c r="C18" s="8" t="str">
        <f>IFERROR(__xludf.DUMMYFUNCTION("""COMPUTED_VALUE"""),"uncommon")</f>
        <v>uncommon</v>
      </c>
      <c r="D18" s="8" t="str">
        <f>IFERROR(__xludf.DUMMYFUNCTION("""COMPUTED_VALUE"""),"Wondrous Item")</f>
        <v>Wondrous Item</v>
      </c>
      <c r="E18" s="8" t="str">
        <f>IFERROR(__xludf.DUMMYFUNCTION("""COMPUTED_VALUE"""),"requires attunement")</f>
        <v>requires attunement</v>
      </c>
      <c r="F18" s="8"/>
      <c r="G18" s="8"/>
      <c r="H18" s="8"/>
      <c r="I18" s="8" t="str">
        <f>IFERROR(__xludf.DUMMYFUNCTION("""COMPUTED_VALUE"""),"While you wear this cloak, Wisdom (Perception) checks made to perceive you have Disadvantage, and you have Advantage on Dexterity (Stealth) checks.")</f>
        <v>While you wear this cloak, Wisdom (Perception) checks made to perceive you have Disadvantage, and you have Advantage on Dexterity (Stealth) checks.</v>
      </c>
      <c r="L18" s="8">
        <f>IFERROR(__xludf.DUMMYFUNCTION("""COMPUTED_VALUE"""),700.0)</f>
        <v>700</v>
      </c>
    </row>
    <row r="19">
      <c r="A19" s="10" t="str">
        <f>IFERROR(__xludf.DUMMYFUNCTION("""COMPUTED_VALUE"""),"Shadowfell Brand Tattoo")</f>
        <v>Shadowfell Brand Tattoo</v>
      </c>
      <c r="B19" s="10" t="str">
        <f>IFERROR(__xludf.DUMMYFUNCTION("""COMPUTED_VALUE"""),"TCE")</f>
        <v>TCE</v>
      </c>
      <c r="C19" s="10" t="str">
        <f>IFERROR(__xludf.DUMMYFUNCTION("""COMPUTED_VALUE"""),"rare")</f>
        <v>rare</v>
      </c>
      <c r="D19" s="10" t="str">
        <f>IFERROR(__xludf.DUMMYFUNCTION("""COMPUTED_VALUE"""),"Wondrous Item (Tattoo)")</f>
        <v>Wondrous Item (Tattoo)</v>
      </c>
      <c r="E19" s="10" t="str">
        <f>IFERROR(__xludf.DUMMYFUNCTION("""COMPUTED_VALUE"""),"requires attunement")</f>
        <v>requires attunement</v>
      </c>
      <c r="F19" s="10"/>
      <c r="G19" s="10"/>
      <c r="H19" s="10"/>
      <c r="I19" s="10" t="str">
        <f>IFERROR(__xludf.DUMMYFUNCTION("""COMPUTED_VALUE"""),"Produced by a special needle, this magic tattoo is dark in color and abstract. Tattoo Attunement. To attune to this item, you hold the needle to your skin where you want the tattoo to appear, pressing the needle there throughout the attunement process. Wh"&amp;"en the attunement is complete, the needle turns into the ink that becomes the tattoo, which appears on the skin.If your attunement to the tattoo ends, the tattoo vanishes, and the needle reappears in your space. Shadow Essence. You gain darkvision with a "&amp;"range of 60 feet, and you have advantage on Dexterity (Stealth) checks. Shadowy Defense. When you take damage, you can use your reaction to become insubstantial for a moment, halving the damage you take. Then the reaction can't be used again until the nex"&amp;"t sunset.")</f>
        <v>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v>
      </c>
      <c r="L19" s="10">
        <f>IFERROR(__xludf.DUMMYFUNCTION("""COMPUTED_VALUE"""),700.0)</f>
        <v>700</v>
      </c>
    </row>
    <row r="20">
      <c r="A20" s="8" t="str">
        <f>IFERROR(__xludf.DUMMYFUNCTION("""COMPUTED_VALUE"""),"Boots of Elvenkind")</f>
        <v>Boots of Elvenkind</v>
      </c>
      <c r="B20" s="8" t="str">
        <f>IFERROR(__xludf.DUMMYFUNCTION("""COMPUTED_VALUE"""),"DMG'24")</f>
        <v>DMG'24</v>
      </c>
      <c r="C20" s="8" t="str">
        <f>IFERROR(__xludf.DUMMYFUNCTION("""COMPUTED_VALUE"""),"uncommon")</f>
        <v>uncommon</v>
      </c>
      <c r="D20" s="8" t="str">
        <f>IFERROR(__xludf.DUMMYFUNCTION("""COMPUTED_VALUE"""),"Wondrous Item")</f>
        <v>Wondrous Item</v>
      </c>
      <c r="E20" s="8"/>
      <c r="F20" s="8"/>
      <c r="G20" s="8"/>
      <c r="H20" s="8"/>
      <c r="I20" s="8" t="str">
        <f>IFERROR(__xludf.DUMMYFUNCTION("""COMPUTED_VALUE"""),"While you wear these boots, your steps make no sound, regardless of the surface you are moving across. You also have Advantage on Dexterity (Stealth) checks.")</f>
        <v>While you wear these boots, your steps make no sound, regardless of the surface you are moving across. You also have Advantage on Dexterity (Stealth) checks.</v>
      </c>
      <c r="L20" s="8">
        <f>IFERROR(__xludf.DUMMYFUNCTION("""COMPUTED_VALUE"""),850.0)</f>
        <v>850</v>
      </c>
    </row>
    <row r="21">
      <c r="A21" s="10" t="str">
        <f>IFERROR(__xludf.DUMMYFUNCTION("""COMPUTED_VALUE"""),"Cloak of the Bat")</f>
        <v>Cloak of the Bat</v>
      </c>
      <c r="B21" s="10" t="str">
        <f>IFERROR(__xludf.DUMMYFUNCTION("""COMPUTED_VALUE"""),"DMG'24")</f>
        <v>DMG'24</v>
      </c>
      <c r="C21" s="10" t="str">
        <f>IFERROR(__xludf.DUMMYFUNCTION("""COMPUTED_VALUE"""),"rare")</f>
        <v>rare</v>
      </c>
      <c r="D21" s="10" t="str">
        <f>IFERROR(__xludf.DUMMYFUNCTION("""COMPUTED_VALUE"""),"Wondrous Item")</f>
        <v>Wondrous Item</v>
      </c>
      <c r="E21" s="10" t="str">
        <f>IFERROR(__xludf.DUMMYFUNCTION("""COMPUTED_VALUE"""),"requires attunement")</f>
        <v>requires attunement</v>
      </c>
      <c r="F21" s="10"/>
      <c r="G21" s="10"/>
      <c r="H21" s="10"/>
      <c r="I21" s="10" t="str">
        <f>IFERROR(__xludf.DUMMYFUNCTION("""COMPUTED_VALUE"""),"While wearing this cloak, you have Advantage on Dexterity (Stealth) checks. In an area of Dim Light or Darkness, you can grip the edges of the cloak and use it to gain a Fly Speed of 40 feet. If you ever fail to grip the cloak's edges while flying in this"&amp;" way, or if you are no longer in Dim Light or Darkness, you lose this Fly Speed.While wearing the cloak in an area of Dim Light or Darkness, you can cast Polymorph on yourself, shape-shifting into a Bat. While in that form, you retain your Intelligence, W"&amp;"isdom, and Charisma scores. The cloak can't be used this way again until the next dawn.")</f>
        <v>While wearing this cloak, you have Advantage on Dexterity (Stealth) checks. In an area of Dim Light or Darkness, you can grip the edges of the cloak and use it to gain a Fly Speed of 40 feet. If you ever fail to grip the cloak's edges while flying in this way, or if you are no longer in Dim Light or Darkness, you lose this Fly Speed.While wearing the cloak in an area of Dim Light or Darkness, you can cast Polymorph on yourself, shape-shifting into a Bat. While in that form, you retain your Intelligence, Wisdom, and Charisma scores. The cloak can't be used this way again until the next dawn.</v>
      </c>
      <c r="L21" s="10">
        <f>IFERROR(__xludf.DUMMYFUNCTION("""COMPUTED_VALUE"""),850.0)</f>
        <v>850</v>
      </c>
    </row>
    <row r="22">
      <c r="A22" s="8" t="str">
        <f>IFERROR(__xludf.DUMMYFUNCTION("""COMPUTED_VALUE"""),"Rogue's Mantle")</f>
        <v>Rogue's Mantle</v>
      </c>
      <c r="B22" s="8" t="str">
        <f>IFERROR(__xludf.DUMMYFUNCTION("""COMPUTED_VALUE"""),"BMT")</f>
        <v>BMT</v>
      </c>
      <c r="C22" s="8" t="str">
        <f>IFERROR(__xludf.DUMMYFUNCTION("""COMPUTED_VALUE"""),"rare")</f>
        <v>rare</v>
      </c>
      <c r="D22" s="8" t="str">
        <f>IFERROR(__xludf.DUMMYFUNCTION("""COMPUTED_VALUE"""),"Wondrous Item")</f>
        <v>Wondrous Item</v>
      </c>
      <c r="E22" s="8" t="str">
        <f>IFERROR(__xludf.DUMMYFUNCTION("""COMPUTED_VALUE"""),"requires attunement")</f>
        <v>requires attunement</v>
      </c>
      <c r="F22" s="8"/>
      <c r="G22" s="8"/>
      <c r="H22" s="8"/>
      <c r="I22" s="8" t="str">
        <f>IFERROR(__xludf.DUMMYFUNCTION("""COMPUTED_VALUE"""),"This dark, hooded mantle of thick cloth is infused with secretive and deceptive magic. While wearing it, you gain the following benefits:Darkvision. You gain darkvision within a range of 60 feet. If you already have darkvision, the mantle increases your d"&amp;"arkvision's range by 60 feet instead. Move in Shadows. While you are in dim light or darkness, you can use a bonus action to teleport, along with anything you are wearing or carrying, up to 30 feet to an unoccupied space you can see that is also in dim li"&amp;"ght or darkness. You then have advantage on the first melee attack you make before the end of the turn. Willful Enmity. You can cast the Antagonize spell (save DC 15) from the mantle. Once the mantle has cast the spell, it can't cast the spell again until"&amp;" the next dawn.")</f>
        <v>This dark, hooded mantle of thick cloth is infused with secretive and deceptive magic. While wearing it, you gain the following benefits:Darkvision.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v>
      </c>
      <c r="L22" s="8">
        <f>IFERROR(__xludf.DUMMYFUNCTION("""COMPUTED_VALUE"""),850.0)</f>
        <v>850</v>
      </c>
    </row>
    <row r="23">
      <c r="A23" s="10" t="str">
        <f>IFERROR(__xludf.DUMMYFUNCTION("""COMPUTED_VALUE"""),"Wayfarer's Boots")</f>
        <v>Wayfarer's Boots</v>
      </c>
      <c r="B23" s="10" t="str">
        <f>IFERROR(__xludf.DUMMYFUNCTION("""COMPUTED_VALUE"""),"BGG")</f>
        <v>BGG</v>
      </c>
      <c r="C23" s="10" t="str">
        <f>IFERROR(__xludf.DUMMYFUNCTION("""COMPUTED_VALUE"""),"rare")</f>
        <v>rare</v>
      </c>
      <c r="D23" s="10" t="str">
        <f>IFERROR(__xludf.DUMMYFUNCTION("""COMPUTED_VALUE"""),"Wondrous Item")</f>
        <v>Wondrous Item</v>
      </c>
      <c r="E23" s="10" t="str">
        <f>IFERROR(__xludf.DUMMYFUNCTION("""COMPUTED_VALUE"""),"requires attunement")</f>
        <v>requires attunement</v>
      </c>
      <c r="F23" s="10"/>
      <c r="G23" s="10"/>
      <c r="H23" s="10"/>
      <c r="I23" s="10" t="str">
        <f>IFERROR(__xludf.DUMMYFUNCTION("""COMPUTED_VALUE"""),"This pair of boots is made of durable cloth, with the journey rune stitched in golden thread above each heel. While you are wearing this item, your walking speed increases by 10 feet, and you have advantage on Wisdom (Survival) checks. Invoking the Runes."&amp;" As a bonus action, you can invoke the boots' runes to cast the expeditious retreat spell with them. Once the runes have been invoked, they can't be invoked again until the next dawn.")</f>
        <v>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v>
      </c>
      <c r="L23" s="10">
        <f>IFERROR(__xludf.DUMMYFUNCTION("""COMPUTED_VALUE"""),900.0)</f>
        <v>900</v>
      </c>
    </row>
    <row r="24">
      <c r="A24" s="8" t="str">
        <f>IFERROR(__xludf.DUMMYFUNCTION("""COMPUTED_VALUE"""),"Quarterstaff of the Acrobat")</f>
        <v>Quarterstaff of the Acrobat</v>
      </c>
      <c r="B24" s="8" t="str">
        <f>IFERROR(__xludf.DUMMYFUNCTION("""COMPUTED_VALUE"""),"DMG'24")</f>
        <v>DMG'24</v>
      </c>
      <c r="C24" s="8" t="str">
        <f>IFERROR(__xludf.DUMMYFUNCTION("""COMPUTED_VALUE"""),"very rare")</f>
        <v>very rare</v>
      </c>
      <c r="D24" s="8" t="str">
        <f>IFERROR(__xludf.DUMMYFUNCTION("""COMPUTED_VALUE"""),"Simple Weapon, Melee Weapon")</f>
        <v>Simple Weapon, Melee Weapon</v>
      </c>
      <c r="E24" s="8" t="str">
        <f>IFERROR(__xludf.DUMMYFUNCTION("""COMPUTED_VALUE"""),"requires attunement")</f>
        <v>requires attunement</v>
      </c>
      <c r="F24" s="8" t="str">
        <f>IFERROR(__xludf.DUMMYFUNCTION("""COMPUTED_VALUE"""),"1d6 Bludgeoning")</f>
        <v>1d6 Bludgeoning</v>
      </c>
      <c r="G24" s="8" t="str">
        <f>IFERROR(__xludf.DUMMYFUNCTION("""COMPUTED_VALUE"""),"Thrown (30/120 ft.), Versatile (1d8)")</f>
        <v>Thrown (30/120 ft.), Versatile (1d8)</v>
      </c>
      <c r="H24" s="8" t="str">
        <f>IFERROR(__xludf.DUMMYFUNCTION("""COMPUTED_VALUE"""),"Mastery: Topple")</f>
        <v>Mastery: Topple</v>
      </c>
      <c r="I24" s="8" t="str">
        <f>IFERROR(__xludf.DUMMYFUNCTION("""COMPUTED_VALUE"""),"While holding this weapon, you can cause it to emit green Dim Light out to 10 feet, either as a Bonus Action or after you roll Initiative, or you can extinguish the light as a Bonus Action.While holding this weapon, you can take a Bonus Action to alter it"&amp;"s form, turning it into a 6-inch rod (for ease of storage) or a 10-foot pole, or reverting it a Quarterstaff; the weapon will elongate only as far as the surrounding space allows.In certain forms, the weapon has the following additional properties. Acroba"&amp;"tic Assist (Quarterstaff and 10-Foot Pole Forms Only). While holding this weapon, you have Advantage on Dexterity (Acrobatics) checks. Attack Deflection (Quarterstaff Form Only). When you are hit by an attack while holding the weapon, you can take a React"&amp;"ion to twirl the weapon around you, gaining a +5 bonus to your Armor Class against the triggering attack, potentially causing the attack to miss you. You can't use this property again until you finish a Short or Long Rest. Ranged Weapon (Quarterstaff Form"&amp;" Only). This weapon has Thrown with a normal range of 30 feet and a long range of 120 feet. Immediately after you make a ranged attack with the weapon, it flies back to your hand. Thrown. If a weapon has the Thrown property, you can throw the weapon to ma"&amp;"ke a ranged attack, and you can draw that weapon as part of the attack. If the weapon is a Melee weapon, use the same ability modifier for the attack and damage rolls that you use for a melee attack with that weapon. Versatile. A Versatile weapon can be u"&amp;"sed with one or two hands. A damage value in parentheses appears with the property. The weapon deals that damage when used with two hands to make a melee attack. Mastery: Topple. If you hit a creature with this weapon, you can force the creature to make a"&amp;" Constitution saving throw (DC 8 plus the ability modifier used to make the attack roll and your Proficiency Bonus). On a failed save, the creature has the Prone condition.")</f>
        <v>While holding this weapon, you can cause it to emit green Dim Light out to 10 feet, either as a Bonus Action or after you roll Initiative, or you can extinguish the light as a Bonus Action.While holding this weapon, you can take a Bonus Action to alter its form, turning it into a 6-inch rod (for ease of storage) or a 10-foot pole, or reverting it a Quarterstaff; the weapon will elongate only as far as the surrounding space allows.In certain forms, the weapon has the following additional properties. Acrobatic Assist (Quarterstaff and 10-Foot Pole Forms Only). While holding this weapon, you have Advantage on Dexterity (Acrobatics) checks. Attack Deflection (Quarterstaff Form Only). When you are hit by an attack while holding the weapon, you can take a Reaction to twirl the weapon around you, gaining a +5 bonus to your Armor Class against the triggering attack, potentially causing the attack to miss you. You can't use this property again until you finish a Short or Long Rest. Ranged Weapon (Quarterstaff Form Only). This weapon has Thrown with a normal range of 30 feet and a long range of 120 feet. Immediately after you make a ranged attack with the weapon, it flies back to your hand.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4" s="8">
        <f>IFERROR(__xludf.DUMMYFUNCTION("""COMPUTED_VALUE"""),900.0)</f>
        <v>900</v>
      </c>
    </row>
    <row r="25">
      <c r="A25" s="10" t="str">
        <f>IFERROR(__xludf.DUMMYFUNCTION("""COMPUTED_VALUE"""),"Bracers of Celerity")</f>
        <v>Bracers of Celerity</v>
      </c>
      <c r="B25" s="10" t="str">
        <f>IFERROR(__xludf.DUMMYFUNCTION("""COMPUTED_VALUE"""),"PaBTSO")</f>
        <v>PaBTSO</v>
      </c>
      <c r="C25" s="10" t="str">
        <f>IFERROR(__xludf.DUMMYFUNCTION("""COMPUTED_VALUE"""),"rare")</f>
        <v>rare</v>
      </c>
      <c r="D25" s="10" t="str">
        <f>IFERROR(__xludf.DUMMYFUNCTION("""COMPUTED_VALUE"""),"Wondrous Item")</f>
        <v>Wondrous Item</v>
      </c>
      <c r="E25" s="10" t="str">
        <f>IFERROR(__xludf.DUMMYFUNCTION("""COMPUTED_VALUE"""),"requires attunement")</f>
        <v>requires attunement</v>
      </c>
      <c r="F25" s="10"/>
      <c r="G25" s="10"/>
      <c r="H25" s="10"/>
      <c r="I25" s="10" t="str">
        <f>IFERROR(__xludf.DUMMYFUNCTION("""COMPUTED_VALUE"""),"This pair of lightweight bronze bracers is lined with soft, purple velvet and engraved with swirling designs.While you're wearing these bracers, all your speeds increase by 10 feet, and you have advantage on saving throws you make to avoid or end the para"&amp;"lyzed or restrained condition on yourself.")</f>
        <v>This pair of lightweight bronze bracers is lined with soft, purple velvet and engraved with swirling designs.While you're wearing these bracers, all your speeds increase by 10 feet, and you have advantage on saving throws you make to avoid or end the paralyzed or restrained condition on yourself.</v>
      </c>
      <c r="L25" s="10">
        <f>IFERROR(__xludf.DUMMYFUNCTION("""COMPUTED_VALUE"""),1000.0)</f>
        <v>1000</v>
      </c>
    </row>
    <row r="26">
      <c r="A26" s="8" t="str">
        <f>IFERROR(__xludf.DUMMYFUNCTION("""COMPUTED_VALUE"""),"Robe of Eyes")</f>
        <v>Robe of Eyes</v>
      </c>
      <c r="B26" s="8" t="str">
        <f>IFERROR(__xludf.DUMMYFUNCTION("""COMPUTED_VALUE"""),"DMG'24")</f>
        <v>DMG'24</v>
      </c>
      <c r="C26" s="8" t="str">
        <f>IFERROR(__xludf.DUMMYFUNCTION("""COMPUTED_VALUE"""),"rare")</f>
        <v>rare</v>
      </c>
      <c r="D26" s="8" t="str">
        <f>IFERROR(__xludf.DUMMYFUNCTION("""COMPUTED_VALUE"""),"Wondrous Item")</f>
        <v>Wondrous Item</v>
      </c>
      <c r="E26" s="8" t="str">
        <f>IFERROR(__xludf.DUMMYFUNCTION("""COMPUTED_VALUE"""),"requires attunement")</f>
        <v>requires attunement</v>
      </c>
      <c r="F26" s="8"/>
      <c r="G26" s="8"/>
      <c r="H26" s="8"/>
      <c r="I26" s="8" t="str">
        <f>IFERROR(__xludf.DUMMYFUNCTION("""COMPUTED_VALUE"""),"This robe is adorned with eyelike patterns. While you wear the robe, you gain the following benefits:All-Around Vision. The robe gives you Advantage on Wisdom (Perception) checks that rely on sight. Special Senses. You have Darkvision and Truesight, both "&amp;"with a range of 120 feet. Drawbacks. A Light spell cast on the robe or a Daylight spell cast within 5 feet of the robe gives you the Blinded condition for 1 minute. At the end of each of your turns, you make a Constitution saving throw (DC 11 for Light or"&amp;" DC 15 for Daylight), ending the condition on yourself on a success.")</f>
        <v>This robe is adorned with eyelike patterns. While you wear the robe, you gain the following benefits:All-Around Vision. The robe gives you Advantage on Wisdom (Perception) checks that rely on sight. Special Senses. You have Darkvision and Truesight, both with a range of 120 feet. Drawbacks. A Light spell cast on the robe or a Daylight spell cast within 5 feet of the robe gives you the Blinded condition for 1 minute. At the end of each of your turns, you make a Constitution saving throw (DC 11 for Light or DC 15 for Daylight), ending the condition on yourself on a success.</v>
      </c>
      <c r="L26" s="8">
        <f>IFERROR(__xludf.DUMMYFUNCTION("""COMPUTED_VALUE"""),1000.0)</f>
        <v>1000</v>
      </c>
    </row>
    <row r="27">
      <c r="A27" s="11" t="str">
        <f>IFERROR(__xludf.DUMMYFUNCTION("""COMPUTED_VALUE"""),"War Horn of Valor")</f>
        <v>War Horn of Valor</v>
      </c>
      <c r="B27" s="11" t="str">
        <f>IFERROR(__xludf.DUMMYFUNCTION("""COMPUTED_VALUE"""),"BGG")</f>
        <v>BGG</v>
      </c>
      <c r="C27" s="11" t="str">
        <f>IFERROR(__xludf.DUMMYFUNCTION("""COMPUTED_VALUE"""),"rare")</f>
        <v>rare</v>
      </c>
      <c r="D27" s="11" t="str">
        <f>IFERROR(__xludf.DUMMYFUNCTION("""COMPUTED_VALUE"""),"Wondrous Item")</f>
        <v>Wondrous Item</v>
      </c>
      <c r="E27" s="11"/>
      <c r="F27" s="11"/>
      <c r="G27" s="11"/>
      <c r="H27" s="11"/>
      <c r="I27" s="11" t="str">
        <f>IFERROR(__xludf.DUMMYFUNCTION("""COMPUTED_VALUE"""),"This brass war horn is engraved with the war rune, which glows purple when the horn is blown. You can blow the horn as a bonus action. When you do, if you have the frightened condition, you immediately end that condition on yourself. You also have advanta"&amp;"ge on saving throws against being frightened until the start of your next turn. Invoking the Rune. When you blow the horn, you can also invoke the rune, imbuing the horn's deep call with protective magic that affects creatures of your choice within 30 fee"&amp;"t of yourself. You and all affected creatures gain a +1 bonus to AC until the start of your next turn. Once the rune has been invoked, it can't be invoked again until the next dawn.")</f>
        <v>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v>
      </c>
      <c r="L27" s="11">
        <f>IFERROR(__xludf.DUMMYFUNCTION("""COMPUTED_VALUE"""),1000.0)</f>
        <v>1000</v>
      </c>
    </row>
    <row r="28">
      <c r="A28" s="8" t="str">
        <f>IFERROR(__xludf.DUMMYFUNCTION("""COMPUTED_VALUE"""),"Ioun Stone, Awareness")</f>
        <v>Ioun Stone, Awareness</v>
      </c>
      <c r="B28" s="8" t="str">
        <f>IFERROR(__xludf.DUMMYFUNCTION("""COMPUTED_VALUE"""),"DMG'24")</f>
        <v>DMG'24</v>
      </c>
      <c r="C28" s="8" t="str">
        <f>IFERROR(__xludf.DUMMYFUNCTION("""COMPUTED_VALUE"""),"rare")</f>
        <v>rare</v>
      </c>
      <c r="D28" s="8" t="str">
        <f>IFERROR(__xludf.DUMMYFUNCTION("""COMPUTED_VALUE"""),"Wondrous Item")</f>
        <v>Wondrous Item</v>
      </c>
      <c r="E28" s="8" t="str">
        <f>IFERROR(__xludf.DUMMYFUNCTION("""COMPUTED_VALUE"""),"requires attunement")</f>
        <v>requires attunement</v>
      </c>
      <c r="F28" s="8"/>
      <c r="G28" s="8"/>
      <c r="H28" s="8"/>
      <c r="I28"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it.While this dark-blue rhomboid orbits your head, you have Advantage on Initiative rolls and Wisdom (Perception) checks.")</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it.While this dark-blue rhomboid orbits your head, you have Advantage on Initiative rolls and Wisdom (Perception) checks.</v>
      </c>
      <c r="L28" s="8">
        <f>IFERROR(__xludf.DUMMYFUNCTION("""COMPUTED_VALUE"""),1100.0)</f>
        <v>1100</v>
      </c>
    </row>
    <row r="29">
      <c r="A29" s="10" t="str">
        <f>IFERROR(__xludf.DUMMYFUNCTION("""COMPUTED_VALUE"""),"Weapon of Warning")</f>
        <v>Weapon of Warning</v>
      </c>
      <c r="B29" s="10" t="str">
        <f>IFERROR(__xludf.DUMMYFUNCTION("""COMPUTED_VALUE"""),"DMG'24")</f>
        <v>DMG'24</v>
      </c>
      <c r="C29" s="10" t="str">
        <f>IFERROR(__xludf.DUMMYFUNCTION("""COMPUTED_VALUE"""),"uncommon")</f>
        <v>uncommon</v>
      </c>
      <c r="D29" s="10" t="str">
        <f>IFERROR(__xludf.DUMMYFUNCTION("""COMPUTED_VALUE"""),"Generic Variant")</f>
        <v>Generic Variant</v>
      </c>
      <c r="E29" s="10" t="str">
        <f>IFERROR(__xludf.DUMMYFUNCTION("""COMPUTED_VALUE"""),"requires attunement")</f>
        <v>requires attunement</v>
      </c>
      <c r="F29" s="10"/>
      <c r="G29" s="10"/>
      <c r="H29" s="10"/>
      <c r="I29" s="10" t="str">
        <f>IFERROR(__xludf.DUMMYFUNCTION("""COMPUTED_VALUE"""),"As long as this weapon is within your reach and you are attuned to it, you and allies within 30 feet of you gain the following benefits. Alarm. The weapon magically awakens each subject who is sleeping naturally when combat begins. This benefit doesn't wa"&amp;"ke a subject from magically induced sleep. Supernatural Readiness. Each subject has Advantage on its Initiative rolls. 
Applied to non-magical Base Equipment.")</f>
        <v>As long as this weapon is within your reach and you are attuned to it, you and allies within 30 feet of you gain the following benefits. Alarm. The weapon magically awakens each subject who is sleeping naturally when combat begins. This benefit doesn't wake a subject from magically induced sleep. Supernatural Readiness. Each subject has Advantage on its Initiative rolls. 
Applied to non-magical Base Equipment.</v>
      </c>
      <c r="L29" s="10">
        <f>IFERROR(__xludf.DUMMYFUNCTION("""COMPUTED_VALUE"""),1200.0)</f>
        <v>1200</v>
      </c>
    </row>
    <row r="30">
      <c r="A30" s="8" t="str">
        <f>IFERROR(__xludf.DUMMYFUNCTION("""COMPUTED_VALUE"""),"Stirring Dragon-Touched Focus")</f>
        <v>Stirring Dragon-Touched Focus</v>
      </c>
      <c r="B30" s="8" t="str">
        <f>IFERROR(__xludf.DUMMYFUNCTION("""COMPUTED_VALUE"""),"FTD")</f>
        <v>FTD</v>
      </c>
      <c r="C30" s="8" t="str">
        <f>IFERROR(__xludf.DUMMYFUNCTION("""COMPUTED_VALUE"""),"rare")</f>
        <v>rare</v>
      </c>
      <c r="D30" s="8" t="str">
        <f>IFERROR(__xludf.DUMMYFUNCTION("""COMPUTED_VALUE"""),"Wondrous Item, Spellcasting Focus")</f>
        <v>Wondrous Item, Spellcasting Focus</v>
      </c>
      <c r="E30" s="8" t="str">
        <f>IFERROR(__xludf.DUMMYFUNCTION("""COMPUTED_VALUE"""),"requires attunement by a spellcaster")</f>
        <v>requires attunement by a spellcaster</v>
      </c>
      <c r="F30" s="8"/>
      <c r="G30" s="8"/>
      <c r="H30" s="8"/>
      <c r="I30" s="8" t="str">
        <f>IFERROR(__xludf.DUMMYFUNCTION("""COMPUTED_VALUE"""),"This wondrous item can be a scepter, an orb, an amulet, a crystal, or another finely crafted object. It typically incorporates imagery of dragons' wings, claws, teeth, or scales. You have advantage on initiative rolls. While you are holding the focus, it "&amp;"can function as a spellcasting focus for all your spells. The focus gains an additional property determined by the family of the dragon in whose hoard it became Stirring:Chromatic. Whenever you use a spell slot to cast a spell that deals acid, cold, fire,"&amp;" lightning, or poison damage, roll a d6, and you gain a bonus equal to the number rolled to one of the spell's damage rolls. Gem. Whenever you use a spell slot to cast a spell, you can immediately teleport to an unoccupied space you can see within 15 feet"&amp;" of you. Metallic. When a creature you can see within 30 feet of you makes a saving throw, you can use your reaction to give that creature advantage on the saving throw.")</f>
        <v>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v>
      </c>
      <c r="L30" s="8">
        <f>IFERROR(__xludf.DUMMYFUNCTION("""COMPUTED_VALUE"""),1200.0)</f>
        <v>1200</v>
      </c>
    </row>
    <row r="31">
      <c r="A31" s="10" t="str">
        <f>IFERROR(__xludf.DUMMYFUNCTION("""COMPUTED_VALUE"""),"Mantle of Spell Resistance")</f>
        <v>Mantle of Spell Resistance</v>
      </c>
      <c r="B31" s="10" t="str">
        <f>IFERROR(__xludf.DUMMYFUNCTION("""COMPUTED_VALUE"""),"DMG'24")</f>
        <v>DMG'24</v>
      </c>
      <c r="C31" s="10" t="str">
        <f>IFERROR(__xludf.DUMMYFUNCTION("""COMPUTED_VALUE"""),"rare")</f>
        <v>rare</v>
      </c>
      <c r="D31" s="10" t="str">
        <f>IFERROR(__xludf.DUMMYFUNCTION("""COMPUTED_VALUE"""),"Wondrous Item")</f>
        <v>Wondrous Item</v>
      </c>
      <c r="E31" s="10" t="str">
        <f>IFERROR(__xludf.DUMMYFUNCTION("""COMPUTED_VALUE"""),"requires attunement")</f>
        <v>requires attunement</v>
      </c>
      <c r="F31" s="10"/>
      <c r="G31" s="10"/>
      <c r="H31" s="10"/>
      <c r="I31" s="10" t="str">
        <f>IFERROR(__xludf.DUMMYFUNCTION("""COMPUTED_VALUE"""),"You have Advantage on saving throws against spells while you wear this cloak.")</f>
        <v>You have Advantage on saving throws against spells while you wear this cloak.</v>
      </c>
      <c r="L31" s="10">
        <f>IFERROR(__xludf.DUMMYFUNCTION("""COMPUTED_VALUE"""),1400.0)</f>
        <v>1400</v>
      </c>
    </row>
    <row r="32">
      <c r="A32" s="8" t="str">
        <f>IFERROR(__xludf.DUMMYFUNCTION("""COMPUTED_VALUE"""),"Mindguard Crown")</f>
        <v>Mindguard Crown</v>
      </c>
      <c r="B32" s="8" t="str">
        <f>IFERROR(__xludf.DUMMYFUNCTION("""COMPUTED_VALUE"""),"PaBTSO")</f>
        <v>PaBTSO</v>
      </c>
      <c r="C32" s="8" t="str">
        <f>IFERROR(__xludf.DUMMYFUNCTION("""COMPUTED_VALUE"""),"very rare")</f>
        <v>very rare</v>
      </c>
      <c r="D32" s="8" t="str">
        <f>IFERROR(__xludf.DUMMYFUNCTION("""COMPUTED_VALUE"""),"Wondrous Item")</f>
        <v>Wondrous Item</v>
      </c>
      <c r="E32" s="8" t="str">
        <f>IFERROR(__xludf.DUMMYFUNCTION("""COMPUTED_VALUE"""),"requires attunement")</f>
        <v>requires attunement</v>
      </c>
      <c r="F32" s="8"/>
      <c r="G32" s="8"/>
      <c r="H32" s="8"/>
      <c r="I32" s="8" t="str">
        <f>IFERROR(__xludf.DUMMYFUNCTION("""COMPUTED_VALUE"""),"While you wear this adamantine crown, you have advantage on Intelligence, Wisdom, and Charisma saving throws, and you have resistance to psychic damage.")</f>
        <v>While you wear this adamantine crown, you have advantage on Intelligence, Wisdom, and Charisma saving throws, and you have resistance to psychic damage.</v>
      </c>
      <c r="L32" s="8">
        <f>IFERROR(__xludf.DUMMYFUNCTION("""COMPUTED_VALUE"""),1400.0)</f>
        <v>1400</v>
      </c>
    </row>
    <row r="33">
      <c r="A33" s="10" t="str">
        <f>IFERROR(__xludf.DUMMYFUNCTION("""COMPUTED_VALUE"""),"Sentinel Shield")</f>
        <v>Sentinel Shield</v>
      </c>
      <c r="B33" s="10" t="str">
        <f>IFERROR(__xludf.DUMMYFUNCTION("""COMPUTED_VALUE"""),"DMG'24")</f>
        <v>DMG'24</v>
      </c>
      <c r="C33" s="10" t="str">
        <f>IFERROR(__xludf.DUMMYFUNCTION("""COMPUTED_VALUE"""),"uncommon")</f>
        <v>uncommon</v>
      </c>
      <c r="D33" s="10" t="str">
        <f>IFERROR(__xludf.DUMMYFUNCTION("""COMPUTED_VALUE"""),"Shield")</f>
        <v>Shield</v>
      </c>
      <c r="E33" s="10"/>
      <c r="F33" s="10" t="str">
        <f>IFERROR(__xludf.DUMMYFUNCTION("""COMPUTED_VALUE"""),"AC +2")</f>
        <v>AC +2</v>
      </c>
      <c r="G33" s="10"/>
      <c r="H33" s="10"/>
      <c r="I33" s="10" t="str">
        <f>IFERROR(__xludf.DUMMYFUNCTION("""COMPUTED_VALUE"""),"While holding this Shield, you have Advantage on Initiative rolls and Wisdom (Perception) checks. The Shield is emblazoned with a symbol of an eye.")</f>
        <v>While holding this Shield, you have Advantage on Initiative rolls and Wisdom (Perception) checks. The Shield is emblazoned with a symbol of an eye.</v>
      </c>
      <c r="L33" s="10">
        <f>IFERROR(__xludf.DUMMYFUNCTION("""COMPUTED_VALUE"""),1500.0)</f>
        <v>1500</v>
      </c>
    </row>
    <row r="34">
      <c r="A34" s="8" t="str">
        <f>IFERROR(__xludf.DUMMYFUNCTION("""COMPUTED_VALUE"""),"Stirring Scaled Ornament")</f>
        <v>Stirring Scaled Ornament</v>
      </c>
      <c r="B34" s="8" t="str">
        <f>IFERROR(__xludf.DUMMYFUNCTION("""COMPUTED_VALUE"""),"FTD")</f>
        <v>FTD</v>
      </c>
      <c r="C34" s="8" t="str">
        <f>IFERROR(__xludf.DUMMYFUNCTION("""COMPUTED_VALUE"""),"rare")</f>
        <v>rare</v>
      </c>
      <c r="D34" s="8" t="str">
        <f>IFERROR(__xludf.DUMMYFUNCTION("""COMPUTED_VALUE"""),"Wondrous Item")</f>
        <v>Wondrous Item</v>
      </c>
      <c r="E34" s="8" t="str">
        <f>IFERROR(__xludf.DUMMYFUNCTION("""COMPUTED_VALUE"""),"requires attunement")</f>
        <v>requires attunement</v>
      </c>
      <c r="F34" s="8"/>
      <c r="G34" s="8"/>
      <c r="H34" s="8"/>
      <c r="I34" s="8" t="str">
        <f>IFERROR(__xludf.DUMMYFUNCTION("""COMPUTED_VALUE"""),"This ornament can be jewelry, a cloak, or another wearable accessory. It appears to be fashioned from a dragon's scale, tooth, or claw, or it incorporates images in those shapes.You gain a +1 bonus to AC, and you can't be charmed or frightened. Moreover, "&amp;"each creature of your choice within 30 feet of you has advantage on saving throws it makes to avoid being charmed or frightened or to end those conditions on itself.")</f>
        <v>This ornament can be jewelry, a cloak, or another wearable accessory. It appears to be fashioned from a dragon's scale, tooth, or claw, or it incorporates images in those shapes.You gain a +1 bonus to AC, and you can't be charmed or frightened. Moreover, each creature of your choice within 30 feet of you has advantage on saving throws it makes to avoid being charmed or frightened or to end those conditions on itself.</v>
      </c>
      <c r="L34" s="8">
        <f>IFERROR(__xludf.DUMMYFUNCTION("""COMPUTED_VALUE"""),1500.0)</f>
        <v>1500</v>
      </c>
    </row>
    <row r="35">
      <c r="A35" s="10" t="str">
        <f>IFERROR(__xludf.DUMMYFUNCTION("""COMPUTED_VALUE"""),"Cape of Enlargement")</f>
        <v>Cape of Enlargement</v>
      </c>
      <c r="B35" s="10" t="str">
        <f>IFERROR(__xludf.DUMMYFUNCTION("""COMPUTED_VALUE"""),"PaBTSO")</f>
        <v>PaBTSO</v>
      </c>
      <c r="C35" s="10" t="str">
        <f>IFERROR(__xludf.DUMMYFUNCTION("""COMPUTED_VALUE"""),"very rare")</f>
        <v>very rare</v>
      </c>
      <c r="D35" s="10" t="str">
        <f>IFERROR(__xludf.DUMMYFUNCTION("""COMPUTED_VALUE"""),"Wondrous Item")</f>
        <v>Wondrous Item</v>
      </c>
      <c r="E35" s="10" t="str">
        <f>IFERROR(__xludf.DUMMYFUNCTION("""COMPUTED_VALUE"""),"requires attunement")</f>
        <v>requires attunement</v>
      </c>
      <c r="F35" s="10"/>
      <c r="G35" s="10"/>
      <c r="H35" s="10"/>
      <c r="I35" s="10" t="str">
        <f>IFERROR(__xludf.DUMMYFUNCTION("""COMPUTED_VALUE"""),"Ancient runes are stitched in silver thread along the hem of this grayish-purple cape.The cape has 3 charges. As a bonus action while wearing the cape, you can expend 1 of its charges to enlarge yourself, granting yourself the following benefits:Your size"&amp;" increases by one category from Medium to Large, for example. If there isn't enough room for your size to increase by one category, you instead become the maximum possible size in the space available.You have advantage on Strength checks and Strength savi"&amp;"ng throws.When you hit with an attack roll using a weapon or an unarmed strike, you can add your proficiency bonus to the attack's damage.These benefits last for 10 minutes or until you use another bonus action to dismiss them. The cape regains 1d3 expend"&amp;"ed charges daily at dawn.")</f>
        <v>Ancient runes are stitched in silver thread along the hem of this grayish-purple cape.The cape has 3 charges. As a bonus action while wearing the cape, you can expend 1 of its charges to enlarge yourself, granting yourself the following benefits:Your size increases by one category from Medium to Large, for example. If there isn't enough room for your size to increase by one category, you instead become the maximum possible size in the space available.You have advantage on Strength checks and Strength saving throws.When you hit with an attack roll using a weapon or an unarmed strike, you can add your proficiency bonus to the attack's damage.These benefits last for 10 minutes or until you use another bonus action to dismiss them. The cape regains 1d3 expended charges daily at dawn.</v>
      </c>
      <c r="L35" s="10">
        <f>IFERROR(__xludf.DUMMYFUNCTION("""COMPUTED_VALUE"""),1800.0)</f>
        <v>1800</v>
      </c>
    </row>
    <row r="36">
      <c r="A36" s="9" t="str">
        <f>IFERROR(__xludf.DUMMYFUNCTION("""COMPUTED_VALUE"""),"Rod of Alertness")</f>
        <v>Rod of Alertness</v>
      </c>
      <c r="B36" s="9" t="str">
        <f>IFERROR(__xludf.DUMMYFUNCTION("""COMPUTED_VALUE"""),"DMG'24")</f>
        <v>DMG'24</v>
      </c>
      <c r="C36" s="9" t="str">
        <f>IFERROR(__xludf.DUMMYFUNCTION("""COMPUTED_VALUE"""),"very rare")</f>
        <v>very rare</v>
      </c>
      <c r="D36" s="9" t="str">
        <f>IFERROR(__xludf.DUMMYFUNCTION("""COMPUTED_VALUE"""),"Rod")</f>
        <v>Rod</v>
      </c>
      <c r="E36" s="9" t="str">
        <f>IFERROR(__xludf.DUMMYFUNCTION("""COMPUTED_VALUE"""),"requires attunement")</f>
        <v>requires attunement</v>
      </c>
      <c r="F36" s="9"/>
      <c r="G36" s="9"/>
      <c r="H36" s="9"/>
      <c r="I36" s="9" t="str">
        <f>IFERROR(__xludf.DUMMYFUNCTION("""COMPUTED_VALUE"""),"This rod has the following properties. Alertness. While holding the rod, you have Advantage on Wisdom (Perception) checks and on Initiative rolls. Spells. While holding the rod, you can cast the following spells from it:Detect Evil and Good Detect Magic D"&amp;"etect Poison and Disease See Invisibility Protective Aura. As a Magic action, you can plant the haft end of the rod in the ground, whereupon the rod's head sheds Bright Light in a 60-foot radius and Dim Light for an additional 60 feet. While in that Brigh"&amp;"t Light, you and your allies gain a +1 bonus to Armor Class and saving throws and can sense the location of any Invisible creature that is also in the Bright Light. The rod's head stops glowing and the effect ends after 10 minutes or when a creature takes"&amp;" a Magic action to pull the rod from the ground. Once used, this property can't be used again until the next dawn.")</f>
        <v>This rod has the following properties. Alertness. While holding the rod, you have Advantage on Wisdom (Perception) checks and on Initiative rolls. Spells. While holding the rod, you can cast the following spells from it:Detect Evil and Good Detect Magic Detect Poison and Disease See Invisibility Protective Aura. As a Magic action, you can plant the haft end of the rod in the ground, whereupon the rod's head sheds Bright Light in a 60-foot radius and Dim Light for an additional 60 feet. While in that Bright Light, you and your allies gain a +1 bonus to Armor Class and saving throws and can sense the location of any Invisible creature that is also in the Bright Light. The rod's head stops glowing and the effect ends after 10 minutes or when a creature takes a Magic action to pull the rod from the ground. Once used, this property can't be used again until the next dawn.</v>
      </c>
      <c r="L36" s="9">
        <f>IFERROR(__xludf.DUMMYFUNCTION("""COMPUTED_VALUE"""),1800.0)</f>
        <v>1800</v>
      </c>
    </row>
    <row r="37">
      <c r="A37" s="10" t="str">
        <f>IFERROR(__xludf.DUMMYFUNCTION("""COMPUTED_VALUE"""),"Lost Crown of Besilmer")</f>
        <v>Lost Crown of Besilmer</v>
      </c>
      <c r="B37" s="10" t="str">
        <f>IFERROR(__xludf.DUMMYFUNCTION("""COMPUTED_VALUE"""),"PotA")</f>
        <v>PotA</v>
      </c>
      <c r="C37" s="10" t="str">
        <f>IFERROR(__xludf.DUMMYFUNCTION("""COMPUTED_VALUE"""),"legendary")</f>
        <v>legendary</v>
      </c>
      <c r="D37" s="10" t="str">
        <f>IFERROR(__xludf.DUMMYFUNCTION("""COMPUTED_VALUE"""),"Wondrous Item")</f>
        <v>Wondrous Item</v>
      </c>
      <c r="E37" s="10" t="str">
        <f>IFERROR(__xludf.DUMMYFUNCTION("""COMPUTED_VALUE"""),"requires attunement")</f>
        <v>requires attunement</v>
      </c>
      <c r="F37" s="10"/>
      <c r="G37" s="10"/>
      <c r="H37" s="10"/>
      <c r="I37" s="10" t="str">
        <f>IFERROR(__xludf.DUMMYFUNCTION("""COMPUTED_VALUE"""),"This dwarven battle-helm consists of a sturdy open-faced steel helmet, decorated with a golden circlet above the brow from which seven small gold spikes project upward. You gain the following benefits while wearing the crown:You have resistance to psychic"&amp;" damage.You have advantage on saving throws against effects that would charm you.You can use a bonus action to inspire one creature you can see that is within 60 feet of you and that can see or hear you. Once before the end of your next turn, the inspired"&amp;" creature can roll a d6 and add the number rolled to one ability check, attack roll, or saving throw it makes. This uses 1 charge from the crown. It has 3 charges, and it regains 1d3 expended charges daily at dawn.")</f>
        <v>This dwarven battle-helm consists of a sturdy open-faced steel helmet, decorated with a golden circlet above the brow from which seven small gold spikes project upward. You gain the following benefits while wearing the crown:You have resistance to psychic damage.You have advantage on saving throws against effects that would charm you.You can use a bonus action to inspire one creature you can see that is within 60 feet of you and that can see or hear you. Once before the end of your next turn, the inspired creature can roll a d6 and add the number rolled to one ability check, attack roll, or saving throw it makes. This uses 1 charge from the crown. It has 3 charges, and it regains 1d3 expended charges daily at dawn.</v>
      </c>
      <c r="L37" s="10">
        <f>IFERROR(__xludf.DUMMYFUNCTION("""COMPUTED_VALUE"""),1800.0)</f>
        <v>1800</v>
      </c>
    </row>
    <row r="38">
      <c r="A38" s="8" t="str">
        <f>IFERROR(__xludf.DUMMYFUNCTION("""COMPUTED_VALUE"""),"Peregrine Mask")</f>
        <v>Peregrine Mask</v>
      </c>
      <c r="B38" s="8" t="str">
        <f>IFERROR(__xludf.DUMMYFUNCTION("""COMPUTED_VALUE"""),"GGR")</f>
        <v>GGR</v>
      </c>
      <c r="C38" s="8" t="str">
        <f>IFERROR(__xludf.DUMMYFUNCTION("""COMPUTED_VALUE"""),"very rare")</f>
        <v>very rare</v>
      </c>
      <c r="D38" s="8" t="str">
        <f>IFERROR(__xludf.DUMMYFUNCTION("""COMPUTED_VALUE"""),"Wondrous Item")</f>
        <v>Wondrous Item</v>
      </c>
      <c r="E38" s="8" t="str">
        <f>IFERROR(__xludf.DUMMYFUNCTION("""COMPUTED_VALUE"""),"requires attunement")</f>
        <v>requires attunement</v>
      </c>
      <c r="F38" s="8"/>
      <c r="G38" s="8"/>
      <c r="H38" s="8"/>
      <c r="I38" s="8" t="str">
        <f>IFERROR(__xludf.DUMMYFUNCTION("""COMPUTED_VALUE"""),"While wearing this winged helm, you have a flying speed of 60 feet. In addition, you have advantage on initiative rolls.")</f>
        <v>While wearing this winged helm, you have a flying speed of 60 feet. In addition, you have advantage on initiative rolls.</v>
      </c>
      <c r="L38" s="8">
        <f>IFERROR(__xludf.DUMMYFUNCTION("""COMPUTED_VALUE"""),2000.0)</f>
        <v>2000</v>
      </c>
    </row>
    <row r="39">
      <c r="A39" s="10" t="str">
        <f>IFERROR(__xludf.DUMMYFUNCTION("""COMPUTED_VALUE"""),"Watchful Helm")</f>
        <v>Watchful Helm</v>
      </c>
      <c r="B39" s="10" t="str">
        <f>IFERROR(__xludf.DUMMYFUNCTION("""COMPUTED_VALUE"""),"CM")</f>
        <v>CM</v>
      </c>
      <c r="C39" s="10" t="str">
        <f>IFERROR(__xludf.DUMMYFUNCTION("""COMPUTED_VALUE"""),"very rare")</f>
        <v>very rare</v>
      </c>
      <c r="D39" s="10" t="str">
        <f>IFERROR(__xludf.DUMMYFUNCTION("""COMPUTED_VALUE"""),"Wondrous Item")</f>
        <v>Wondrous Item</v>
      </c>
      <c r="E39" s="10" t="str">
        <f>IFERROR(__xludf.DUMMYFUNCTION("""COMPUTED_VALUE"""),"requires attunement")</f>
        <v>requires attunement</v>
      </c>
      <c r="F39" s="10"/>
      <c r="G39" s="10"/>
      <c r="H39" s="10"/>
      <c r="I39" s="10" t="str">
        <f>IFERROR(__xludf.DUMMYFUNCTION("""COMPUTED_VALUE"""),"While you wear this helm, you gain a +1 bonus to AC and remain aware of your surroundings even while you're asleep, and you have advantage on Wisdom (Perception) checks that rely on sight.As a bonus action, you can cast the see invisibility spell from the"&amp;" helm. Once this property of the helm is used, it can't be used again until the next dawn.")</f>
        <v>While you wear this helm, you gain a +1 bonus to AC and remain aware of your surroundings even while you're asleep, and you have advantage on Wisdom (Perception) checks that rely on sight.As a bonus action, you can cast the see invisibility spell from the helm. Once this property of the helm is used, it can't be used again until the next dawn.</v>
      </c>
      <c r="L39" s="10">
        <f>IFERROR(__xludf.DUMMYFUNCTION("""COMPUTED_VALUE"""),2000.0)</f>
        <v>2000</v>
      </c>
    </row>
    <row r="40">
      <c r="A40" s="8" t="str">
        <f>IFERROR(__xludf.DUMMYFUNCTION("""COMPUTED_VALUE"""),"Belt of Dwarvenkind")</f>
        <v>Belt of Dwarvenkind</v>
      </c>
      <c r="B40" s="8" t="str">
        <f>IFERROR(__xludf.DUMMYFUNCTION("""COMPUTED_VALUE"""),"DMG'24")</f>
        <v>DMG'24</v>
      </c>
      <c r="C40" s="8" t="str">
        <f>IFERROR(__xludf.DUMMYFUNCTION("""COMPUTED_VALUE"""),"rare")</f>
        <v>rare</v>
      </c>
      <c r="D40" s="8" t="str">
        <f>IFERROR(__xludf.DUMMYFUNCTION("""COMPUTED_VALUE"""),"Wondrous Item")</f>
        <v>Wondrous Item</v>
      </c>
      <c r="E40" s="8" t="str">
        <f>IFERROR(__xludf.DUMMYFUNCTION("""COMPUTED_VALUE"""),"requires attunement")</f>
        <v>requires attunement</v>
      </c>
      <c r="F40" s="8"/>
      <c r="G40" s="8"/>
      <c r="H40" s="8"/>
      <c r="I40" s="8" t="str">
        <f>IFERROR(__xludf.DUMMYFUNCTION("""COMPUTED_VALUE"""),"While wearing this belt, you gain the following benefits:Dwarvish. You know Dwarvish.Friend of Dwarvenkind. You have Advantage on Charisma (Persuasion) checks made to interact with dwarves and duergar.Toughness. Your Constitution increases by 2, to a maxi"&amp;"mum of 20.In addition, while attuned to the belt, you have a 50 percent chance each day at dawn of growing a full beard if you can grow one, or a thicker beard if you already have one.If you aren't a dwarf or duergar, you gain the following additional ben"&amp;"efits while wearing the belt:Darkvision. You have Darkvision with a range of 60 feet.Resilience. You have Resistance to Poison damage. You also have Advantage on saving throws you make to avoid or end the Poisoned condition.")</f>
        <v>While wearing this belt, you gain the following benefits:Dwarvish. You know Dwarvish.Friend of Dwarvenkind. You have Advantage on Charisma (Persuasion) checks made to interact with dwarves and duergar.Toughness. Your Constitution increases by 2, to a maximum of 20.In addition, while attuned to the belt, you have a 50 percent chance each day at dawn of growing a full beard if you can grow one, or a thicker beard if you already have one.If you aren't a dwarf or duergar, you gain the following additional benefits while wearing the belt:Darkvision. You have Darkvision with a range of 60 feet.Resilience. You have Resistance to Poison damage. You also have Advantage on saving throws you make to avoid or end the Poisoned condition.</v>
      </c>
      <c r="L40" s="8">
        <f>IFERROR(__xludf.DUMMYFUNCTION("""COMPUTED_VALUE"""),2100.0)</f>
        <v>2100</v>
      </c>
    </row>
    <row r="41">
      <c r="A41" s="10" t="str">
        <f>IFERROR(__xludf.DUMMYFUNCTION("""COMPUTED_VALUE"""),"Oathbow")</f>
        <v>Oathbow</v>
      </c>
      <c r="B41" s="10" t="str">
        <f>IFERROR(__xludf.DUMMYFUNCTION("""COMPUTED_VALUE"""),"DMG'24")</f>
        <v>DMG'24</v>
      </c>
      <c r="C41" s="10" t="str">
        <f>IFERROR(__xludf.DUMMYFUNCTION("""COMPUTED_VALUE"""),"very rare")</f>
        <v>very rare</v>
      </c>
      <c r="D41" s="10" t="str">
        <f>IFERROR(__xludf.DUMMYFUNCTION("""COMPUTED_VALUE"""),"Generic Variant")</f>
        <v>Generic Variant</v>
      </c>
      <c r="E41" s="10" t="str">
        <f>IFERROR(__xludf.DUMMYFUNCTION("""COMPUTED_VALUE"""),"requires attunement")</f>
        <v>requires attunement</v>
      </c>
      <c r="F41" s="10"/>
      <c r="G41" s="10"/>
      <c r="H41" s="10"/>
      <c r="I41" s="10" t="str">
        <f>IFERROR(__xludf.DUMMYFUNCTION("""COMPUTED_VALUE"""),"When you nock an arrow on this bow, it whispers in Elvish, ""Swift defeat to my enemies."" When you use this weapon to make a ranged attack, you can utter or sign the following command words: ""Swift death to you who have wronged me."" The target of your "&amp;"attack becomes your sworn enemy until it dies or until dawn 7 days later. You can have only one such sworn enemy at a time. When your sworn enemy dies, you can choose a new one after the next dawn. When you make a ranged attack roll with this weapon again"&amp;"st your sworn enemy, you have Advantage on the roll. In addition, your target gains no benefit from Half Cover or Three-Quarters Cover, and you suffer no Disadvantage due to long range. If the attack hits, your sworn enemy takes an extra 3d6 Piercing dama"&amp;"ge. While your sworn enemy lives, you have Disadvantage on attack rolls with all other weapons. 
Applied to non-magical Base Equipment.")</f>
        <v>When you nock an arrow on this bow, it whispers in Elvish, "Swift defeat to my enemies." When you use this weapon to make a ranged attack, you can utter or sign the following command words: "Swift death to you who have wronged me." The target of your attack becomes your sworn enemy until it dies or until dawn 7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Half Cover or Three-Quarters Cover, and you suffer no Disadvantage due to long range. If the attack hits, your sworn enemy takes an extra 3d6 Piercing damage. While your sworn enemy lives, you have Disadvantage on attack rolls with all other weapons. 
Applied to non-magical Base Equipment.</v>
      </c>
      <c r="L41" s="10">
        <f>IFERROR(__xludf.DUMMYFUNCTION("""COMPUTED_VALUE"""),2150.0)</f>
        <v>2150</v>
      </c>
    </row>
    <row r="42">
      <c r="A42" s="8" t="str">
        <f>IFERROR(__xludf.DUMMYFUNCTION("""COMPUTED_VALUE"""),"Spellguard Shield")</f>
        <v>Spellguard Shield</v>
      </c>
      <c r="B42" s="8" t="str">
        <f>IFERROR(__xludf.DUMMYFUNCTION("""COMPUTED_VALUE"""),"DMG'24")</f>
        <v>DMG'24</v>
      </c>
      <c r="C42" s="8" t="str">
        <f>IFERROR(__xludf.DUMMYFUNCTION("""COMPUTED_VALUE"""),"very rare")</f>
        <v>very rare</v>
      </c>
      <c r="D42" s="8" t="str">
        <f>IFERROR(__xludf.DUMMYFUNCTION("""COMPUTED_VALUE"""),"Shield")</f>
        <v>Shield</v>
      </c>
      <c r="E42" s="8" t="str">
        <f>IFERROR(__xludf.DUMMYFUNCTION("""COMPUTED_VALUE"""),"requires attunement")</f>
        <v>requires attunement</v>
      </c>
      <c r="F42" s="8" t="str">
        <f>IFERROR(__xludf.DUMMYFUNCTION("""COMPUTED_VALUE"""),"AC +2")</f>
        <v>AC +2</v>
      </c>
      <c r="G42" s="8"/>
      <c r="H42" s="8"/>
      <c r="I42" s="8" t="str">
        <f>IFERROR(__xludf.DUMMYFUNCTION("""COMPUTED_VALUE"""),"While holding this Shield, you have Advantage on saving throws against spells and other magical effects, and spell attack rolls have Disadvantage against you.")</f>
        <v>While holding this Shield, you have Advantage on saving throws against spells and other magical effects, and spell attack rolls have Disadvantage against you.</v>
      </c>
      <c r="L42" s="8">
        <f>IFERROR(__xludf.DUMMYFUNCTION("""COMPUTED_VALUE"""),2150.0)</f>
        <v>2150</v>
      </c>
    </row>
    <row r="43">
      <c r="A43" s="12"/>
      <c r="B43" s="12"/>
      <c r="C43" s="12"/>
      <c r="D43" s="12"/>
      <c r="E43" s="12"/>
      <c r="F43" s="12"/>
      <c r="G43" s="12"/>
      <c r="H43" s="12"/>
      <c r="I43" s="12"/>
      <c r="L43" s="12"/>
    </row>
    <row r="44">
      <c r="A44" s="6" t="s">
        <v>43</v>
      </c>
      <c r="L44" s="13"/>
    </row>
    <row r="45">
      <c r="A45" s="8" t="str">
        <f>IFERROR(__xludf.DUMMYFUNCTION("FILTER(MasterList_Hidden!A:K,Search(A44,MasterList_Hidden!K:K),Search(A44,MasterList_Hidden!K:K),MasterList_Hidden!J:J&lt;&gt;""Free to Guild Adventurers with Item Proficiency"",MasterList_Hidden!J:J&lt;&gt;""Free to Guild Adventurers in Good Standing"",MasterList_Hi"&amp;"dden!J:J&lt;&gt;""Artificer Replicate Magic Item Only"")"),"Half Plate Armor")</f>
        <v>Half Plate Armor</v>
      </c>
      <c r="B45" s="8" t="str">
        <f>IFERROR(__xludf.DUMMYFUNCTION("""COMPUTED_VALUE"""),"PHB'24")</f>
        <v>PHB'24</v>
      </c>
      <c r="C45" s="8" t="str">
        <f>IFERROR(__xludf.DUMMYFUNCTION("""COMPUTED_VALUE"""),"none")</f>
        <v>none</v>
      </c>
      <c r="D45" s="8" t="str">
        <f>IFERROR(__xludf.DUMMYFUNCTION("""COMPUTED_VALUE"""),"Medium Armor")</f>
        <v>Medium Armor</v>
      </c>
      <c r="E45" s="8"/>
      <c r="F45" s="8" t="str">
        <f>IFERROR(__xludf.DUMMYFUNCTION("""COMPUTED_VALUE"""),"AC 15 + Dex (max 2)")</f>
        <v>AC 15 + Dex (max 2)</v>
      </c>
      <c r="G45" s="8"/>
      <c r="H45" s="8"/>
      <c r="I45" s="8" t="str">
        <f>IFERROR(__xludf.DUMMYFUNCTION("""COMPUTED_VALUE"""),"The wearer has Disadvantage on Dexterity (Stealth) checks.")</f>
        <v>The wearer has Disadvantage on Dexterity (Stealth) checks.</v>
      </c>
      <c r="L45" s="8">
        <f>IFERROR(__xludf.DUMMYFUNCTION("FILTER(MasterList_Hidden!J:J,Search(A44,MasterList_Hidden!K:K),MasterList_Hidden!J:J&lt;&gt;""Free to Guild Adventurers with Item Proficiency"",MasterList_Hidden!J:J&lt;&gt;""Free to Guild Adventurers in Good Standing"",MasterList_Hidden!J:J&lt;&gt;""Artificer Replicate Ma"&amp;"gic Item Only"")"),300.0)</f>
        <v>300</v>
      </c>
    </row>
    <row r="46">
      <c r="A46" s="10" t="str">
        <f>IFERROR(__xludf.DUMMYFUNCTION("""COMPUTED_VALUE"""),"Duplicitous Manuscript")</f>
        <v>Duplicitous Manuscript</v>
      </c>
      <c r="B46" s="10" t="str">
        <f>IFERROR(__xludf.DUMMYFUNCTION("""COMPUTED_VALUE"""),"TCE")</f>
        <v>TCE</v>
      </c>
      <c r="C46" s="10" t="str">
        <f>IFERROR(__xludf.DUMMYFUNCTION("""COMPUTED_VALUE"""),"rare")</f>
        <v>rare</v>
      </c>
      <c r="D46" s="10" t="str">
        <f>IFERROR(__xludf.DUMMYFUNCTION("""COMPUTED_VALUE"""),"Wondrous Item, Spellcasting Focus")</f>
        <v>Wondrous Item, Spellcasting Focus</v>
      </c>
      <c r="E46" s="10" t="str">
        <f>IFERROR(__xludf.DUMMYFUNCTION("""COMPUTED_VALUE"""),"requires attunement by a wizard")</f>
        <v>requires attunement by a wizard</v>
      </c>
      <c r="F46" s="10"/>
      <c r="G46" s="10"/>
      <c r="H46" s="10"/>
      <c r="I46" s="10" t="str">
        <f>IFERROR(__xludf.DUMMYFUNCTION("""COMPUTED_VALUE"""),"To you, this book is a magical spellbook. To anyone else, the book appears to be a volume of verbose romance fiction. As an action, you can change the book's appearance and alter the plot of the romance. When found, the book contains the following spells:"&amp;" hallucinatory terrain, major image, mirror image, mislead, Nystul's magic aura, phantasmal force, and silent image. It functions as a spellbook for you.While you are holding the book, you can use it as a spellcasting focus for your wizard spells. The boo"&amp;"k has 3 charges, and it regains 1d3 expended charges daily at dawn. You can use the charges in the following ways while holding it:If you spend 1 minute studying the book, you can expend 1 charge to replace one of your prepared wizard spells with a differ"&amp;"ent spell in the book. The new spell must be of the illusion school. When a creature you can see makes an Intelligence (Investigation) check to discern the true nature of an illusion spell you cast, or makes a saving throw against an illusion spell you ca"&amp;"st, you can use your reaction and expend 1 charge to impose disadvantage on the roll.")</f>
        <v>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v>
      </c>
      <c r="L46" s="10">
        <f>IFERROR(__xludf.DUMMYFUNCTION("""COMPUTED_VALUE"""),550.0)</f>
        <v>550</v>
      </c>
    </row>
    <row r="47">
      <c r="A47" s="8" t="str">
        <f>IFERROR(__xludf.DUMMYFUNCTION("""COMPUTED_VALUE"""),"Cloak of Elvenkind")</f>
        <v>Cloak of Elvenkind</v>
      </c>
      <c r="B47" s="8" t="str">
        <f>IFERROR(__xludf.DUMMYFUNCTION("""COMPUTED_VALUE"""),"DMG'24")</f>
        <v>DMG'24</v>
      </c>
      <c r="C47" s="8" t="str">
        <f>IFERROR(__xludf.DUMMYFUNCTION("""COMPUTED_VALUE"""),"uncommon")</f>
        <v>uncommon</v>
      </c>
      <c r="D47" s="8" t="str">
        <f>IFERROR(__xludf.DUMMYFUNCTION("""COMPUTED_VALUE"""),"Wondrous Item")</f>
        <v>Wondrous Item</v>
      </c>
      <c r="E47" s="8" t="str">
        <f>IFERROR(__xludf.DUMMYFUNCTION("""COMPUTED_VALUE"""),"requires attunement")</f>
        <v>requires attunement</v>
      </c>
      <c r="F47" s="8"/>
      <c r="G47" s="8"/>
      <c r="H47" s="8"/>
      <c r="I47" s="8" t="str">
        <f>IFERROR(__xludf.DUMMYFUNCTION("""COMPUTED_VALUE"""),"While you wear this cloak, Wisdom (Perception) checks made to perceive you have Disadvantage, and you have Advantage on Dexterity (Stealth) checks.")</f>
        <v>While you wear this cloak, Wisdom (Perception) checks made to perceive you have Disadvantage, and you have Advantage on Dexterity (Stealth) checks.</v>
      </c>
      <c r="L47" s="8">
        <f>IFERROR(__xludf.DUMMYFUNCTION("""COMPUTED_VALUE"""),700.0)</f>
        <v>700</v>
      </c>
    </row>
    <row r="48">
      <c r="A48" s="10" t="str">
        <f>IFERROR(__xludf.DUMMYFUNCTION("""COMPUTED_VALUE"""),"Saddle of the Cavalier")</f>
        <v>Saddle of the Cavalier</v>
      </c>
      <c r="B48" s="10" t="str">
        <f>IFERROR(__xludf.DUMMYFUNCTION("""COMPUTED_VALUE"""),"DMG'24")</f>
        <v>DMG'24</v>
      </c>
      <c r="C48" s="10" t="str">
        <f>IFERROR(__xludf.DUMMYFUNCTION("""COMPUTED_VALUE"""),"uncommon")</f>
        <v>uncommon</v>
      </c>
      <c r="D48" s="10" t="str">
        <f>IFERROR(__xludf.DUMMYFUNCTION("""COMPUTED_VALUE"""),"Wondrous Item")</f>
        <v>Wondrous Item</v>
      </c>
      <c r="E48" s="10"/>
      <c r="F48" s="10"/>
      <c r="G48" s="10"/>
      <c r="H48" s="10"/>
      <c r="I48" s="10" t="str">
        <f>IFERROR(__xludf.DUMMYFUNCTION("""COMPUTED_VALUE"""),"While in this saddle on a mount, you can't be dismounted against your will if you're conscious, and attack rolls against the mount have disadvantage.")</f>
        <v>While in this saddle on a mount, you can't be dismounted against your will if you're conscious, and attack rolls against the mount have disadvantage.</v>
      </c>
      <c r="L48" s="10">
        <f>IFERROR(__xludf.DUMMYFUNCTION("""COMPUTED_VALUE"""),800.0)</f>
        <v>800</v>
      </c>
    </row>
    <row r="49">
      <c r="A49" s="8" t="str">
        <f>IFERROR(__xludf.DUMMYFUNCTION("""COMPUTED_VALUE"""),"Outer Essence Shard (Chaotic)")</f>
        <v>Outer Essence Shard (Chaotic)</v>
      </c>
      <c r="B49" s="8" t="str">
        <f>IFERROR(__xludf.DUMMYFUNCTION("""COMPUTED_VALUE"""),"TCE")</f>
        <v>TCE</v>
      </c>
      <c r="C49" s="8" t="str">
        <f>IFERROR(__xludf.DUMMYFUNCTION("""COMPUTED_VALUE"""),"rare")</f>
        <v>rare</v>
      </c>
      <c r="D49" s="8" t="str">
        <f>IFERROR(__xludf.DUMMYFUNCTION("""COMPUTED_VALUE"""),"Wondrous Item, Spellcasting Focus")</f>
        <v>Wondrous Item, Spellcasting Focus</v>
      </c>
      <c r="E49" s="8" t="str">
        <f>IFERROR(__xludf.DUMMYFUNCTION("""COMPUTED_VALUE"""),"requires attunement by a sorcerer")</f>
        <v>requires attunement by a sorcerer</v>
      </c>
      <c r="F49" s="8"/>
      <c r="G49" s="8"/>
      <c r="H49" s="8"/>
      <c r="I49"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has disadvantage on attack rolls "&amp;"and ability checks made before the start of your next turn.")</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has disadvantage on attack rolls and ability checks made before the start of your next turn.</v>
      </c>
      <c r="L49" s="8">
        <f>IFERROR(__xludf.DUMMYFUNCTION("""COMPUTED_VALUE"""),800.0)</f>
        <v>800</v>
      </c>
    </row>
    <row r="50">
      <c r="A50" s="10" t="str">
        <f>IFERROR(__xludf.DUMMYFUNCTION("""COMPUTED_VALUE"""),"Boots of Speed")</f>
        <v>Boots of Speed</v>
      </c>
      <c r="B50" s="10" t="str">
        <f>IFERROR(__xludf.DUMMYFUNCTION("""COMPUTED_VALUE"""),"DMG'24")</f>
        <v>DMG'24</v>
      </c>
      <c r="C50" s="10" t="str">
        <f>IFERROR(__xludf.DUMMYFUNCTION("""COMPUTED_VALUE"""),"rare")</f>
        <v>rare</v>
      </c>
      <c r="D50" s="10" t="str">
        <f>IFERROR(__xludf.DUMMYFUNCTION("""COMPUTED_VALUE"""),"Wondrous Item")</f>
        <v>Wondrous Item</v>
      </c>
      <c r="E50" s="10" t="str">
        <f>IFERROR(__xludf.DUMMYFUNCTION("""COMPUTED_VALUE"""),"requires attunement")</f>
        <v>requires attunement</v>
      </c>
      <c r="F50" s="10"/>
      <c r="G50" s="10"/>
      <c r="H50" s="10"/>
      <c r="I50" s="10" t="str">
        <f>IFERROR(__xludf.DUMMYFUNCTION("""COMPUTED_VALUE"""),"While you wear these boots, you can take a Bonus Action to click the boots' heels together. If you do, the boots double your Speed, and any creature that makes an Opportunity Attack against you has Disadvantage on the attack roll. If you click your heels "&amp;"together again, you end the effect.When you've used the boots' property for a total of 10 minutes, the magic ceases to function for you until you finish a Long Rest.")</f>
        <v>While you wear these boots, you can take a Bonus Action to click the boots' heels together. If you do, the boots double your Speed, and any creature that makes an Opportunity Attack against you has Disadvantage on the attack roll. If you click your heels together again, you end the effect.When you've used the boots' property for a total of 10 minutes, the magic ceases to function for you until you finish a Long Rest.</v>
      </c>
      <c r="L50" s="10">
        <f>IFERROR(__xludf.DUMMYFUNCTION("""COMPUTED_VALUE"""),1000.0)</f>
        <v>1000</v>
      </c>
    </row>
    <row r="51">
      <c r="A51" s="8" t="str">
        <f>IFERROR(__xludf.DUMMYFUNCTION("""COMPUTED_VALUE"""),"Heart Weaver's Primer")</f>
        <v>Heart Weaver's Primer</v>
      </c>
      <c r="B51" s="8" t="str">
        <f>IFERROR(__xludf.DUMMYFUNCTION("""COMPUTED_VALUE"""),"TCE")</f>
        <v>TCE</v>
      </c>
      <c r="C51" s="8" t="str">
        <f>IFERROR(__xludf.DUMMYFUNCTION("""COMPUTED_VALUE"""),"rare")</f>
        <v>rare</v>
      </c>
      <c r="D51" s="8" t="str">
        <f>IFERROR(__xludf.DUMMYFUNCTION("""COMPUTED_VALUE"""),"Wondrous Item, Spellcasting Focus")</f>
        <v>Wondrous Item, Spellcasting Focus</v>
      </c>
      <c r="E51" s="8" t="str">
        <f>IFERROR(__xludf.DUMMYFUNCTION("""COMPUTED_VALUE"""),"requires attunement by a wizard")</f>
        <v>requires attunement by a wizard</v>
      </c>
      <c r="F51" s="8"/>
      <c r="G51" s="8"/>
      <c r="H51" s="8"/>
      <c r="I51" s="8" t="str">
        <f>IFERROR(__xludf.DUMMYFUNCTION("""COMPUTED_VALUE"""),"This pristine book smells faintly of a random scent you find pleasing. When found, the book contains the following spells: antipathy/sympathy, charm person, dominate person, enthrall, hypnotic pattern, modify memory, and suggestion. It functions as a spel"&amp;"lbook for you. While you are holding the book, you can use it as a spellcasting focus for your wizard spells. The book has 3 charges, and it regains 1d3 expended charges daily at dawn. You can use the charges in the following ways while holding it:If you "&amp;"spend 1 minute studying the book, you can expend 1 charge to replace one of your prepared wizard spells with a different spell in the book. The new spell must be of the enchantment school. When you cast an enchantment spell, you can expend 1 charge to imp"&amp;"ose disadvantage on the first saving throw one target makes against the spell.")</f>
        <v>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v>
      </c>
      <c r="L51" s="8">
        <f>IFERROR(__xludf.DUMMYFUNCTION("""COMPUTED_VALUE"""),1000.0)</f>
        <v>1000</v>
      </c>
    </row>
    <row r="52">
      <c r="A52" s="10" t="str">
        <f>IFERROR(__xludf.DUMMYFUNCTION("""COMPUTED_VALUE"""),"Shadowfell Shard")</f>
        <v>Shadowfell Shard</v>
      </c>
      <c r="B52" s="10" t="str">
        <f>IFERROR(__xludf.DUMMYFUNCTION("""COMPUTED_VALUE"""),"TCE")</f>
        <v>TCE</v>
      </c>
      <c r="C52" s="10" t="str">
        <f>IFERROR(__xludf.DUMMYFUNCTION("""COMPUTED_VALUE"""),"rare")</f>
        <v>rare</v>
      </c>
      <c r="D52" s="10" t="str">
        <f>IFERROR(__xludf.DUMMYFUNCTION("""COMPUTED_VALUE"""),"Wondrous Item, Spellcasting Focus")</f>
        <v>Wondrous Item, Spellcasting Focus</v>
      </c>
      <c r="E52" s="10" t="str">
        <f>IFERROR(__xludf.DUMMYFUNCTION("""COMPUTED_VALUE"""),"requires attunement by a sorcerer")</f>
        <v>requires attunement by a sorcerer</v>
      </c>
      <c r="F52" s="10"/>
      <c r="G52" s="10"/>
      <c r="H52" s="10"/>
      <c r="I52" s="10" t="str">
        <f>IFERROR(__xludf.DUMMYFUNCTION("""COMPUTED_VALUE"""),"This dull, cold crystal sits heavy and leaden, saturated by the Shadowfell's despair. As an action, you can attach the shard to a Tiny object (such as a weapon or a piece of jewelry) or detach it. It falls off if your attunement to it ends. You can use th"&amp;"e shard as a spellcasting focus while you hold or wear it.When you use a Metamagic option on a spell while you are holding or wearing the shard, you can momentarily curse one creature targeted by the spell; choose one ability score, and until the end of y"&amp;"our next turn, the creature has disadvantage on ability checks and saving throws that use that ability.")</f>
        <v>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v>
      </c>
      <c r="L52" s="10">
        <f>IFERROR(__xludf.DUMMYFUNCTION("""COMPUTED_VALUE"""),1400.0)</f>
        <v>1400</v>
      </c>
    </row>
    <row r="53">
      <c r="A53" s="8" t="str">
        <f>IFERROR(__xludf.DUMMYFUNCTION("""COMPUTED_VALUE"""),"Robe of Scintillating Colors")</f>
        <v>Robe of Scintillating Colors</v>
      </c>
      <c r="B53" s="8" t="str">
        <f>IFERROR(__xludf.DUMMYFUNCTION("""COMPUTED_VALUE"""),"DMG'24")</f>
        <v>DMG'24</v>
      </c>
      <c r="C53" s="8" t="str">
        <f>IFERROR(__xludf.DUMMYFUNCTION("""COMPUTED_VALUE"""),"very rare")</f>
        <v>very rare</v>
      </c>
      <c r="D53" s="8" t="str">
        <f>IFERROR(__xludf.DUMMYFUNCTION("""COMPUTED_VALUE"""),"Wondrous Item")</f>
        <v>Wondrous Item</v>
      </c>
      <c r="E53" s="8" t="str">
        <f>IFERROR(__xludf.DUMMYFUNCTION("""COMPUTED_VALUE"""),"requires attunement")</f>
        <v>requires attunement</v>
      </c>
      <c r="F53" s="8"/>
      <c r="G53" s="8"/>
      <c r="H53" s="8"/>
      <c r="I53" s="8" t="str">
        <f>IFERROR(__xludf.DUMMYFUNCTION("""COMPUTED_VALUE"""),"This robe has 3 charges, and it regains 1d3 expended charges daily at dawn. While you wear it, you can take a Magic action and expend 1 charge to cause the garment to display a shifting pattern of dazzling hues until the end of your next turn. During this"&amp;" time, the robe sheds Bright Light in a 30-foot radius and Dim Light for an additional 30 feet, and creatures that can see you have Disadvantage on attack rolls against you. Any creature in the Bright Light that can see you when the robe's power is activa"&amp;"ted must succeed on a DC 15 Wisdom saving throw or have the Stunned condition until the effect ends.")</f>
        <v>This robe has 3 charges, and it regains 1d3 expended charges daily at dawn. While you wear it, you can take a Magic action and expend 1 charge to cause the garment to display a shifting pattern of dazzling hues until the end of your next turn. During this time, the robe sheds Bright Light in a 30-foot radius and Dim Light for an additional 30 feet, and creatures that can see you have Disadvantage on attack rolls against you. Any creature in the Bright Light that can see you when the robe's power is activated must succeed on a DC 15 Wisdom saving throw or have the Stunned condition until the effect ends.</v>
      </c>
      <c r="L53" s="8">
        <f>IFERROR(__xludf.DUMMYFUNCTION("""COMPUTED_VALUE"""),1600.0)</f>
        <v>1600</v>
      </c>
    </row>
    <row r="54">
      <c r="A54" s="10" t="str">
        <f>IFERROR(__xludf.DUMMYFUNCTION("""COMPUTED_VALUE"""),"Spellguard Shield")</f>
        <v>Spellguard Shield</v>
      </c>
      <c r="B54" s="10" t="str">
        <f>IFERROR(__xludf.DUMMYFUNCTION("""COMPUTED_VALUE"""),"DMG'24")</f>
        <v>DMG'24</v>
      </c>
      <c r="C54" s="10" t="str">
        <f>IFERROR(__xludf.DUMMYFUNCTION("""COMPUTED_VALUE"""),"very rare")</f>
        <v>very rare</v>
      </c>
      <c r="D54" s="10" t="str">
        <f>IFERROR(__xludf.DUMMYFUNCTION("""COMPUTED_VALUE"""),"Shield")</f>
        <v>Shield</v>
      </c>
      <c r="E54" s="10" t="str">
        <f>IFERROR(__xludf.DUMMYFUNCTION("""COMPUTED_VALUE"""),"requires attunement")</f>
        <v>requires attunement</v>
      </c>
      <c r="F54" s="10" t="str">
        <f>IFERROR(__xludf.DUMMYFUNCTION("""COMPUTED_VALUE"""),"AC +2")</f>
        <v>AC +2</v>
      </c>
      <c r="G54" s="10"/>
      <c r="H54" s="10"/>
      <c r="I54" s="10" t="str">
        <f>IFERROR(__xludf.DUMMYFUNCTION("""COMPUTED_VALUE"""),"While holding this Shield, you have Advantage on saving throws against spells and other magical effects, and spell attack rolls have Disadvantage against you.")</f>
        <v>While holding this Shield, you have Advantage on saving throws against spells and other magical effects, and spell attack rolls have Disadvantage against you.</v>
      </c>
      <c r="L54" s="10">
        <f>IFERROR(__xludf.DUMMYFUNCTION("""COMPUTED_VALUE"""),2150.0)</f>
        <v>2150</v>
      </c>
    </row>
    <row r="55">
      <c r="A55" s="12"/>
      <c r="B55" s="12"/>
      <c r="C55" s="12"/>
      <c r="D55" s="12"/>
      <c r="E55" s="12"/>
      <c r="F55" s="12"/>
      <c r="G55" s="12"/>
      <c r="H55" s="12"/>
      <c r="I55" s="12"/>
      <c r="L55" s="12"/>
    </row>
    <row r="56">
      <c r="A56" s="6" t="s">
        <v>44</v>
      </c>
      <c r="L56" s="13"/>
    </row>
    <row r="57">
      <c r="A57" s="8" t="str">
        <f>IFERROR(__xludf.DUMMYFUNCTION("FILTER(MasterList_Hidden!A:K,Search(A56,MasterList_Hidden!K:K),MasterList_Hidden!J:J&lt;&gt;""Free to Guild Adventurers with Item Proficiency"",MasterList_Hidden!J:J&lt;&gt;""Free to Guild Adventurers in Good Standing"",MasterList_Hidden!J:J&lt;&gt;""Artificer Replicate Ma"&amp;"gic Item Only"")"),"Wraps of Unarmed Power +1")</f>
        <v>Wraps of Unarmed Power +1</v>
      </c>
      <c r="B57" s="8" t="str">
        <f>IFERROR(__xludf.DUMMYFUNCTION("""COMPUTED_VALUE"""),"DMG'24")</f>
        <v>DMG'24</v>
      </c>
      <c r="C57" s="8" t="str">
        <f>IFERROR(__xludf.DUMMYFUNCTION("""COMPUTED_VALUE"""),"uncommon")</f>
        <v>uncommon</v>
      </c>
      <c r="D57" s="8" t="str">
        <f>IFERROR(__xludf.DUMMYFUNCTION("""COMPUTED_VALUE"""),"Wondrous Item")</f>
        <v>Wondrous Item</v>
      </c>
      <c r="E57" s="8"/>
      <c r="F57" s="8"/>
      <c r="G57" s="8"/>
      <c r="H57" s="8"/>
      <c r="I57" s="8" t="str">
        <f>IFERROR(__xludf.DUMMYFUNCTION("""COMPUTED_VALUE"""),"While wearing these wraps, you have a +1 bonus to attack rolls and damage rolls made with your Unarmed Strikes. Those strikes deal your choice of Force damage or their normal damage type. Available to level 5+.")</f>
        <v>While wearing these wraps, you have a +1 bonus to attack rolls and damage rolls made with your Unarmed Strikes. Those strikes deal your choice of Force damage or their normal damage type. Available to level 5+.</v>
      </c>
      <c r="L57" s="8">
        <f>IFERROR(__xludf.DUMMYFUNCTION("FILTER(MasterList_Hidden!J:J,Search(A56,MasterList_Hidden!K:K),MasterList_Hidden!J:J&lt;&gt;""Free to Guild Adventurers with Item Proficiency"",MasterList_Hidden!J:J&lt;&gt;""Free to Guild Adventurers in Good Standing"",MasterList_Hidden!J:J&lt;&gt;""Artificer Replicate Ma"&amp;"gic Item Only"")"),300.0)</f>
        <v>300</v>
      </c>
    </row>
    <row r="58">
      <c r="A58" s="10" t="str">
        <f>IFERROR(__xludf.DUMMYFUNCTION("""COMPUTED_VALUE"""),"Eldritch Claw Tattoo")</f>
        <v>Eldritch Claw Tattoo</v>
      </c>
      <c r="B58" s="10" t="str">
        <f>IFERROR(__xludf.DUMMYFUNCTION("""COMPUTED_VALUE"""),"TCE")</f>
        <v>TCE</v>
      </c>
      <c r="C58" s="10" t="str">
        <f>IFERROR(__xludf.DUMMYFUNCTION("""COMPUTED_VALUE"""),"uncommon")</f>
        <v>uncommon</v>
      </c>
      <c r="D58" s="10" t="str">
        <f>IFERROR(__xludf.DUMMYFUNCTION("""COMPUTED_VALUE"""),"Wondrous Item (Tattoo)")</f>
        <v>Wondrous Item (Tattoo)</v>
      </c>
      <c r="E58" s="10" t="str">
        <f>IFERROR(__xludf.DUMMYFUNCTION("""COMPUTED_VALUE"""),"requires attunement")</f>
        <v>requires attunement</v>
      </c>
      <c r="F58" s="10"/>
      <c r="G58" s="10"/>
      <c r="H58" s="10"/>
      <c r="I58" s="10" t="str">
        <f>IFERROR(__xludf.DUMMYFUNCTION("""COMPUTED_VALUE"""),"Produced by a special needle, this magic tattoo depicts claw-like forms and other jagged shapes.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Magical Strikes.  Eldritc"&amp;"h Maul. As a bonus action, you can empower the tattoo for 1 minute. For the duration, each of your melee attacks with a weapon or an unarmed strike can reach a target up to 15 feet away from you, as inky tendrils launch toward the target. In addition, you"&amp;"r melee attacks deal an extra 1d6 force damage on a hit. Once used, this bonus action can't be used again until the next dawn.")</f>
        <v>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Magical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v>
      </c>
      <c r="L58" s="10">
        <f>IFERROR(__xludf.DUMMYFUNCTION("""COMPUTED_VALUE"""),650.0)</f>
        <v>650</v>
      </c>
    </row>
    <row r="59">
      <c r="A59" s="8" t="str">
        <f>IFERROR(__xludf.DUMMYFUNCTION("""COMPUTED_VALUE"""),"Lash of Immolation")</f>
        <v>Lash of Immolation</v>
      </c>
      <c r="B59" s="8" t="str">
        <f>IFERROR(__xludf.DUMMYFUNCTION("""COMPUTED_VALUE"""),"BGG")</f>
        <v>BGG</v>
      </c>
      <c r="C59" s="8" t="str">
        <f>IFERROR(__xludf.DUMMYFUNCTION("""COMPUTED_VALUE"""),"rare")</f>
        <v>rare</v>
      </c>
      <c r="D59" s="8" t="str">
        <f>IFERROR(__xludf.DUMMYFUNCTION("""COMPUTED_VALUE"""),"Martial Weapon, Melee Weapon")</f>
        <v>Martial Weapon, Melee Weapon</v>
      </c>
      <c r="E59" s="8"/>
      <c r="F59" s="8" t="str">
        <f>IFERROR(__xludf.DUMMYFUNCTION("""COMPUTED_VALUE"""),"1d4 Slashing")</f>
        <v>1d4 Slashing</v>
      </c>
      <c r="G59" s="8" t="str">
        <f>IFERROR(__xludf.DUMMYFUNCTION("""COMPUTED_VALUE"""),"finesse, reach")</f>
        <v>finesse, reach</v>
      </c>
      <c r="H59" s="8"/>
      <c r="I59" s="8" t="str">
        <f>IFERROR(__xludf.DUMMYFUNCTION("""COMPUTED_VALUE"""),"The handle of this dark leather whip bears the fire rune, and embers dance around the whip's tail. On a hit, the whip deals an extra 1d6 fire damage. When you score a critical hit with an attack using this whip, the target also has the restrained conditio"&amp;"n until the start of your next turn, as fiery bands lash around the target. Invoking the Rune. When you make an attack with the whip and hit, you can use your reaction to invoke the whip's rune. Doing so increases the extra fire damage dealt by the whip t"&amp;"o 2d6.Once the rune has been invoked, it can't be invoked again until the next dawn. Finesse. When making an attack with a finesse weapon, you use your choice of your Strength or Dexterity modifier for the attack and damage rolls. You must use the same mo"&amp;"difier for both rolls. Reach. This weapon adds 5 feet to your reach when you attack with it. This property also determines your reach for opportunity attacks with a reach weapon.")</f>
        <v>The handle of this dark leather whip bears the fire rune, and embers dance around the whip's tail.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2d6.Once the rune has been invoked, it can't be invoked again until the next dawn.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L59" s="8">
        <f>IFERROR(__xludf.DUMMYFUNCTION("""COMPUTED_VALUE"""),950.0)</f>
        <v>950</v>
      </c>
    </row>
    <row r="60">
      <c r="A60" s="10" t="str">
        <f>IFERROR(__xludf.DUMMYFUNCTION("""COMPUTED_VALUE"""),"Stirring Dragon's Wrath Weapon")</f>
        <v>Stirring Dragon's Wrath Weapon</v>
      </c>
      <c r="B60" s="10" t="str">
        <f>IFERROR(__xludf.DUMMYFUNCTION("""COMPUTED_VALUE"""),"FTD")</f>
        <v>FTD</v>
      </c>
      <c r="C60" s="10" t="str">
        <f>IFERROR(__xludf.DUMMYFUNCTION("""COMPUTED_VALUE"""),"rare")</f>
        <v>rare</v>
      </c>
      <c r="D60" s="10" t="str">
        <f>IFERROR(__xludf.DUMMYFUNCTION("""COMPUTED_VALUE"""),"Generic Variant")</f>
        <v>Generic Variant</v>
      </c>
      <c r="E60" s="10" t="str">
        <f>IFERROR(__xludf.DUMMYFUNCTION("""COMPUTED_VALUE"""),"requires attunement")</f>
        <v>requires attunement</v>
      </c>
      <c r="F60" s="10"/>
      <c r="G60" s="10"/>
      <c r="H60" s="10"/>
      <c r="I60" s="10" t="str">
        <f>IFERROR(__xludf.DUMMYFUNCTION("""COMPUTED_VALUE"""),"This weapon is decorated with dragon heads, claws, wings, scales, or Draconic letters. When it steeps in a dragon's hoard, it absorbs the energy of the dragon's breath weapon and deals damage of that type with its special properties. Whenever you roll a 2"&amp;"0 on your attack roll with this weapon, each creature of your choice within 5 feet of the target takes 5 damage of the type dealt by the dragon's breath weapon. On a hit, the weapon deals an extra 1d6 damage of the type dealt by the dragon's breath weapon"&amp;". 
Applied to non-magical Base Equipment.")</f>
        <v>This weapon is decorated with dragon heads, claws, wings, scales, or Draconic letters. When it steeps in a dragon's hoard, it absorbs the energy of the dragon's breath weapon and deals damage of that type with its special properties. Whenever you roll a 20 on your attack roll with this weapon, each creature of your choice within 5 feet of the target takes 5 damage of the type dealt by the dragon's breath weapon. On a hit, the weapon deals an extra 1d6 damage of the type dealt by the dragon's breath weapon. 
Applied to non-magical Base Equipment.</v>
      </c>
      <c r="L60" s="10">
        <f>IFERROR(__xludf.DUMMYFUNCTION("""COMPUTED_VALUE"""),950.0)</f>
        <v>950</v>
      </c>
    </row>
    <row r="61">
      <c r="A61" s="8" t="str">
        <f>IFERROR(__xludf.DUMMYFUNCTION("""COMPUTED_VALUE"""),"Gauntlets of Flaming Fury")</f>
        <v>Gauntlets of Flaming Fury</v>
      </c>
      <c r="B61" s="8" t="str">
        <f>IFERROR(__xludf.DUMMYFUNCTION("""COMPUTED_VALUE"""),"BGDIA")</f>
        <v>BGDIA</v>
      </c>
      <c r="C61" s="8" t="str">
        <f>IFERROR(__xludf.DUMMYFUNCTION("""COMPUTED_VALUE"""),"rare")</f>
        <v>rare</v>
      </c>
      <c r="D61" s="8" t="str">
        <f>IFERROR(__xludf.DUMMYFUNCTION("""COMPUTED_VALUE"""),"Wondrous Item")</f>
        <v>Wondrous Item</v>
      </c>
      <c r="E61" s="8" t="str">
        <f>IFERROR(__xludf.DUMMYFUNCTION("""COMPUTED_VALUE"""),"requires attunement")</f>
        <v>requires attunement</v>
      </c>
      <c r="F61" s="8"/>
      <c r="G61" s="8"/>
      <c r="H61" s="8"/>
      <c r="I61" s="8" t="str">
        <f>IFERROR(__xludf.DUMMYFUNCTION("""COMPUTED_VALUE"""),"While you wear both of these steel gauntlets, any non-magical weapon you grasp with either gauntlet is treated as a magic weapon. As a bonus action, you can use the gauntlets to cause magical flames to envelop one or two melee weapons in your grasp. Each "&amp;"flaming weapon deals an extra 1d6 fire damage on a hit. The flames last until you sheath or let go of either weapon. Once used, this property can't be used again until the next dawn.")</f>
        <v>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v>
      </c>
      <c r="L61" s="8">
        <f>IFERROR(__xludf.DUMMYFUNCTION("""COMPUTED_VALUE"""),1000.0)</f>
        <v>1000</v>
      </c>
    </row>
    <row r="62">
      <c r="A62" s="10" t="str">
        <f>IFERROR(__xludf.DUMMYFUNCTION("""COMPUTED_VALUE"""),"Fate Cutter Shears")</f>
        <v>Fate Cutter Shears</v>
      </c>
      <c r="B62" s="10" t="str">
        <f>IFERROR(__xludf.DUMMYFUNCTION("""COMPUTED_VALUE"""),"BMT")</f>
        <v>BMT</v>
      </c>
      <c r="C62" s="10" t="str">
        <f>IFERROR(__xludf.DUMMYFUNCTION("""COMPUTED_VALUE"""),"very rare")</f>
        <v>very rare</v>
      </c>
      <c r="D62" s="10" t="str">
        <f>IFERROR(__xludf.DUMMYFUNCTION("""COMPUTED_VALUE"""),"Simple Weapon, Melee Weapon")</f>
        <v>Simple Weapon, Melee Weapon</v>
      </c>
      <c r="E62" s="10" t="str">
        <f>IFERROR(__xludf.DUMMYFUNCTION("""COMPUTED_VALUE"""),"requires attunement")</f>
        <v>requires attunement</v>
      </c>
      <c r="F62" s="10" t="str">
        <f>IFERROR(__xludf.DUMMYFUNCTION("""COMPUTED_VALUE"""),"1d4 Piercing")</f>
        <v>1d4 Piercing</v>
      </c>
      <c r="G62" s="10" t="str">
        <f>IFERROR(__xludf.DUMMYFUNCTION("""COMPUTED_VALUE"""),"finesse, light, thrown (20/60 ft.)")</f>
        <v>finesse, light, thrown (20/60 ft.)</v>
      </c>
      <c r="H62" s="10"/>
      <c r="I62" s="10" t="str">
        <f>IFERROR(__xludf.DUMMYFUNCTION("""COMPUTED_VALUE"""),"The blades of these pruning shears bear many nicks and dents but still cut cleanly. The shears function as a magic dagger. The weapon has the following properties:Ever Sharp. When you hit with an attack using the shears, the target takes an extra 1d6 forc"&amp;"e damage.Sever Threads. When you hit a creature with the shears, you can cut that creature's fate. Until the target finishes a long rest, attack rolls against it score a critical hit on a roll of 19 or 20 on the d20. Once this property is used, it can't b"&amp;"e used again until the next dawn. Finesse. When making an attack with a finesse weapon, you use your choice of your Strength or Dexterity modifier for the attack and damage rolls. You must use the same modifier for both rolls. Light. A light weapon is sma"&amp;"ll and easy to handle, making it ideal for use when fighting with two weapons. Thrown. If a weapon has the thrown property, you can throw the weapon to make a ranged attack. If the weapon is a melee weapon, you use the same ability modifier for that attac"&amp;"k roll and damage roll that you would use for a melee attack with the weapon. For example, if you throw a handaxe, you use your Strength, but if you throw a dagger, you can use either your Strength or your Dexterity, since the dagger has the finesse prope"&amp;"rty.")</f>
        <v>The blades of these pruning shears bear many nicks and dents but still cut cleanly. The shears function as a magic dagger. The weapon has the following properties:Ever Sharp. When you hit with an attack using the shears, the target takes an extra 1d6 force damage.Sever Threads. When you hit a creature with the shears, you can cut that creature's fate. Until the target finishes a long rest, attack rolls against it score a critical hit on a roll of 19 or 20 on the d20. Once this property is used, it can't be used again until the next dawn.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L62" s="10">
        <f>IFERROR(__xludf.DUMMYFUNCTION("""COMPUTED_VALUE"""),1100.0)</f>
        <v>1100</v>
      </c>
    </row>
    <row r="63">
      <c r="A63" s="8" t="str">
        <f>IFERROR(__xludf.DUMMYFUNCTION("""COMPUTED_VALUE"""),"Bow of Conflagration")</f>
        <v>Bow of Conflagration</v>
      </c>
      <c r="B63" s="8" t="str">
        <f>IFERROR(__xludf.DUMMYFUNCTION("""COMPUTED_VALUE"""),"BMT")</f>
        <v>BMT</v>
      </c>
      <c r="C63" s="8" t="str">
        <f>IFERROR(__xludf.DUMMYFUNCTION("""COMPUTED_VALUE"""),"rare")</f>
        <v>rare</v>
      </c>
      <c r="D63" s="8" t="str">
        <f>IFERROR(__xludf.DUMMYFUNCTION("""COMPUTED_VALUE"""),"Generic Variant")</f>
        <v>Generic Variant</v>
      </c>
      <c r="E63" s="8" t="str">
        <f>IFERROR(__xludf.DUMMYFUNCTION("""COMPUTED_VALUE"""),"requires attunement")</f>
        <v>requires attunement</v>
      </c>
      <c r="F63" s="8"/>
      <c r="G63" s="8"/>
      <c r="H63" s="8"/>
      <c r="I63" s="8" t="str">
        <f>IFERROR(__xludf.DUMMYFUNCTION("""COMPUTED_VALUE"""),"Ammunition fired from this bow blazes brightly. When you hit with an attack roll using this bow, the target takes an extra 1d6 fire damage. If the target is a flammable, nonmagical object, it catches fire, taking 1d6 fire damage at the start of each of yo"&amp;"ur turns until a creature uses an action to extinguish the flames. 
Applied to non-magical Base Equipment.")</f>
        <v>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 
Applied to non-magical Base Equipment.</v>
      </c>
      <c r="L63" s="8">
        <f>IFERROR(__xludf.DUMMYFUNCTION("""COMPUTED_VALUE"""),1200.0)</f>
        <v>1200</v>
      </c>
    </row>
    <row r="64">
      <c r="A64" s="10" t="str">
        <f>IFERROR(__xludf.DUMMYFUNCTION("""COMPUTED_VALUE"""),"Crystal Blade")</f>
        <v>Crystal Blade</v>
      </c>
      <c r="B64" s="10" t="str">
        <f>IFERROR(__xludf.DUMMYFUNCTION("""COMPUTED_VALUE"""),"FTD")</f>
        <v>FTD</v>
      </c>
      <c r="C64" s="10" t="str">
        <f>IFERROR(__xludf.DUMMYFUNCTION("""COMPUTED_VALUE"""),"rare")</f>
        <v>rare</v>
      </c>
      <c r="D64" s="10" t="str">
        <f>IFERROR(__xludf.DUMMYFUNCTION("""COMPUTED_VALUE"""),"Generic Variant")</f>
        <v>Generic Variant</v>
      </c>
      <c r="E64" s="10" t="str">
        <f>IFERROR(__xludf.DUMMYFUNCTION("""COMPUTED_VALUE"""),"requires attunement")</f>
        <v>requires attunement</v>
      </c>
      <c r="F64" s="10"/>
      <c r="G64" s="10"/>
      <c r="H64" s="10"/>
      <c r="I64" s="10" t="str">
        <f>IFERROR(__xludf.DUMMYFUNCTION("""COMPUTED_VALUE"""),"This magic sword's blade is fashioned from a horn or spine from a crystal dragon. When you hit with an attack roll using this sword, the target takes an extra 1d8 radiant damage. The sword has 3 charges and regains 1d3 expended charges daily at dawn. When"&amp;" you hit a creature with an attack roll using the sword, you can expend 1 charge to regain a number of hit points equal to the extra radiant damage the sword dealt. While you're holding the sword, you can use a bonus action to cause it to shed bright ligh"&amp;"t in a 30-foot radius and dim light for an additional 30 feet, to cause it to shed dim light in a 10-foot radius, or to douse the light. 
Applied to non-magical Base Equipment.")</f>
        <v>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 
Applied to non-magical Base Equipment.</v>
      </c>
      <c r="L64" s="10">
        <f>IFERROR(__xludf.DUMMYFUNCTION("""COMPUTED_VALUE"""),1200.0)</f>
        <v>1200</v>
      </c>
    </row>
    <row r="65">
      <c r="A65" s="8" t="str">
        <f>IFERROR(__xludf.DUMMYFUNCTION("""COMPUTED_VALUE"""),"Devotee's Censer")</f>
        <v>Devotee's Censer</v>
      </c>
      <c r="B65" s="8" t="str">
        <f>IFERROR(__xludf.DUMMYFUNCTION("""COMPUTED_VALUE"""),"TCE")</f>
        <v>TCE</v>
      </c>
      <c r="C65" s="8" t="str">
        <f>IFERROR(__xludf.DUMMYFUNCTION("""COMPUTED_VALUE"""),"rare")</f>
        <v>rare</v>
      </c>
      <c r="D65" s="8" t="str">
        <f>IFERROR(__xludf.DUMMYFUNCTION("""COMPUTED_VALUE"""),"Martial Weapon, Melee Weapon")</f>
        <v>Martial Weapon, Melee Weapon</v>
      </c>
      <c r="E65" s="8" t="str">
        <f>IFERROR(__xludf.DUMMYFUNCTION("""COMPUTED_VALUE"""),"requires attunement by a cleric or paladin")</f>
        <v>requires attunement by a cleric or paladin</v>
      </c>
      <c r="F65" s="8" t="str">
        <f>IFERROR(__xludf.DUMMYFUNCTION("""COMPUTED_VALUE"""),"1d8 Bludgeoning")</f>
        <v>1d8 Bludgeoning</v>
      </c>
      <c r="G65" s="8"/>
      <c r="H65" s="8"/>
      <c r="I65" s="8"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L65" s="8">
        <f>IFERROR(__xludf.DUMMYFUNCTION("""COMPUTED_VALUE"""),1200.0)</f>
        <v>1200</v>
      </c>
    </row>
    <row r="66">
      <c r="A66" s="10" t="str">
        <f>IFERROR(__xludf.DUMMYFUNCTION("""COMPUTED_VALUE"""),"Glimmering Moonbow")</f>
        <v>Glimmering Moonbow</v>
      </c>
      <c r="B66" s="10" t="str">
        <f>IFERROR(__xludf.DUMMYFUNCTION("""COMPUTED_VALUE"""),"BMT")</f>
        <v>BMT</v>
      </c>
      <c r="C66" s="10" t="str">
        <f>IFERROR(__xludf.DUMMYFUNCTION("""COMPUTED_VALUE"""),"rare")</f>
        <v>rare</v>
      </c>
      <c r="D66" s="10" t="str">
        <f>IFERROR(__xludf.DUMMYFUNCTION("""COMPUTED_VALUE"""),"Generic Variant")</f>
        <v>Generic Variant</v>
      </c>
      <c r="E66" s="10" t="str">
        <f>IFERROR(__xludf.DUMMYFUNCTION("""COMPUTED_VALUE"""),"requires attunement")</f>
        <v>requires attunement</v>
      </c>
      <c r="F66" s="10"/>
      <c r="G66" s="10"/>
      <c r="H66" s="10"/>
      <c r="I66" s="10" t="str">
        <f>IFERROR(__xludf.DUMMYFUNCTION("""COMPUTED_VALUE"""),"This silver-and-black bow is engraved with the phases of the moon. When you hit with a ranged attack roll using this magic bow, the target takes an extra 1d6 radiant damage. If you load no ammunition in the weapon, it produces its own, automatically creat"&amp;"ing one piece of magic ammunition when you make a ranged attack with it. The ammunition created by the bow vanishes the instant after it hits or misses a target. While wielding this magic bow, you can use a bonus action to enter a semi-incorporeal state u"&amp;"ntil the start of your next turn. While semi-incorporeal, you have resistance to bludgeoning, piercing, and slashing damage. Once this bonus action is used, it can't be used again until the next dawn. 
Applied to non-magical Base Equipment.")</f>
        <v>This silver-and-black bow is engraved with the phases of the moon.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 
Applied to non-magical Base Equipment.</v>
      </c>
      <c r="L66" s="10">
        <f>IFERROR(__xludf.DUMMYFUNCTION("""COMPUTED_VALUE"""),1200.0)</f>
        <v>1200</v>
      </c>
    </row>
    <row r="67">
      <c r="A67" s="8" t="str">
        <f>IFERROR(__xludf.DUMMYFUNCTION("""COMPUTED_VALUE"""),"Serpent's Fang")</f>
        <v>Serpent's Fang</v>
      </c>
      <c r="B67" s="8" t="str">
        <f>IFERROR(__xludf.DUMMYFUNCTION("""COMPUTED_VALUE"""),"CM")</f>
        <v>CM</v>
      </c>
      <c r="C67" s="8" t="str">
        <f>IFERROR(__xludf.DUMMYFUNCTION("""COMPUTED_VALUE"""),"rare")</f>
        <v>rare</v>
      </c>
      <c r="D67" s="8" t="str">
        <f>IFERROR(__xludf.DUMMYFUNCTION("""COMPUTED_VALUE"""),"Martial Weapon, Melee Weapon")</f>
        <v>Martial Weapon, Melee Weapon</v>
      </c>
      <c r="E67" s="8"/>
      <c r="F67" s="8" t="str">
        <f>IFERROR(__xludf.DUMMYFUNCTION("""COMPUTED_VALUE"""),"1d8 Slashing")</f>
        <v>1d8 Slashing</v>
      </c>
      <c r="G67" s="8" t="str">
        <f>IFERROR(__xludf.DUMMYFUNCTION("""COMPUTED_VALUE"""),"versatile (1d10)")</f>
        <v>versatile (1d10)</v>
      </c>
      <c r="H67" s="8"/>
      <c r="I67" s="8" t="str">
        <f>IFERROR(__xludf.DUMMYFUNCTION("""COMPUTED_VALUE"""),"This single-edged magic sword is made from the scrimshawed fang of a giant serpent. Its hilt changes shape to adjust to the grasp of any creature that picks it up. The weapon deals an extra 1d10 poison damage to any target it hits. Versatile. This weapon "&amp;"can be used with one or two hands. A damage value in parentheses appears with the property the damage when the weapon is used with two hands to make a melee attack.")</f>
        <v>This single-edged magic sword is made from the scrimshawed fang of a giant serpent. Its hilt changes shape to adjust to the grasp of any creature that picks it up. The weapon deals an extra 1d10 poison damage to any target it hits. Versatile. This weapon can be used with one or two hands. A damage value in parentheses appears with the property the damage when the weapon is used with two hands to make a melee attack.</v>
      </c>
      <c r="L67" s="8">
        <f>IFERROR(__xludf.DUMMYFUNCTION("""COMPUTED_VALUE"""),1200.0)</f>
        <v>1200</v>
      </c>
    </row>
    <row r="68">
      <c r="A68" s="10" t="str">
        <f>IFERROR(__xludf.DUMMYFUNCTION("""COMPUTED_VALUE"""),"Eldritch Staff")</f>
        <v>Eldritch Staff</v>
      </c>
      <c r="B68" s="10" t="str">
        <f>IFERROR(__xludf.DUMMYFUNCTION("""COMPUTED_VALUE"""),"WBtW")</f>
        <v>WBtW</v>
      </c>
      <c r="C68" s="10" t="str">
        <f>IFERROR(__xludf.DUMMYFUNCTION("""COMPUTED_VALUE"""),"very rare")</f>
        <v>very rare</v>
      </c>
      <c r="D68" s="10" t="str">
        <f>IFERROR(__xludf.DUMMYFUNCTION("""COMPUTED_VALUE"""),"Simple Weapon, Melee Weapon")</f>
        <v>Simple Weapon, Melee Weapon</v>
      </c>
      <c r="E68" s="10" t="str">
        <f>IFERROR(__xludf.DUMMYFUNCTION("""COMPUTED_VALUE"""),"requires attunement")</f>
        <v>requires attunement</v>
      </c>
      <c r="F68" s="10" t="str">
        <f>IFERROR(__xludf.DUMMYFUNCTION("""COMPUTED_VALUE"""),"1d6 Bludgeoning")</f>
        <v>1d6 Bludgeoning</v>
      </c>
      <c r="G68" s="10" t="str">
        <f>IFERROR(__xludf.DUMMYFUNCTION("""COMPUTED_VALUE"""),"versatile (1d8)")</f>
        <v>versatile (1d8)</v>
      </c>
      <c r="H68" s="10"/>
      <c r="I68" s="10" t="str">
        <f>IFERROR(__xludf.DUMMYFUNCTION("""COMPUTED_VALUE"""),"This staff can be wielded as a magic quarterstaff.The staff has 10 charges and regains 1d6 + 4 expended charges daily at dawn. If you expend the last charge, roll a d20. On a 1, the staff is destroyed in an otherwise harmless burst of eldritch energy. Eld"&amp;"ritch Attack. When you hit with a melee attack using the staff, you can expend up to 3 of its charges. For each charge you expend, the target takes an extra 1d8 lightning damage. Eldritch Escape. If you take damage while holding the staff, you can use you"&amp;"r reaction to expend 3 of the staff's charges, whereupon you turn invisible and teleport yourself, along with any equipment you are wearing or carrying, up to 60 feet to an unoccupied space that you can see. You remain invisible until the start of your ne"&amp;"xt turn or until you attack, cast a spell, or deal damage. Versatile. This weapon can be used with one or two hands. A damage value in parentheses appears with the property the damage when the weapon is used with two hands to make a melee attack.")</f>
        <v>This staff can be wielded as a magic quarterstaff.The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 Versatile. This weapon can be used with one or two hands. A damage value in parentheses appears with the property the damage when the weapon is used with two hands to make a melee attack.</v>
      </c>
      <c r="L68" s="10">
        <f>IFERROR(__xludf.DUMMYFUNCTION("""COMPUTED_VALUE"""),1350.0)</f>
        <v>1350</v>
      </c>
    </row>
    <row r="69">
      <c r="A69" s="8" t="str">
        <f>IFERROR(__xludf.DUMMYFUNCTION("""COMPUTED_VALUE"""),"Sun Staff")</f>
        <v>Sun Staff</v>
      </c>
      <c r="B69" s="8" t="str">
        <f>IFERROR(__xludf.DUMMYFUNCTION("""COMPUTED_VALUE"""),"BMT")</f>
        <v>BMT</v>
      </c>
      <c r="C69" s="8" t="str">
        <f>IFERROR(__xludf.DUMMYFUNCTION("""COMPUTED_VALUE"""),"rare")</f>
        <v>rare</v>
      </c>
      <c r="D69" s="8" t="str">
        <f>IFERROR(__xludf.DUMMYFUNCTION("""COMPUTED_VALUE"""),"Simple Weapon, Melee Weapon")</f>
        <v>Simple Weapon, Melee Weapon</v>
      </c>
      <c r="E69" s="8" t="str">
        <f>IFERROR(__xludf.DUMMYFUNCTION("""COMPUTED_VALUE"""),"requires attunement by a cleric, druid, or wizard")</f>
        <v>requires attunement by a cleric, druid, or wizard</v>
      </c>
      <c r="F69" s="8" t="str">
        <f>IFERROR(__xludf.DUMMYFUNCTION("""COMPUTED_VALUE"""),"1d6 Bludgeoning")</f>
        <v>1d6 Bludgeoning</v>
      </c>
      <c r="G69" s="8" t="str">
        <f>IFERROR(__xludf.DUMMYFUNCTION("""COMPUTED_VALUE"""),"versatile (1d8)")</f>
        <v>versatile (1d8)</v>
      </c>
      <c r="H69" s="8"/>
      <c r="I69" s="8"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L69" s="8">
        <f>IFERROR(__xludf.DUMMYFUNCTION("""COMPUTED_VALUE"""),1400.0)</f>
        <v>1400</v>
      </c>
    </row>
    <row r="70">
      <c r="A70" s="10" t="str">
        <f>IFERROR(__xludf.DUMMYFUNCTION("""COMPUTED_VALUE"""),"Frost Brand")</f>
        <v>Frost Brand</v>
      </c>
      <c r="B70" s="10" t="str">
        <f>IFERROR(__xludf.DUMMYFUNCTION("""COMPUTED_VALUE"""),"DMG'24")</f>
        <v>DMG'24</v>
      </c>
      <c r="C70" s="10" t="str">
        <f>IFERROR(__xludf.DUMMYFUNCTION("""COMPUTED_VALUE"""),"very rare")</f>
        <v>very rare</v>
      </c>
      <c r="D70" s="10" t="str">
        <f>IFERROR(__xludf.DUMMYFUNCTION("""COMPUTED_VALUE"""),"Generic Variant")</f>
        <v>Generic Variant</v>
      </c>
      <c r="E70" s="10" t="str">
        <f>IFERROR(__xludf.DUMMYFUNCTION("""COMPUTED_VALUE"""),"requires attunement")</f>
        <v>requires attunement</v>
      </c>
      <c r="F70" s="10"/>
      <c r="G70" s="10"/>
      <c r="H70" s="10"/>
      <c r="I70" s="10" t="str">
        <f>IFERROR(__xludf.DUMMYFUNCTION("""COMPUTED_VALUE"""),"When you hit with an attack roll using this magic weapon, the target takes an extra 1d6 Cold damage. In addition, while you hold the weapon, you have Resistance to Fire damage.In freezing temperatures, the weapon sheds Bright Light in a 10-foot radius and"&amp;" Dim Light for an additional 10 feet.When you draw this weapon, you can extinguish all nonmagical flames within 30 feet of yourself. Once used, this property can't be used again for 1 hour. 
Applied to non-magical Base Equipment.")</f>
        <v>When you hit with an attack roll using this magic weapon, the target takes an extra 1d6 Cold damage. In addition, while you hold the weapon, you have Resistance to Fire damage.In freezing temperatures, the weapon sheds Bright Light in a 10-foot radius and Dim Light for an additional 10 feet.When you draw this weapon, you can extinguish all nonmagical flames within 30 feet of yourself. Once used, this property can't be used again for 1 hour. 
Applied to non-magical Base Equipment.</v>
      </c>
      <c r="L70" s="10">
        <f>IFERROR(__xludf.DUMMYFUNCTION("""COMPUTED_VALUE"""),1500.0)</f>
        <v>1500</v>
      </c>
    </row>
    <row r="71">
      <c r="A71" s="8" t="str">
        <f>IFERROR(__xludf.DUMMYFUNCTION("""COMPUTED_VALUE"""),"+2 Weapon")</f>
        <v>+2 Weapon</v>
      </c>
      <c r="B71" s="8" t="str">
        <f>IFERROR(__xludf.DUMMYFUNCTION("""COMPUTED_VALUE"""),"Custom rule")</f>
        <v>Custom rule</v>
      </c>
      <c r="C71" s="8" t="str">
        <f>IFERROR(__xludf.DUMMYFUNCTION("""COMPUTED_VALUE"""),"Rare")</f>
        <v>Rare</v>
      </c>
      <c r="D71" s="8" t="str">
        <f>IFERROR(__xludf.DUMMYFUNCTION("""COMPUTED_VALUE"""),"Generic Variant")</f>
        <v>Generic Variant</v>
      </c>
      <c r="E71" s="8"/>
      <c r="F71" s="8"/>
      <c r="G71" s="8"/>
      <c r="H71" s="8"/>
      <c r="I71" s="8" t="str">
        <f>IFERROR(__xludf.DUMMYFUNCTION("""COMPUTED_VALUE"""),"You have a +2 bonus to attack and damage rolls made with this magic weapon. Available to level 8+")</f>
        <v>You have a +2 bonus to attack and damage rolls made with this magic weapon. Available to level 8+</v>
      </c>
      <c r="L71" s="8">
        <f>IFERROR(__xludf.DUMMYFUNCTION("""COMPUTED_VALUE"""),1800.0)</f>
        <v>1800</v>
      </c>
    </row>
    <row r="72">
      <c r="A72" s="10" t="str">
        <f>IFERROR(__xludf.DUMMYFUNCTION("""COMPUTED_VALUE"""),"Vicious Weapon")</f>
        <v>Vicious Weapon</v>
      </c>
      <c r="B72" s="10" t="str">
        <f>IFERROR(__xludf.DUMMYFUNCTION("""COMPUTED_VALUE"""),"DMG'24")</f>
        <v>DMG'24</v>
      </c>
      <c r="C72" s="10" t="str">
        <f>IFERROR(__xludf.DUMMYFUNCTION("""COMPUTED_VALUE"""),"rare")</f>
        <v>rare</v>
      </c>
      <c r="D72" s="10" t="str">
        <f>IFERROR(__xludf.DUMMYFUNCTION("""COMPUTED_VALUE"""),"Generic Variant")</f>
        <v>Generic Variant</v>
      </c>
      <c r="E72" s="10"/>
      <c r="F72" s="10"/>
      <c r="G72" s="10"/>
      <c r="H72" s="10"/>
      <c r="I72" s="10" t="str">
        <f>IFERROR(__xludf.DUMMYFUNCTION("""COMPUTED_VALUE"""),"This magic weapon deals an extra 2d6 damage to any creature it hits. This extra damage is of the same type as the weapon's normal damage. 
Available at level 8+.")</f>
        <v>This magic weapon deals an extra 2d6 damage to any creature it hits. This extra damage is of the same type as the weapon's normal damage. 
Available at level 8+.</v>
      </c>
      <c r="L72" s="10">
        <f>IFERROR(__xludf.DUMMYFUNCTION("""COMPUTED_VALUE"""),1800.0)</f>
        <v>1800</v>
      </c>
    </row>
    <row r="73">
      <c r="A73" s="8" t="str">
        <f>IFERROR(__xludf.DUMMYFUNCTION("""COMPUTED_VALUE"""),"Lute of Thunderous Thumping")</f>
        <v>Lute of Thunderous Thumping</v>
      </c>
      <c r="B73" s="8" t="str">
        <f>IFERROR(__xludf.DUMMYFUNCTION("""COMPUTED_VALUE"""),"DMG'24")</f>
        <v>DMG'24</v>
      </c>
      <c r="C73" s="8" t="str">
        <f>IFERROR(__xludf.DUMMYFUNCTION("""COMPUTED_VALUE"""),"very rare")</f>
        <v>very rare</v>
      </c>
      <c r="D73" s="8" t="str">
        <f>IFERROR(__xludf.DUMMYFUNCTION("""COMPUTED_VALUE"""),"Simple Weapon, Melee Weapon, Instrument")</f>
        <v>Simple Weapon, Melee Weapon, Instrument</v>
      </c>
      <c r="E73" s="8"/>
      <c r="F73" s="8" t="str">
        <f>IFERROR(__xludf.DUMMYFUNCTION("""COMPUTED_VALUE"""),"1d4 Bludgeoning")</f>
        <v>1d4 Bludgeoning</v>
      </c>
      <c r="G73" s="8" t="str">
        <f>IFERROR(__xludf.DUMMYFUNCTION("""COMPUTED_VALUE"""),"Light")</f>
        <v>Light</v>
      </c>
      <c r="H73" s="8" t="str">
        <f>IFERROR(__xludf.DUMMYFUNCTION("""COMPUTED_VALUE"""),"Mastery: Slow")</f>
        <v>Mastery: Slow</v>
      </c>
      <c r="I73" s="8" t="str">
        <f>IFERROR(__xludf.DUMMYFUNCTION("""COMPUTED_VALUE"""),"This reinforced lute can be wielded as a magic Club that deals an extra 2d8 Thunder damage on a hit. Sing and Swing. If you're a Bard, you can use your Charisma modifier instead of your Strength modifier when making a melee attack roll with the lute, prov"&amp;"ided you sing or hum while making the attack. Light. When you take the Attack action on your turn and attack with a Light weapon, you can make one extra attack as a Bonus Action later on the same turn. That extra attack must be made with a different Light"&amp;" weapon, and you don't add your ability modifier to the extra attack's damage unless that modifier is negative. For example, you can attack with a Shortsword in one hand and a Dagger in the other using the Attack action and a Bonus Action, but you don't a"&amp;"dd your Strength or Dexterity modifier to the damage roll of the Bonus Action unless that modifier is negative. Mastery: Slow. If you hit a creature with this weapon and deal damage to it, you can reduce its Speed by 10 feet until the start of your next t"&amp;"urn. If the creature is hit more than once by weapons that have this property, the Speed reduction doesn't exceed 10 feet.")</f>
        <v>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L73" s="8">
        <f>IFERROR(__xludf.DUMMYFUNCTION("""COMPUTED_VALUE"""),1800.0)</f>
        <v>1800</v>
      </c>
    </row>
    <row r="74">
      <c r="A74" s="10" t="str">
        <f>IFERROR(__xludf.DUMMYFUNCTION("""COMPUTED_VALUE"""),"Mythallar Cloak")</f>
        <v>Mythallar Cloak</v>
      </c>
      <c r="B74" s="10" t="str">
        <f>IFERROR(__xludf.DUMMYFUNCTION("""COMPUTED_VALUE"""),"NF")</f>
        <v>NF</v>
      </c>
      <c r="C74" s="10" t="str">
        <f>IFERROR(__xludf.DUMMYFUNCTION("""COMPUTED_VALUE"""),"rare")</f>
        <v>rare</v>
      </c>
      <c r="D74" s="10" t="str">
        <f>IFERROR(__xludf.DUMMYFUNCTION("""COMPUTED_VALUE"""),"Wondrous Item")</f>
        <v>Wondrous Item</v>
      </c>
      <c r="E74" s="10" t="str">
        <f>IFERROR(__xludf.DUMMYFUNCTION("""COMPUTED_VALUE"""),"requires attunement")</f>
        <v>requires attunement</v>
      </c>
      <c r="F74" s="10"/>
      <c r="G74" s="10"/>
      <c r="H74" s="10"/>
      <c r="I74" s="10" t="str">
        <f>IFERROR(__xludf.DUMMYFUNCTION("""COMPUTED_VALUE"""),"This electric-blue cloak is studded with sewn-in crystals that are shards of a decommissioned mythallar. The cloak has 10 charges and regains 1d10 expended charges daily at dawn. While wearing the cloak, you can take a Bonus Action and expend 1 charge to "&amp;"activate the cloak's magic. The magic lasts for 1 minute or until you end it early (no action required).While the cloak's magic is active, you gain a Fly Speed of 30 feet and can hover. Additionally, once on each of your turns when you hit a creature with"&amp;" an attack roll and deal damage, you can cause the target to take an extra 1d4 Radiant damage. If you are aloft when the cloak's magic ends, you fall.")</f>
        <v>This electric-blue cloak is studded with sewn-in crystals that are shards of a decommissioned mythallar. The cloak has 10 charges and regains 1d10 expended charges daily at dawn. While wearing the cloak, you can take a Bonus Action and expend 1 charge to activate the cloak's magic. The magic lasts for 1 minute or until you end it early (no action required).While the cloak's magic is active, you gain a Fly Speed of 30 feet and can hover. Additionally, once on each of your turns when you hit a creature with an attack roll and deal damage, you can cause the target to take an extra 1d4 Radiant damage. If you are aloft when the cloak's magic ends, you fall.</v>
      </c>
      <c r="L74" s="10">
        <f>IFERROR(__xludf.DUMMYFUNCTION("""COMPUTED_VALUE"""),1850.0)</f>
        <v>1850</v>
      </c>
    </row>
    <row r="75">
      <c r="A75" s="8" t="str">
        <f>IFERROR(__xludf.DUMMYFUNCTION("""COMPUTED_VALUE"""),"Wyrmreaver Gauntlets")</f>
        <v>Wyrmreaver Gauntlets</v>
      </c>
      <c r="B75" s="8" t="str">
        <f>IFERROR(__xludf.DUMMYFUNCTION("""COMPUTED_VALUE"""),"BGG")</f>
        <v>BGG</v>
      </c>
      <c r="C75" s="8" t="str">
        <f>IFERROR(__xludf.DUMMYFUNCTION("""COMPUTED_VALUE"""),"very rare")</f>
        <v>very rare</v>
      </c>
      <c r="D75" s="8" t="str">
        <f>IFERROR(__xludf.DUMMYFUNCTION("""COMPUTED_VALUE"""),"Wondrous Item")</f>
        <v>Wondrous Item</v>
      </c>
      <c r="E75" s="8" t="str">
        <f>IFERROR(__xludf.DUMMYFUNCTION("""COMPUTED_VALUE"""),"requires attunement")</f>
        <v>requires attunement</v>
      </c>
      <c r="F75" s="8"/>
      <c r="G75" s="8"/>
      <c r="H75" s="8"/>
      <c r="I75" s="8" t="str">
        <f>IFERROR(__xludf.DUMMYFUNCTION("""COMPUTED_VALUE"""),"Originally crafted for ground-bound giant brawlers to fight against dragons and other enormous predators of the sky, these studded gauntlets are engraved with the dragon rune. While you are wearing these gauntlets, your unarmed strike deals an additional "&amp;"1d6 force damage on a hit. Additionally, whenever you finish a long rest, choose one of the following damage types: acid, cold, fire, lightning, or poison. You have resistance to the chosen damage type until you finish another long rest. Invoking the Rune"&amp;"s. As a bonus action, you can invoke the gauntlets' runes and summon two enormous spectral fists that envelop the gauntlets and mimic your hand motions. The fists can also launch themselves to strike distant opponents, returning immediately to your space "&amp;"after they hit or miss.The fists last for 1 minute or until you are incapacitated. While the spectral fists are active, unarmed strikes you make on your turn have a reach of 30 feet, and when you hit a creature with an opportunity attack made with your un"&amp;"armed strike, the creature must succeed on a Strength saving throw (DC equals 8 + your proficiency bonus + your Strength modifier) or have the prone condition. Once the runes have been invoked, they can't be invoked again until the next dawn.")</f>
        <v>Originally crafted for ground-bound giant brawlers to fight against dragons and other enormous predators of the sky, these studded gauntlets are engraved with the dragon rune. While you are wearing these gauntlets, your unarmed strike deals an additional 1d6 force damage on a hit. Additionally, whenever you finish a long rest, choose one of the following damage types: acid, cold, fire, lightning, or poison. You have resistance to the chosen damage type until you finish another long rest. Invoking the Runes. As a bonus action, you can invoke the gauntlets' runes and summon two enormous spectral fists that envelop the gauntlets and mimic your hand motions. The fists can also launch themselves to strike distant opponents, returning immediately to your space after they hit or miss.The fists last for 1 minute or until you are incapacitated. While the spectral fists are active, unarmed strikes you make on your turn have a reach of 30 feet, and when you hit a creature with an opportunity attack made with your unarmed strike, the creature must succeed on a Strength saving throw (DC equals 8 + your proficiency bonus + your Strength modifier) or have the prone condition. Once the runes have been invoked, they can't be invoked again until the next dawn.</v>
      </c>
      <c r="L75" s="8">
        <f>IFERROR(__xludf.DUMMYFUNCTION("""COMPUTED_VALUE"""),2150.0)</f>
        <v>2150</v>
      </c>
    </row>
    <row r="76">
      <c r="A76" s="12"/>
      <c r="B76" s="12"/>
      <c r="C76" s="12"/>
      <c r="D76" s="12"/>
      <c r="E76" s="12"/>
      <c r="F76" s="12"/>
      <c r="G76" s="12"/>
      <c r="H76" s="12"/>
      <c r="I76" s="12"/>
      <c r="J76" s="12"/>
      <c r="K76" s="12"/>
      <c r="L76" s="12"/>
    </row>
    <row r="77">
      <c r="A77" s="6" t="s">
        <v>45</v>
      </c>
      <c r="L77" s="13"/>
    </row>
    <row r="78">
      <c r="A78" s="8" t="str">
        <f>IFERROR(__xludf.DUMMYFUNCTION("FILTER(MasterList_Hidden!A:K,Search(A77,MasterList_Hidden!K:K),MasterList_Hidden!J:J&lt;&gt;""Free to Guild Adventurers with Item Proficiency"",MasterList_Hidden!J:J&lt;&gt;""Free to Guild Adventurers in Good Standing"",MasterList_Hidden!J:J&lt;&gt;""Artificer Replicate Ma"&amp;"gic Item Only"")"),"Ioun Stone, Protection")</f>
        <v>Ioun Stone, Protection</v>
      </c>
      <c r="B78" s="8" t="str">
        <f>IFERROR(__xludf.DUMMYFUNCTION("""COMPUTED_VALUE"""),"DMG'24")</f>
        <v>DMG'24</v>
      </c>
      <c r="C78" s="8" t="str">
        <f>IFERROR(__xludf.DUMMYFUNCTION("""COMPUTED_VALUE"""),"rare")</f>
        <v>rare</v>
      </c>
      <c r="D78" s="8" t="str">
        <f>IFERROR(__xludf.DUMMYFUNCTION("""COMPUTED_VALUE"""),"Wondrous Item")</f>
        <v>Wondrous Item</v>
      </c>
      <c r="E78" s="8" t="str">
        <f>IFERROR(__xludf.DUMMYFUNCTION("""COMPUTED_VALUE"""),"requires attunement")</f>
        <v>requires attunement</v>
      </c>
      <c r="F78" s="8"/>
      <c r="G78" s="8"/>
      <c r="H78" s="8"/>
      <c r="I78"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 gain a +1 bonus to Armor Class while this dusty-rose prism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 gain a +1 bonus to Armor Class while this dusty-rose prism orbits your head.</v>
      </c>
      <c r="L78" s="8">
        <f>IFERROR(__xludf.DUMMYFUNCTION("FILTER(MasterList_Hidden!J:J,Search(A77,MasterList_Hidden!K:K),MasterList_Hidden!J:J&lt;&gt;""Free to Guild Adventurers with Item Proficiency"",MasterList_Hidden!J:J&lt;&gt;""Free to Guild Adventurers in Good Standing"",MasterList_Hidden!J:J&lt;&gt;""Artificer Replicate Ma"&amp;"gic Item Only"")"),600.0)</f>
        <v>600</v>
      </c>
    </row>
    <row r="79">
      <c r="A79" s="10" t="str">
        <f>IFERROR(__xludf.DUMMYFUNCTION("""COMPUTED_VALUE"""),"Cloak of Protection")</f>
        <v>Cloak of Protection</v>
      </c>
      <c r="B79" s="10" t="str">
        <f>IFERROR(__xludf.DUMMYFUNCTION("""COMPUTED_VALUE"""),"DMG'24")</f>
        <v>DMG'24</v>
      </c>
      <c r="C79" s="10" t="str">
        <f>IFERROR(__xludf.DUMMYFUNCTION("""COMPUTED_VALUE"""),"uncommon")</f>
        <v>uncommon</v>
      </c>
      <c r="D79" s="10" t="str">
        <f>IFERROR(__xludf.DUMMYFUNCTION("""COMPUTED_VALUE"""),"Wondrous Item")</f>
        <v>Wondrous Item</v>
      </c>
      <c r="E79" s="10" t="str">
        <f>IFERROR(__xludf.DUMMYFUNCTION("""COMPUTED_VALUE"""),"requires attunement")</f>
        <v>requires attunement</v>
      </c>
      <c r="F79" s="10"/>
      <c r="G79" s="10"/>
      <c r="H79" s="10"/>
      <c r="I79" s="10" t="str">
        <f>IFERROR(__xludf.DUMMYFUNCTION("""COMPUTED_VALUE"""),"You gain a +1 bonus to Armor Class and saving throws while you wear this cloak.")</f>
        <v>You gain a +1 bonus to Armor Class and saving throws while you wear this cloak.</v>
      </c>
      <c r="L79" s="10">
        <f>IFERROR(__xludf.DUMMYFUNCTION("""COMPUTED_VALUE"""),800.0)</f>
        <v>800</v>
      </c>
    </row>
    <row r="80">
      <c r="A80" s="8" t="str">
        <f>IFERROR(__xludf.DUMMYFUNCTION("""COMPUTED_VALUE"""),"Dwarven Plate")</f>
        <v>Dwarven Plate</v>
      </c>
      <c r="B80" s="8" t="str">
        <f>IFERROR(__xludf.DUMMYFUNCTION("""COMPUTED_VALUE"""),"DMG'24")</f>
        <v>DMG'24</v>
      </c>
      <c r="C80" s="8" t="str">
        <f>IFERROR(__xludf.DUMMYFUNCTION("""COMPUTED_VALUE"""),"very rare")</f>
        <v>very rare</v>
      </c>
      <c r="D80" s="8" t="str">
        <f>IFERROR(__xludf.DUMMYFUNCTION("""COMPUTED_VALUE"""),"Generic Variant")</f>
        <v>Generic Variant</v>
      </c>
      <c r="E80" s="8"/>
      <c r="F80" s="8"/>
      <c r="G80" s="8"/>
      <c r="H80" s="8"/>
      <c r="I80" s="8" t="str">
        <f>IFERROR(__xludf.DUMMYFUNCTION("""COMPUTED_VALUE"""),"If an effect moves you against your will along the ground, you can take a Reaction to reduce the distance you are moved by up to 10 feet. 
Applied to non-magical Base Equipment.")</f>
        <v>If an effect moves you against your will along the ground, you can take a Reaction to reduce the distance you are moved by up to 10 feet. 
Applied to non-magical Base Equipment.</v>
      </c>
      <c r="L80" s="8">
        <f>IFERROR(__xludf.DUMMYFUNCTION("""COMPUTED_VALUE"""),850.0)</f>
        <v>850</v>
      </c>
    </row>
    <row r="81">
      <c r="A81" s="10" t="str">
        <f>IFERROR(__xludf.DUMMYFUNCTION("""COMPUTED_VALUE"""),"Bracers of Defense")</f>
        <v>Bracers of Defense</v>
      </c>
      <c r="B81" s="10" t="str">
        <f>IFERROR(__xludf.DUMMYFUNCTION("""COMPUTED_VALUE"""),"DMG'24")</f>
        <v>DMG'24</v>
      </c>
      <c r="C81" s="10" t="str">
        <f>IFERROR(__xludf.DUMMYFUNCTION("""COMPUTED_VALUE"""),"rare")</f>
        <v>rare</v>
      </c>
      <c r="D81" s="10" t="str">
        <f>IFERROR(__xludf.DUMMYFUNCTION("""COMPUTED_VALUE"""),"Wondrous Item")</f>
        <v>Wondrous Item</v>
      </c>
      <c r="E81" s="10" t="str">
        <f>IFERROR(__xludf.DUMMYFUNCTION("""COMPUTED_VALUE"""),"requires attunement")</f>
        <v>requires attunement</v>
      </c>
      <c r="F81" s="10"/>
      <c r="G81" s="10"/>
      <c r="H81" s="10"/>
      <c r="I81" s="10" t="str">
        <f>IFERROR(__xludf.DUMMYFUNCTION("""COMPUTED_VALUE"""),"While wearing these bracers, you gain a +2 bonus to Armor Class if you are wearing no armor and using no Shield.")</f>
        <v>While wearing these bracers, you gain a +2 bonus to Armor Class if you are wearing no armor and using no Shield.</v>
      </c>
      <c r="L81" s="10">
        <f>IFERROR(__xludf.DUMMYFUNCTION("""COMPUTED_VALUE"""),1000.0)</f>
        <v>1000</v>
      </c>
    </row>
    <row r="82">
      <c r="A82" s="8" t="str">
        <f>IFERROR(__xludf.DUMMYFUNCTION("""COMPUTED_VALUE"""),"Ring of Protection")</f>
        <v>Ring of Protection</v>
      </c>
      <c r="B82" s="8" t="str">
        <f>IFERROR(__xludf.DUMMYFUNCTION("""COMPUTED_VALUE"""),"DMG'24")</f>
        <v>DMG'24</v>
      </c>
      <c r="C82" s="8" t="str">
        <f>IFERROR(__xludf.DUMMYFUNCTION("""COMPUTED_VALUE"""),"rare")</f>
        <v>rare</v>
      </c>
      <c r="D82" s="8" t="str">
        <f>IFERROR(__xludf.DUMMYFUNCTION("""COMPUTED_VALUE"""),"Ring")</f>
        <v>Ring</v>
      </c>
      <c r="E82" s="8" t="str">
        <f>IFERROR(__xludf.DUMMYFUNCTION("""COMPUTED_VALUE"""),"requires attunement")</f>
        <v>requires attunement</v>
      </c>
      <c r="F82" s="8"/>
      <c r="G82" s="8"/>
      <c r="H82" s="8"/>
      <c r="I82" s="8" t="str">
        <f>IFERROR(__xludf.DUMMYFUNCTION("""COMPUTED_VALUE"""),"You gain a +1 bonus to Armor Class and saving throws while wearing this ring.")</f>
        <v>You gain a +1 bonus to Armor Class and saving throws while wearing this ring.</v>
      </c>
      <c r="L82" s="8">
        <f>IFERROR(__xludf.DUMMYFUNCTION("""COMPUTED_VALUE"""),1000.0)</f>
        <v>1000</v>
      </c>
    </row>
    <row r="83">
      <c r="A83" s="10" t="str">
        <f>IFERROR(__xludf.DUMMYFUNCTION("""COMPUTED_VALUE"""),"Arrow-Catching Shield")</f>
        <v>Arrow-Catching Shield</v>
      </c>
      <c r="B83" s="10" t="str">
        <f>IFERROR(__xludf.DUMMYFUNCTION("""COMPUTED_VALUE"""),"DMG'24")</f>
        <v>DMG'24</v>
      </c>
      <c r="C83" s="10" t="str">
        <f>IFERROR(__xludf.DUMMYFUNCTION("""COMPUTED_VALUE"""),"rare")</f>
        <v>rare</v>
      </c>
      <c r="D83" s="10" t="str">
        <f>IFERROR(__xludf.DUMMYFUNCTION("""COMPUTED_VALUE"""),"Shield")</f>
        <v>Shield</v>
      </c>
      <c r="E83" s="10" t="str">
        <f>IFERROR(__xludf.DUMMYFUNCTION("""COMPUTED_VALUE"""),"requires attunement")</f>
        <v>requires attunement</v>
      </c>
      <c r="F83" s="10" t="str">
        <f>IFERROR(__xludf.DUMMYFUNCTION("""COMPUTED_VALUE"""),"AC +2")</f>
        <v>AC +2</v>
      </c>
      <c r="G83" s="10"/>
      <c r="H83" s="10"/>
      <c r="I83" s="10" t="str">
        <f>IFERROR(__xludf.DUMMYFUNCTION("""COMPUTED_VALUE"""),"You gain a +2 bonus to Armor Class against ranged attack rolls while you wield this Shield. This bonus is in addition to the Shield's normal bonus to AC. Whenever an attacker makes a ranged attack roll against a target within 5 feet of you, you can take a"&amp;" Reaction to become the target of the attack instead.")</f>
        <v>You gain a +2 bonus to Armor Class against ranged attack rolls while you wield this Shield. This bonus is in addition to the Shield's normal bonus to AC. Whenever an attacker makes a ranged attack roll against a target within 5 feet of you, you can take a Reaction to become the target of the attack instead.</v>
      </c>
      <c r="L83" s="10">
        <f>IFERROR(__xludf.DUMMYFUNCTION("""COMPUTED_VALUE"""),1200.0)</f>
        <v>1200</v>
      </c>
    </row>
    <row r="84">
      <c r="A84" s="8" t="str">
        <f>IFERROR(__xludf.DUMMYFUNCTION("""COMPUTED_VALUE"""),"Shield of the Cavalier")</f>
        <v>Shield of the Cavalier</v>
      </c>
      <c r="B84" s="8" t="str">
        <f>IFERROR(__xludf.DUMMYFUNCTION("""COMPUTED_VALUE"""),"DMG'24")</f>
        <v>DMG'24</v>
      </c>
      <c r="C84" s="8" t="str">
        <f>IFERROR(__xludf.DUMMYFUNCTION("""COMPUTED_VALUE"""),"very rare")</f>
        <v>very rare</v>
      </c>
      <c r="D84" s="8" t="str">
        <f>IFERROR(__xludf.DUMMYFUNCTION("""COMPUTED_VALUE"""),"Shield")</f>
        <v>Shield</v>
      </c>
      <c r="E84" s="8" t="str">
        <f>IFERROR(__xludf.DUMMYFUNCTION("""COMPUTED_VALUE"""),"requires attunement")</f>
        <v>requires attunement</v>
      </c>
      <c r="F84" s="8" t="str">
        <f>IFERROR(__xludf.DUMMYFUNCTION("""COMPUTED_VALUE"""),"AC +2")</f>
        <v>AC +2</v>
      </c>
      <c r="G84" s="8"/>
      <c r="H84" s="8"/>
      <c r="I84" s="8" t="str">
        <f>IFERROR(__xludf.DUMMYFUNCTION("""COMPUTED_VALUE"""),"This bonus is in addition to the Shield's normal bonus to AC.The Shield has the following additional properties that you can use while holding it. Forceful Bash. When you take the Attack action, you can make one of the attack rolls using the Shield agains"&amp;"t a target within 5 feet of yourself. Apply your Proficiency Bonus and Strength modifier to the attack roll. On a hit, the Shield deals Force damage to the target equal to 2d6 + 2 plus your Strength modifier, and if the target is a creature, you can push "&amp;"it up to 10 feet directly away from yourself. If the creature is your size or smaller, you can also knock it down, giving it the Prone condition. Protective Field. As a Reaction, when you or an ally you can see within 5 feet of you is targeted by an attac"&amp;"k or makes a saving throw against an area of effect, you can use the Shield to create an immobile 5-foot Emanation originating from you. When the Emanation appears, any creatures or objects not fully contained within it are pushed into the nearest unoccup"&amp;"ied spaces outside it. The attack or area of effect that triggered the Reaction has no effect on creatures and objects inside the Emanation, which lasts as long as you maintain Concentration, up to 1 minute. Nothing can pass into or out of the Emanation. "&amp;"A creature or object inside the Emanation can't be damaged by attacks or effects originating from outside, nor can a creature inside the Emanation damage anything outside it. Once this property is used, it can't be used again until the next dawn.")</f>
        <v>This bonus is in addition to the Shield's normal bonus to AC.The Shield has the following additional properties that you can use while holding it. Forceful Bash. When you take the Attack action, you can make one of the attack rolls using the Shield against a target within 5 feet of yourself. Apply your Proficiency Bonus and Strength modifier to the attack roll. On a hit, the Shield deals Force damage to the target equal to 2d6 + 2 plus your Strength modifier, and if the target is a creature, you can push it up to 10 feet directly away from yourself. If the creature is your size or smaller, you can also knock it down, giving it the Prone condition. Protective Field. As a Reaction, when you or an ally you can see within 5 feet of you is targeted by an attack or makes a saving throw against an area of effect, you can use the Shield to create an immobile 5-foot Emanation originating from you. When the Emanation appears, any creatures or objects not fully contained within it are pushed into the nearest unoccupied spaces outside it. The attack or area of effect that triggered the Reaction has no effect on creatures and objects inside the Emanation, which lasts as long as you maintain Concentration, up to 1 minute. Nothing can pass into or out of the Emanation. A creature or object inside the Emanation can't be damaged by attacks or effects originating from outside, nor can a creature inside the Emanation damage anything outside it. Once this property is used, it can't be used again until the next dawn.</v>
      </c>
      <c r="L84" s="8">
        <f>IFERROR(__xludf.DUMMYFUNCTION("""COMPUTED_VALUE"""),1800.0)</f>
        <v>1800</v>
      </c>
    </row>
    <row r="85">
      <c r="A85" s="12"/>
      <c r="B85" s="12"/>
      <c r="C85" s="12"/>
      <c r="D85" s="12"/>
      <c r="E85" s="12"/>
      <c r="F85" s="12"/>
      <c r="G85" s="12"/>
      <c r="H85" s="12"/>
      <c r="I85" s="12"/>
      <c r="L85" s="12"/>
    </row>
    <row r="86">
      <c r="A86" s="6" t="s">
        <v>46</v>
      </c>
      <c r="L86" s="13"/>
    </row>
    <row r="87">
      <c r="A87" s="8" t="str">
        <f>IFERROR(__xludf.DUMMYFUNCTION("FILTER(MasterList_Hidden!A:K,Search(A86,MasterList_Hidden!K:K),MasterList_Hidden!J:J&lt;&gt;""Free to Guild Adventurers with Item Proficiency"",MasterList_Hidden!J:J&lt;&gt;""Free to Guild Adventurers in Good Standing"",MasterList_Hidden!J:J&lt;&gt;""Artificer Replicate Ma"&amp;"gic Item Only"")"),"Potion of Healing (singles)")</f>
        <v>Potion of Healing (singles)</v>
      </c>
      <c r="B87" s="8" t="str">
        <f>IFERROR(__xludf.DUMMYFUNCTION("""COMPUTED_VALUE"""),"DMG'24")</f>
        <v>DMG'24</v>
      </c>
      <c r="C87" s="8" t="str">
        <f>IFERROR(__xludf.DUMMYFUNCTION("""COMPUTED_VALUE"""),"common")</f>
        <v>common</v>
      </c>
      <c r="D87" s="8" t="str">
        <f>IFERROR(__xludf.DUMMYFUNCTION("""COMPUTED_VALUE"""),"Potion")</f>
        <v>Potion</v>
      </c>
      <c r="E87" s="8"/>
      <c r="F87" s="8"/>
      <c r="G87" s="8"/>
      <c r="H87" s="8"/>
      <c r="I87" s="8"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f>
        <v>This potion is a magic item. As a Bonus Action, you can drink it or administer it to another creature within 5 feet of yourself. The creature that drinks the magical red fluid in this vial regains 2d4 + 2 Hit Points. The potion's red liquid glimmers when agitated.</v>
      </c>
      <c r="L87" s="8">
        <f>IFERROR(__xludf.DUMMYFUNCTION("FILTER(MasterList_Hidden!J:J,Search(A86,MasterList_Hidden!K:K),MasterList_Hidden!J:J&lt;&gt;""Free to Guild Adventurers with Item Proficiency"",MasterList_Hidden!J:J&lt;&gt;""Free to Guild Adventurers in Good Standing"",MasterList_Hidden!J:J&lt;&gt;""Artificer Replicate Ma"&amp;"gic Item Only"")"),50.0)</f>
        <v>50</v>
      </c>
    </row>
    <row r="88">
      <c r="A88" s="10" t="str">
        <f>IFERROR(__xludf.DUMMYFUNCTION("""COMPUTED_VALUE"""),"Potion of Healing")</f>
        <v>Potion of Healing</v>
      </c>
      <c r="B88" s="10" t="str">
        <f>IFERROR(__xludf.DUMMYFUNCTION("""COMPUTED_VALUE"""),"DMG'24")</f>
        <v>DMG'24</v>
      </c>
      <c r="C88" s="10" t="str">
        <f>IFERROR(__xludf.DUMMYFUNCTION("""COMPUTED_VALUE"""),"common")</f>
        <v>common</v>
      </c>
      <c r="D88" s="10" t="str">
        <f>IFERROR(__xludf.DUMMYFUNCTION("""COMPUTED_VALUE"""),"Potion")</f>
        <v>Potion</v>
      </c>
      <c r="E88" s="10"/>
      <c r="F88" s="10"/>
      <c r="G88" s="10"/>
      <c r="H88" s="10"/>
      <c r="I88" s="10"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  Purchasing this gives an adventurer 1 use of this item per guild mission they go on, and does not stack unless you purchase more than 1.")</f>
        <v>This potion is a magic item. As a Bonus Action, you can drink it or administer it to another creature within 5 feet of yourself. The creature that drinks the magical red fluid in this vial regains 2d4 + 2 Hit Points. The potion's red liquid glimmers when agitated.  Purchasing this gives an adventurer 1 use of this item per guild mission they go on, and does not stack unless you purchase more than 1.</v>
      </c>
      <c r="L88" s="10">
        <f>IFERROR(__xludf.DUMMYFUNCTION("""COMPUTED_VALUE"""),100.0)</f>
        <v>100</v>
      </c>
    </row>
    <row r="89">
      <c r="A89" s="8" t="str">
        <f>IFERROR(__xludf.DUMMYFUNCTION("""COMPUTED_VALUE"""),"Periapt of Health")</f>
        <v>Periapt of Health</v>
      </c>
      <c r="B89" s="8" t="str">
        <f>IFERROR(__xludf.DUMMYFUNCTION("""COMPUTED_VALUE"""),"DMG'24")</f>
        <v>DMG'24</v>
      </c>
      <c r="C89" s="8" t="str">
        <f>IFERROR(__xludf.DUMMYFUNCTION("""COMPUTED_VALUE"""),"uncommon")</f>
        <v>uncommon</v>
      </c>
      <c r="D89" s="8" t="str">
        <f>IFERROR(__xludf.DUMMYFUNCTION("""COMPUTED_VALUE"""),"Wondrous Item")</f>
        <v>Wondrous Item</v>
      </c>
      <c r="E89" s="8" t="str">
        <f>IFERROR(__xludf.DUMMYFUNCTION("""COMPUTED_VALUE"""),"requires attunement")</f>
        <v>requires attunement</v>
      </c>
      <c r="F89" s="8"/>
      <c r="G89" s="8"/>
      <c r="H89" s="8"/>
      <c r="I89" s="8" t="str">
        <f>IFERROR(__xludf.DUMMYFUNCTION("""COMPUTED_VALUE"""),"While wearing this pendant, you can take a Magic action to regain 2d4 + 2 Hit Points. Once used, this property can't be used again until the next dawn.In addition, you have Advantage on saving throws to avoid or end the Poisoned condition while you wear t"&amp;"his pendant.")</f>
        <v>While wearing this pendant, you can take a Magic action to regain 2d4 + 2 Hit Points. Once used, this property can't be used again until the next dawn.In addition, you have Advantage on saving throws to avoid or end the Poisoned condition while you wear this pendant.</v>
      </c>
      <c r="L89" s="8">
        <f>IFERROR(__xludf.DUMMYFUNCTION("""COMPUTED_VALUE"""),350.0)</f>
        <v>350</v>
      </c>
    </row>
    <row r="90">
      <c r="A90" s="10" t="str">
        <f>IFERROR(__xludf.DUMMYFUNCTION("""COMPUTED_VALUE"""),"Periapt of Wound Closure")</f>
        <v>Periapt of Wound Closure</v>
      </c>
      <c r="B90" s="10" t="str">
        <f>IFERROR(__xludf.DUMMYFUNCTION("""COMPUTED_VALUE"""),"DMG'24")</f>
        <v>DMG'24</v>
      </c>
      <c r="C90" s="10" t="str">
        <f>IFERROR(__xludf.DUMMYFUNCTION("""COMPUTED_VALUE"""),"uncommon")</f>
        <v>uncommon</v>
      </c>
      <c r="D90" s="10" t="str">
        <f>IFERROR(__xludf.DUMMYFUNCTION("""COMPUTED_VALUE"""),"Wondrous Item")</f>
        <v>Wondrous Item</v>
      </c>
      <c r="E90" s="10" t="str">
        <f>IFERROR(__xludf.DUMMYFUNCTION("""COMPUTED_VALUE"""),"requires attunement")</f>
        <v>requires attunement</v>
      </c>
      <c r="F90" s="10"/>
      <c r="G90" s="10"/>
      <c r="H90" s="10"/>
      <c r="I90" s="10" t="str">
        <f>IFERROR(__xludf.DUMMYFUNCTION("""COMPUTED_VALUE"""),"While wearing this pendant, you gain the following benefits. Life Preservation. Whenever you make a Death Saving Throw, you can change a roll of 9 or lower to a 10, turning a failed save into a successful one. Natural Healing Boost. Whenever you roll a Hi"&amp;"t Point Die to regain Hit Points, double the number of Hit Points it restores.")</f>
        <v>While wearing this pendant, you gain the following benefits. Life Preservation. Whenever you make a Death Saving Throw, you can change a roll of 9 or lower to a 10, turning a failed save into a successful one. Natural Healing Boost. Whenever you roll a Hit Point Die to regain Hit Points, double the number of Hit Points it restores.</v>
      </c>
      <c r="L90" s="10">
        <f>IFERROR(__xludf.DUMMYFUNCTION("""COMPUTED_VALUE"""),350.0)</f>
        <v>350</v>
      </c>
    </row>
    <row r="91">
      <c r="A91" s="8" t="str">
        <f>IFERROR(__xludf.DUMMYFUNCTION("""COMPUTED_VALUE"""),"Moon Sickle")</f>
        <v>Moon Sickle</v>
      </c>
      <c r="B91" s="8" t="str">
        <f>IFERROR(__xludf.DUMMYFUNCTION("""COMPUTED_VALUE"""),"TCE")</f>
        <v>TCE</v>
      </c>
      <c r="C91" s="8" t="str">
        <f>IFERROR(__xludf.DUMMYFUNCTION("""COMPUTED_VALUE"""),"uncommon")</f>
        <v>uncommon</v>
      </c>
      <c r="D91" s="8" t="str">
        <f>IFERROR(__xludf.DUMMYFUNCTION("""COMPUTED_VALUE"""),"Simple Weapon, Melee Weapon")</f>
        <v>Simple Weapon, Melee Weapon</v>
      </c>
      <c r="E91" s="8" t="str">
        <f>IFERROR(__xludf.DUMMYFUNCTION("""COMPUTED_VALUE"""),"requires attunement by a druid or ranger")</f>
        <v>requires attunement by a druid or ranger</v>
      </c>
      <c r="F91" s="8" t="str">
        <f>IFERROR(__xludf.DUMMYFUNCTION("""COMPUTED_VALUE"""),"1d4 Slashing")</f>
        <v>1d4 Slashing</v>
      </c>
      <c r="G91" s="8" t="str">
        <f>IFERROR(__xludf.DUMMYFUNCTION("""COMPUTED_VALUE"""),"light")</f>
        <v>light</v>
      </c>
      <c r="H91" s="8"/>
      <c r="I91" s="8" t="str">
        <f>IFERROR(__xludf.DUMMYFUNCTION("""COMPUTED_VALUE"""),"This silver-bladed sickle glimmers softly with moonlight. In addition, you can use the sickle as a spellcasting focus for your druid and ranger spells.When you cast a spell that restores hit points, you can roll a d4 and add the number rolled to the amoun"&amp;"t of hit points restored, provided you are holding the sickle. Light. A light weapon is small and easy to handle, making it ideal for use when fighting with two weapons.")</f>
        <v>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v>
      </c>
      <c r="L91" s="8">
        <f>IFERROR(__xludf.DUMMYFUNCTION("""COMPUTED_VALUE"""),550.0)</f>
        <v>550</v>
      </c>
    </row>
    <row r="92">
      <c r="A92" s="10" t="str">
        <f>IFERROR(__xludf.DUMMYFUNCTION("""COMPUTED_VALUE"""),"Poison Absorbing Tattoo")</f>
        <v>Poison Absorbing Tattoo</v>
      </c>
      <c r="B92" s="10" t="str">
        <f>IFERROR(__xludf.DUMMYFUNCTION("""COMPUTED_VALUE"""),"TCE")</f>
        <v>TCE</v>
      </c>
      <c r="C92" s="10" t="str">
        <f>IFERROR(__xludf.DUMMYFUNCTION("""COMPUTED_VALUE"""),"very rare")</f>
        <v>very rare</v>
      </c>
      <c r="D92" s="10" t="str">
        <f>IFERROR(__xludf.DUMMYFUNCTION("""COMPUTED_VALUE"""),"Wondrous Item (Tattoo)")</f>
        <v>Wondrous Item (Tattoo)</v>
      </c>
      <c r="E92" s="10" t="str">
        <f>IFERROR(__xludf.DUMMYFUNCTION("""COMPUTED_VALUE"""),"requires attunement")</f>
        <v>requires attunement</v>
      </c>
      <c r="F92" s="10"/>
      <c r="G92" s="10"/>
      <c r="H92" s="10"/>
      <c r="I92" s="10" t="str">
        <f>IFERROR(__xludf.DUMMYFUNCTION("""COMPUTED_VALUE"""),"Produced by a special needle, this magic tattoo features designs that emphasize one color (violet).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poison damage. Damage Absorption. When you take poison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(violet).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poison damage. Damage Absorption. When you take poison damage, you can use your reaction to gain immunity against that instance of the damage, and you regain a number of hit points equal to half the damage you would have taken. Once this reaction is used, it can't be used again until the next dawn.</v>
      </c>
      <c r="L92" s="10">
        <f>IFERROR(__xludf.DUMMYFUNCTION("""COMPUTED_VALUE"""),800.0)</f>
        <v>800</v>
      </c>
    </row>
    <row r="93">
      <c r="A93" s="8" t="str">
        <f>IFERROR(__xludf.DUMMYFUNCTION("""COMPUTED_VALUE"""),"Acid Absorbing Tattoo")</f>
        <v>Acid Absorbing Tattoo</v>
      </c>
      <c r="B93" s="8" t="str">
        <f>IFERROR(__xludf.DUMMYFUNCTION("""COMPUTED_VALUE"""),"TCE")</f>
        <v>TCE</v>
      </c>
      <c r="C93" s="8" t="str">
        <f>IFERROR(__xludf.DUMMYFUNCTION("""COMPUTED_VALUE"""),"very rare")</f>
        <v>very rare</v>
      </c>
      <c r="D93" s="8" t="str">
        <f>IFERROR(__xludf.DUMMYFUNCTION("""COMPUTED_VALUE"""),"Wondrous Item (Tattoo)")</f>
        <v>Wondrous Item (Tattoo)</v>
      </c>
      <c r="E93" s="8" t="str">
        <f>IFERROR(__xludf.DUMMYFUNCTION("""COMPUTED_VALUE"""),"requires attunement")</f>
        <v>requires attunement</v>
      </c>
      <c r="F93" s="8"/>
      <c r="G93" s="8"/>
      <c r="H93" s="8"/>
      <c r="I93" s="8" t="str">
        <f>IFERROR(__xludf.DUMMYFUNCTION("""COMPUTED_VALUE"""),"Produced by a special needle, this magic tattoo features designs that emphasize one color (green).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acid damage. Damage Absorption. When you take acid damage, you can use your reaction to gain immunity against that instance of the damage, and you regain a number of hit points equal to half the damage "&amp;"you would have taken. Once this reaction is used, it can't be used again until the next dawn.")</f>
        <v>Produced by a special needle, this magic tattoo features designs that emphasize one color (green).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acid damage. Damage Absorption. When you take acid damage, you can use your reaction to gain immunity against that instance of the damage, and you regain a number of hit points equal to half the damage you would have taken. Once this reaction is used, it can't be used again until the next dawn.</v>
      </c>
      <c r="L93" s="8">
        <f>IFERROR(__xludf.DUMMYFUNCTION("""COMPUTED_VALUE"""),900.0)</f>
        <v>900</v>
      </c>
    </row>
    <row r="94">
      <c r="A94" s="10" t="str">
        <f>IFERROR(__xludf.DUMMYFUNCTION("""COMPUTED_VALUE"""),"Cold Absorbing Tattoo")</f>
        <v>Cold Absorbing Tattoo</v>
      </c>
      <c r="B94" s="10" t="str">
        <f>IFERROR(__xludf.DUMMYFUNCTION("""COMPUTED_VALUE"""),"TCE")</f>
        <v>TCE</v>
      </c>
      <c r="C94" s="10" t="str">
        <f>IFERROR(__xludf.DUMMYFUNCTION("""COMPUTED_VALUE"""),"very rare")</f>
        <v>very rare</v>
      </c>
      <c r="D94" s="10" t="str">
        <f>IFERROR(__xludf.DUMMYFUNCTION("""COMPUTED_VALUE"""),"Wondrous Item (Tattoo)")</f>
        <v>Wondrous Item (Tattoo)</v>
      </c>
      <c r="E94" s="10" t="str">
        <f>IFERROR(__xludf.DUMMYFUNCTION("""COMPUTED_VALUE"""),"requires attunement")</f>
        <v>requires attunement</v>
      </c>
      <c r="F94" s="10"/>
      <c r="G94" s="10"/>
      <c r="H94" s="10"/>
      <c r="I94" s="10" t="str">
        <f>IFERROR(__xludf.DUMMYFUNCTION("""COMPUTED_VALUE"""),"Produced by a special needle, this magic tattoo features designs that emphasize one color (blue).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cold damage. Damage Absorption. When you take cold damage, you can use your reaction to gain immunity against that instance of the damage, and you regain a number of hit points equal to half the damage y"&amp;"ou would have taken. Once this reaction is used, it can't be used again until the next dawn.")</f>
        <v>Produced by a special needle, this magic tattoo features designs that emphasize one color (blue).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cold damage. Damage Absorption. When you take cold damage, you can use your reaction to gain immunity against that instance of the damage, and you regain a number of hit points equal to half the damage you would have taken. Once this reaction is used, it can't be used again until the next dawn.</v>
      </c>
      <c r="L94" s="10">
        <f>IFERROR(__xludf.DUMMYFUNCTION("""COMPUTED_VALUE"""),900.0)</f>
        <v>900</v>
      </c>
    </row>
    <row r="95">
      <c r="A95" s="8" t="str">
        <f>IFERROR(__xludf.DUMMYFUNCTION("""COMPUTED_VALUE"""),"Fire Absorbing Tattoo")</f>
        <v>Fire Absorbing Tattoo</v>
      </c>
      <c r="B95" s="8" t="str">
        <f>IFERROR(__xludf.DUMMYFUNCTION("""COMPUTED_VALUE"""),"TCE")</f>
        <v>TCE</v>
      </c>
      <c r="C95" s="8" t="str">
        <f>IFERROR(__xludf.DUMMYFUNCTION("""COMPUTED_VALUE"""),"very rare")</f>
        <v>very rare</v>
      </c>
      <c r="D95" s="8" t="str">
        <f>IFERROR(__xludf.DUMMYFUNCTION("""COMPUTED_VALUE"""),"Wondrous Item (Tattoo)")</f>
        <v>Wondrous Item (Tattoo)</v>
      </c>
      <c r="E95" s="8" t="str">
        <f>IFERROR(__xludf.DUMMYFUNCTION("""COMPUTED_VALUE"""),"requires attunement")</f>
        <v>requires attunement</v>
      </c>
      <c r="F95" s="8"/>
      <c r="G95" s="8"/>
      <c r="H95" s="8"/>
      <c r="I95" s="8" t="str">
        <f>IFERROR(__xludf.DUMMYFUNCTION("""COMPUTED_VALUE"""),"Produced by a special needle, this magic tattoo features designs that emphasize one color (red).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Damage Resistance. While "&amp;"the tattoo is on your skin, you have resistance to fire damage. Damage Absorption. When you take fire damage, you can use your reaction to gain immunity against that instance of the damage, and you regain a number of hit points equal to half the damage yo"&amp;"u would have taken. Once this reaction is used, it can't be used again until the next dawn.")</f>
        <v>Produced by a special needle, this magic tattoo features designs that emphasize one color (red).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fire damage. Damage Absorption. When you take fire damage, you can use your reaction to gain immunity against that instance of the damage, and you regain a number of hit points equal to half the damage you would have taken. Once this reaction is used, it can't be used again until the next dawn.</v>
      </c>
      <c r="L95" s="8">
        <f>IFERROR(__xludf.DUMMYFUNCTION("""COMPUTED_VALUE"""),900.0)</f>
        <v>900</v>
      </c>
    </row>
    <row r="96">
      <c r="A96" s="10" t="str">
        <f>IFERROR(__xludf.DUMMYFUNCTION("""COMPUTED_VALUE"""),"Lightning Absorbing Tattoo")</f>
        <v>Lightning Absorbing Tattoo</v>
      </c>
      <c r="B96" s="10" t="str">
        <f>IFERROR(__xludf.DUMMYFUNCTION("""COMPUTED_VALUE"""),"TCE")</f>
        <v>TCE</v>
      </c>
      <c r="C96" s="10" t="str">
        <f>IFERROR(__xludf.DUMMYFUNCTION("""COMPUTED_VALUE"""),"very rare")</f>
        <v>very rare</v>
      </c>
      <c r="D96" s="10" t="str">
        <f>IFERROR(__xludf.DUMMYFUNCTION("""COMPUTED_VALUE"""),"Wondrous Item (Tattoo)")</f>
        <v>Wondrous Item (Tattoo)</v>
      </c>
      <c r="E96" s="10" t="str">
        <f>IFERROR(__xludf.DUMMYFUNCTION("""COMPUTED_VALUE"""),"requires attunement")</f>
        <v>requires attunement</v>
      </c>
      <c r="F96" s="10"/>
      <c r="G96" s="10"/>
      <c r="H96" s="10"/>
      <c r="I96" s="10" t="str">
        <f>IFERROR(__xludf.DUMMYFUNCTION("""COMPUTED_VALUE"""),"Produced by a special needle, this magic tattoo features designs that emphasize one color (yellow).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lightning damage. Damage Absorption. When you take lightning damage, you can use your reaction to gain immunity against that instance of the damage, and you regain a number of hit points equal to half "&amp;"the damage you would have taken. Once this reaction is used, it can't be used again until the next dawn.")</f>
        <v>Produced by a special needle, this magic tattoo features designs that emphasize one color (yellow).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lightning damage. Damage Absorption. When you take lightning damage, you can use your reaction to gain immunity against that instance of the damage, and you regain a number of hit points equal to half the damage you would have taken. Once this reaction is used, it can't be used again until the next dawn.</v>
      </c>
      <c r="L96" s="10">
        <f>IFERROR(__xludf.DUMMYFUNCTION("""COMPUTED_VALUE"""),900.0)</f>
        <v>900</v>
      </c>
    </row>
    <row r="97">
      <c r="A97" s="8" t="str">
        <f>IFERROR(__xludf.DUMMYFUNCTION("""COMPUTED_VALUE"""),"Necrotic Absorbing Tattoo")</f>
        <v>Necrotic Absorbing Tattoo</v>
      </c>
      <c r="B97" s="8" t="str">
        <f>IFERROR(__xludf.DUMMYFUNCTION("""COMPUTED_VALUE"""),"TCE")</f>
        <v>TCE</v>
      </c>
      <c r="C97" s="8" t="str">
        <f>IFERROR(__xludf.DUMMYFUNCTION("""COMPUTED_VALUE"""),"very rare")</f>
        <v>very rare</v>
      </c>
      <c r="D97" s="8" t="str">
        <f>IFERROR(__xludf.DUMMYFUNCTION("""COMPUTED_VALUE"""),"Wondrous Item (Tattoo)")</f>
        <v>Wondrous Item (Tattoo)</v>
      </c>
      <c r="E97" s="8" t="str">
        <f>IFERROR(__xludf.DUMMYFUNCTION("""COMPUTED_VALUE"""),"requires attunement")</f>
        <v>requires attunement</v>
      </c>
      <c r="F97" s="8"/>
      <c r="G97" s="8"/>
      <c r="H97" s="8"/>
      <c r="I97" s="8" t="str">
        <f>IFERROR(__xludf.DUMMYFUNCTION("""COMPUTED_VALUE"""),"Produced by a special needle, this magic tattoo features designs that emphasize one color (black).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necrotic damage. Damage Absorption. When you take necrotic damage, you can use your reaction to gain immunity against that instance of the damage, and you regain a number of hit points equal to half the"&amp;" damage you would have taken. Once this reaction is used, it can't be used again until the next dawn.")</f>
        <v>Produced by a special needle, this magic tattoo features designs that emphasize one color (black).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necrotic damage. Damage Absorption. When you take necrotic damage, you can use your reaction to gain immunity against that instance of the damage, and you regain a number of hit points equal to half the damage you would have taken. Once this reaction is used, it can't be used again until the next dawn.</v>
      </c>
      <c r="L97" s="8">
        <f>IFERROR(__xludf.DUMMYFUNCTION("""COMPUTED_VALUE"""),900.0)</f>
        <v>900</v>
      </c>
    </row>
    <row r="98">
      <c r="A98" s="10" t="str">
        <f>IFERROR(__xludf.DUMMYFUNCTION("""COMPUTED_VALUE"""),"Psychic Absorbing Tattoo")</f>
        <v>Psychic Absorbing Tattoo</v>
      </c>
      <c r="B98" s="10" t="str">
        <f>IFERROR(__xludf.DUMMYFUNCTION("""COMPUTED_VALUE"""),"TCE")</f>
        <v>TCE</v>
      </c>
      <c r="C98" s="10" t="str">
        <f>IFERROR(__xludf.DUMMYFUNCTION("""COMPUTED_VALUE"""),"very rare")</f>
        <v>very rare</v>
      </c>
      <c r="D98" s="10" t="str">
        <f>IFERROR(__xludf.DUMMYFUNCTION("""COMPUTED_VALUE"""),"Wondrous Item (Tattoo)")</f>
        <v>Wondrous Item (Tattoo)</v>
      </c>
      <c r="E98" s="10" t="str">
        <f>IFERROR(__xludf.DUMMYFUNCTION("""COMPUTED_VALUE"""),"requires attunement")</f>
        <v>requires attunement</v>
      </c>
      <c r="F98" s="10"/>
      <c r="G98" s="10"/>
      <c r="H98" s="10"/>
      <c r="I98" s="10" t="str">
        <f>IFERROR(__xludf.DUMMYFUNCTION("""COMPUTED_VALUE"""),"Produced by a special needle, this magic tattoo features designs that emphasize one color (silver).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psychic damage. Damage Absorption. When you take psychic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(silver).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psychic damage. Damage Absorption. When you take psychic damage, you can use your reaction to gain immunity against that instance of the damage, and you regain a number of hit points equal to half the damage you would have taken. Once this reaction is used, it can't be used again until the next dawn.</v>
      </c>
      <c r="L98" s="10">
        <f>IFERROR(__xludf.DUMMYFUNCTION("""COMPUTED_VALUE"""),900.0)</f>
        <v>900</v>
      </c>
    </row>
    <row r="99">
      <c r="A99" s="8" t="str">
        <f>IFERROR(__xludf.DUMMYFUNCTION("""COMPUTED_VALUE"""),"Radiant Absorbing Tattoo")</f>
        <v>Radiant Absorbing Tattoo</v>
      </c>
      <c r="B99" s="8" t="str">
        <f>IFERROR(__xludf.DUMMYFUNCTION("""COMPUTED_VALUE"""),"TCE")</f>
        <v>TCE</v>
      </c>
      <c r="C99" s="8" t="str">
        <f>IFERROR(__xludf.DUMMYFUNCTION("""COMPUTED_VALUE"""),"very rare")</f>
        <v>very rare</v>
      </c>
      <c r="D99" s="8" t="str">
        <f>IFERROR(__xludf.DUMMYFUNCTION("""COMPUTED_VALUE"""),"Wondrous Item (Tattoo)")</f>
        <v>Wondrous Item (Tattoo)</v>
      </c>
      <c r="E99" s="8" t="str">
        <f>IFERROR(__xludf.DUMMYFUNCTION("""COMPUTED_VALUE"""),"requires attunement")</f>
        <v>requires attunement</v>
      </c>
      <c r="F99" s="8"/>
      <c r="G99" s="8"/>
      <c r="H99" s="8"/>
      <c r="I99" s="8" t="str">
        <f>IFERROR(__xludf.DUMMYFUNCTION("""COMPUTED_VALUE"""),"Produced by a special needle, this magic tattoo features designs that emphasize one color (gold).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radiant damage. Damage Absorption. When you take radiant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(gold).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radiant damage. Damage Absorption. When you take radiant damage, you can use your reaction to gain immunity against that instance of the damage, and you regain a number of hit points equal to half the damage you would have taken. Once this reaction is used, it can't be used again until the next dawn.</v>
      </c>
      <c r="L99" s="8">
        <f>IFERROR(__xludf.DUMMYFUNCTION("""COMPUTED_VALUE"""),900.0)</f>
        <v>900</v>
      </c>
    </row>
    <row r="100">
      <c r="A100" s="10" t="str">
        <f>IFERROR(__xludf.DUMMYFUNCTION("""COMPUTED_VALUE"""),"Thunder Absorbing Tattoo")</f>
        <v>Thunder Absorbing Tattoo</v>
      </c>
      <c r="B100" s="10" t="str">
        <f>IFERROR(__xludf.DUMMYFUNCTION("""COMPUTED_VALUE"""),"TCE")</f>
        <v>TCE</v>
      </c>
      <c r="C100" s="10" t="str">
        <f>IFERROR(__xludf.DUMMYFUNCTION("""COMPUTED_VALUE"""),"very rare")</f>
        <v>very rare</v>
      </c>
      <c r="D100" s="10" t="str">
        <f>IFERROR(__xludf.DUMMYFUNCTION("""COMPUTED_VALUE"""),"Wondrous Item (Tattoo)")</f>
        <v>Wondrous Item (Tattoo)</v>
      </c>
      <c r="E100" s="10" t="str">
        <f>IFERROR(__xludf.DUMMYFUNCTION("""COMPUTED_VALUE"""),"requires attunement")</f>
        <v>requires attunement</v>
      </c>
      <c r="F100" s="10"/>
      <c r="G100" s="10"/>
      <c r="H100" s="10"/>
      <c r="I100" s="10" t="str">
        <f>IFERROR(__xludf.DUMMYFUNCTION("""COMPUTED_VALUE"""),"Produced by a special needle, this magic tattoo features designs that emphasize one color (orange).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thunder damage. Damage Absorption. When you take thunder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(orange).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thunder damage. Damage Absorption. When you take thunder damage, you can use your reaction to gain immunity against that instance of the damage, and you regain a number of hit points equal to half the damage you would have taken. Once this reaction is used, it can't be used again until the next dawn.</v>
      </c>
      <c r="L100" s="10">
        <f>IFERROR(__xludf.DUMMYFUNCTION("""COMPUTED_VALUE"""),900.0)</f>
        <v>900</v>
      </c>
    </row>
    <row r="101">
      <c r="A101" s="8" t="str">
        <f>IFERROR(__xludf.DUMMYFUNCTION("""COMPUTED_VALUE"""),"Force Absorbing Tattoo")</f>
        <v>Force Absorbing Tattoo</v>
      </c>
      <c r="B101" s="8" t="str">
        <f>IFERROR(__xludf.DUMMYFUNCTION("""COMPUTED_VALUE"""),"TCE")</f>
        <v>TCE</v>
      </c>
      <c r="C101" s="8" t="str">
        <f>IFERROR(__xludf.DUMMYFUNCTION("""COMPUTED_VALUE"""),"very rare")</f>
        <v>very rare</v>
      </c>
      <c r="D101" s="8" t="str">
        <f>IFERROR(__xludf.DUMMYFUNCTION("""COMPUTED_VALUE"""),"Wondrous Item (Tattoo)")</f>
        <v>Wondrous Item (Tattoo)</v>
      </c>
      <c r="E101" s="8" t="str">
        <f>IFERROR(__xludf.DUMMYFUNCTION("""COMPUTED_VALUE"""),"requires attunement")</f>
        <v>requires attunement</v>
      </c>
      <c r="F101" s="8"/>
      <c r="G101" s="8"/>
      <c r="H101" s="8"/>
      <c r="I101" s="8" t="str">
        <f>IFERROR(__xludf.DUMMYFUNCTION("""COMPUTED_VALUE"""),"Produced by a special needle, this magic tattoo features designs that emphasize one color (white).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force damage. Damage Absorption. When you take force damage, you can use your reaction to gain immunity against that instance of the damage, and you regain a number of hit points equal to half the damag"&amp;"e you would have taken. Once this reaction is used, it can't be used again until the next dawn.")</f>
        <v>Produced by a special needle, this magic tattoo features designs that emphasize one color (white).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force damage. Damage Absorption. When you take force damage, you can use your reaction to gain immunity against that instance of the damage, and you regain a number of hit points equal to half the damage you would have taken. Once this reaction is used, it can't be used again until the next dawn.</v>
      </c>
      <c r="L101" s="8">
        <f>IFERROR(__xludf.DUMMYFUNCTION("""COMPUTED_VALUE"""),1000.0)</f>
        <v>1000</v>
      </c>
    </row>
    <row r="102">
      <c r="A102" s="10" t="str">
        <f>IFERROR(__xludf.DUMMYFUNCTION("""COMPUTED_VALUE"""),"Starshot Crossbow")</f>
        <v>Starshot Crossbow</v>
      </c>
      <c r="B102" s="10" t="str">
        <f>IFERROR(__xludf.DUMMYFUNCTION("""COMPUTED_VALUE"""),"BMT")</f>
        <v>BMT</v>
      </c>
      <c r="C102" s="10" t="str">
        <f>IFERROR(__xludf.DUMMYFUNCTION("""COMPUTED_VALUE"""),"rare")</f>
        <v>rare</v>
      </c>
      <c r="D102" s="10" t="str">
        <f>IFERROR(__xludf.DUMMYFUNCTION("""COMPUTED_VALUE"""),"Generic Variant")</f>
        <v>Generic Variant</v>
      </c>
      <c r="E102" s="10" t="str">
        <f>IFERROR(__xludf.DUMMYFUNCTION("""COMPUTED_VALUE"""),"requires attunement")</f>
        <v>requires attunement</v>
      </c>
      <c r="F102" s="10"/>
      <c r="G102" s="10"/>
      <c r="H102" s="10"/>
      <c r="I102" s="10" t="str">
        <f>IFERROR(__xludf.DUMMYFUNCTION("""COMPUTED_VALUE"""),"This crossbow is crafted from blackened wood, and its limbs bear pearl inlays depicting constellations. You ignore the loading property with this crossbow. If you load no ammunition in the weapon, it produces its own, automatically creating one piece of m"&amp;"agic ammunition when you make a ranged attack with it. The ammunition created by the weapon vanishes the instant after it hits or misses a target. The crossbow has 3 charges and regains 1d3 expended charges daily at dawn. Constellations. The crossbow is d"&amp;"ecorated with three constellations. As a bonus action, you can tap one of the constellations to invoke it, expending 1 charge and producing one of the following effects:Balance. The next time you hit a creature with a ranged attack roll using this crossbo"&amp;"w before the end of your next turn, you or another creature of your choice within 30 feet of you can regain hit points equal to 1d8 plus your proficiency bonus. Flames. Until the end of your next turn, when you hit a creature with a ranged attack roll usi"&amp;"ng this crossbow, the attack deals an additional 2d8 fire damage. Rogue. Until the end of your next turn, you have the invisible condition, and anything you are wearing or carrying is also invisible. 
Applied to non-magical Base Equipment.")</f>
        <v>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 
Applied to non-magical Base Equipment.</v>
      </c>
      <c r="L102" s="10">
        <f>IFERROR(__xludf.DUMMYFUNCTION("""COMPUTED_VALUE"""),1100.0)</f>
        <v>1100</v>
      </c>
    </row>
    <row r="103">
      <c r="A103" s="8" t="str">
        <f>IFERROR(__xludf.DUMMYFUNCTION("""COMPUTED_VALUE"""),"Crystal Blade")</f>
        <v>Crystal Blade</v>
      </c>
      <c r="B103" s="8" t="str">
        <f>IFERROR(__xludf.DUMMYFUNCTION("""COMPUTED_VALUE"""),"FTD")</f>
        <v>FTD</v>
      </c>
      <c r="C103" s="8" t="str">
        <f>IFERROR(__xludf.DUMMYFUNCTION("""COMPUTED_VALUE"""),"rare")</f>
        <v>rare</v>
      </c>
      <c r="D103" s="8" t="str">
        <f>IFERROR(__xludf.DUMMYFUNCTION("""COMPUTED_VALUE"""),"Generic Variant")</f>
        <v>Generic Variant</v>
      </c>
      <c r="E103" s="8" t="str">
        <f>IFERROR(__xludf.DUMMYFUNCTION("""COMPUTED_VALUE"""),"requires attunement")</f>
        <v>requires attunement</v>
      </c>
      <c r="F103" s="8"/>
      <c r="G103" s="8"/>
      <c r="H103" s="8"/>
      <c r="I103" s="8" t="str">
        <f>IFERROR(__xludf.DUMMYFUNCTION("""COMPUTED_VALUE"""),"This magic sword's blade is fashioned from a horn or spine from a crystal dragon. When you hit with an attack roll using this sword, the target takes an extra 1d8 radiant damage. The sword has 3 charges and regains 1d3 expended charges daily at dawn. When"&amp;" you hit a creature with an attack roll using the sword, you can expend 1 charge to regain a number of hit points equal to the extra radiant damage the sword dealt. While you're holding the sword, you can use a bonus action to cause it to shed bright ligh"&amp;"t in a 30-foot radius and dim light for an additional 30 feet, to cause it to shed dim light in a 10-foot radius, or to douse the light. 
Applied to non-magical Base Equipment.")</f>
        <v>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 
Applied to non-magical Base Equipment.</v>
      </c>
      <c r="L103" s="8">
        <f>IFERROR(__xludf.DUMMYFUNCTION("""COMPUTED_VALUE"""),1200.0)</f>
        <v>1200</v>
      </c>
    </row>
    <row r="104">
      <c r="A104" s="10" t="str">
        <f>IFERROR(__xludf.DUMMYFUNCTION("""COMPUTED_VALUE"""),"Devotee's Censer")</f>
        <v>Devotee's Censer</v>
      </c>
      <c r="B104" s="10" t="str">
        <f>IFERROR(__xludf.DUMMYFUNCTION("""COMPUTED_VALUE"""),"TCE")</f>
        <v>TCE</v>
      </c>
      <c r="C104" s="10" t="str">
        <f>IFERROR(__xludf.DUMMYFUNCTION("""COMPUTED_VALUE"""),"rare")</f>
        <v>rare</v>
      </c>
      <c r="D104" s="10" t="str">
        <f>IFERROR(__xludf.DUMMYFUNCTION("""COMPUTED_VALUE"""),"Martial Weapon, Melee Weapon")</f>
        <v>Martial Weapon, Melee Weapon</v>
      </c>
      <c r="E104" s="10" t="str">
        <f>IFERROR(__xludf.DUMMYFUNCTION("""COMPUTED_VALUE"""),"requires attunement by a cleric or paladin")</f>
        <v>requires attunement by a cleric or paladin</v>
      </c>
      <c r="F104" s="10" t="str">
        <f>IFERROR(__xludf.DUMMYFUNCTION("""COMPUTED_VALUE"""),"1d8 Bludgeoning")</f>
        <v>1d8 Bludgeoning</v>
      </c>
      <c r="G104" s="10"/>
      <c r="H104" s="10"/>
      <c r="I104" s="10"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L104" s="10">
        <f>IFERROR(__xludf.DUMMYFUNCTION("""COMPUTED_VALUE"""),1200.0)</f>
        <v>1200</v>
      </c>
    </row>
    <row r="105">
      <c r="A105" s="12"/>
      <c r="B105" s="12"/>
      <c r="C105" s="12"/>
      <c r="D105" s="12"/>
      <c r="E105" s="12"/>
      <c r="F105" s="12"/>
      <c r="G105" s="12"/>
      <c r="H105" s="12"/>
      <c r="I105" s="12"/>
      <c r="L105" s="12"/>
    </row>
    <row r="106">
      <c r="A106" s="6" t="s">
        <v>47</v>
      </c>
    </row>
    <row r="107">
      <c r="A107" s="8" t="str">
        <f>IFERROR(__xludf.DUMMYFUNCTION("FILTER(MasterList_Hidden!A:K,Search(A106,MasterList_Hidden!K:K),MasterList_Hidden!J:J&lt;&gt;""Free to Guild Adventurers with Item Proficiency"",MasterList_Hidden!J:J&lt;&gt;""Free to Guild Adventurers in Good Standing"",MasterList_Hidden!J:J&lt;&gt;""Artificer Replicate M"&amp;"agic Item Only"")"),"Adventurer's Ring")</f>
        <v>Adventurer's Ring</v>
      </c>
      <c r="B107" s="8" t="str">
        <f>IFERROR(__xludf.DUMMYFUNCTION("""COMPUTED_VALUE"""),"FRHoF")</f>
        <v>FRHoF</v>
      </c>
      <c r="C107" s="8" t="str">
        <f>IFERROR(__xludf.DUMMYFUNCTION("""COMPUTED_VALUE"""),"common")</f>
        <v>common</v>
      </c>
      <c r="D107" s="8" t="str">
        <f>IFERROR(__xludf.DUMMYFUNCTION("""COMPUTED_VALUE"""),"Ring")</f>
        <v>Ring</v>
      </c>
      <c r="E107" s="8"/>
      <c r="F107" s="8"/>
      <c r="G107" s="8"/>
      <c r="H107" s="8"/>
      <c r="I107" s="8" t="str">
        <f>IFERROR(__xludf.DUMMYFUNCTION("""COMPUTED_VALUE"""),"While the cover on this ring is open, the ring produces a flame that creates no heat and consumes no fuel. It sheds Bright Light in a 20-foot radius and Dim Light for an additional 20 feet. As a Bonus Action, you can close the cover, smothering the flame,"&amp;" or open it again.")</f>
        <v>While the cover on this ring is open, the ring produces a flame that creates no heat and consumes no fuel. It sheds Bright Light in a 20-foot radius and Dim Light for an additional 20 feet. As a Bonus Action, you can close the cover, smothering the flame, or open it again.</v>
      </c>
      <c r="L107" s="8">
        <f>IFERROR(__xludf.DUMMYFUNCTION("FILTER(MasterList_Hidden!J:J,Search(A106,MasterList_Hidden!K:K),MasterList_Hidden!J:J&lt;&gt;""Free to Guild Adventurers with Item Proficiency"",MasterList_Hidden!J:J&lt;&gt;""Free to Guild Adventurers in Good Standing"",MasterList_Hidden!J:J&lt;&gt;""Artificer Replicate M"&amp;"agic Item Only"")"),50.0)</f>
        <v>50</v>
      </c>
    </row>
    <row r="108">
      <c r="A108" s="10" t="str">
        <f>IFERROR(__xludf.DUMMYFUNCTION("""COMPUTED_VALUE"""),"Boots of False Tracks")</f>
        <v>Boots of False Tracks</v>
      </c>
      <c r="B108" s="10" t="str">
        <f>IFERROR(__xludf.DUMMYFUNCTION("""COMPUTED_VALUE"""),"DMG'24")</f>
        <v>DMG'24</v>
      </c>
      <c r="C108" s="10" t="str">
        <f>IFERROR(__xludf.DUMMYFUNCTION("""COMPUTED_VALUE"""),"common")</f>
        <v>common</v>
      </c>
      <c r="D108" s="10" t="str">
        <f>IFERROR(__xludf.DUMMYFUNCTION("""COMPUTED_VALUE"""),"Wondrous Item")</f>
        <v>Wondrous Item</v>
      </c>
      <c r="E108" s="10"/>
      <c r="F108" s="10"/>
      <c r="G108" s="10"/>
      <c r="H108" s="10"/>
      <c r="I108" s="10" t="str">
        <f>IFERROR(__xludf.DUMMYFUNCTION("""COMPUTED_VALUE"""),"While wearing these boots, you can have them leave tracks like those of any kind of Humanoid of your size.")</f>
        <v>While wearing these boots, you can have them leave tracks like those of any kind of Humanoid of your size.</v>
      </c>
      <c r="L108" s="10">
        <f>IFERROR(__xludf.DUMMYFUNCTION("""COMPUTED_VALUE"""),50.0)</f>
        <v>50</v>
      </c>
    </row>
    <row r="109">
      <c r="A109" s="8" t="str">
        <f>IFERROR(__xludf.DUMMYFUNCTION("""COMPUTED_VALUE"""),"Bottle of Boundless Coffee")</f>
        <v>Bottle of Boundless Coffee</v>
      </c>
      <c r="B109" s="8" t="str">
        <f>IFERROR(__xludf.DUMMYFUNCTION("""COMPUTED_VALUE"""),"SCC")</f>
        <v>SCC</v>
      </c>
      <c r="C109" s="8" t="str">
        <f>IFERROR(__xludf.DUMMYFUNCTION("""COMPUTED_VALUE"""),"common")</f>
        <v>common</v>
      </c>
      <c r="D109" s="8" t="str">
        <f>IFERROR(__xludf.DUMMYFUNCTION("""COMPUTED_VALUE"""),"Wondrous Item")</f>
        <v>Wondrous Item</v>
      </c>
      <c r="E109" s="8"/>
      <c r="F109" s="8"/>
      <c r="G109" s="8"/>
      <c r="H109" s="8"/>
      <c r="I109" s="8" t="str">
        <f>IFERROR(__xludf.DUMMYFUNCTION("""COMPUTED_VALUE"""),"This metal bottle carries delicious, warm coffee. The bottle comes with a stopper, which is attached to the bottle by a little chain. Even when open, the bottle won't accept any liquid other than the coffee it produces. The coffee inside is always comfort"&amp;"ably warm, and none of the heat can be felt through the bottle.Each time you drink the coffee, roll a d20. On a 1, the bottle refuses to dispense coffee for the next hour. If you pour coffee from the bottle, rather than drinking from it, the coffee vanish"&amp;"es the moment it leaves the bottle.")</f>
        <v>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bottle.Each time you drink the coffee, roll a d20. On a 1, the bottle refuses to dispense coffee for the next hour. If you pour coffee from the bottle, rather than drinking from it, the coffee vanishes the moment it leaves the bottle.</v>
      </c>
      <c r="L109" s="8">
        <f>IFERROR(__xludf.DUMMYFUNCTION("""COMPUTED_VALUE"""),50.0)</f>
        <v>50</v>
      </c>
    </row>
    <row r="110">
      <c r="A110" s="10" t="str">
        <f>IFERROR(__xludf.DUMMYFUNCTION("""COMPUTED_VALUE"""),"Cloak of Billowing")</f>
        <v>Cloak of Billowing</v>
      </c>
      <c r="B110" s="10" t="str">
        <f>IFERROR(__xludf.DUMMYFUNCTION("""COMPUTED_VALUE"""),"DMG'24")</f>
        <v>DMG'24</v>
      </c>
      <c r="C110" s="10" t="str">
        <f>IFERROR(__xludf.DUMMYFUNCTION("""COMPUTED_VALUE"""),"common")</f>
        <v>common</v>
      </c>
      <c r="D110" s="10" t="str">
        <f>IFERROR(__xludf.DUMMYFUNCTION("""COMPUTED_VALUE"""),"Wondrous Item")</f>
        <v>Wondrous Item</v>
      </c>
      <c r="E110" s="10"/>
      <c r="F110" s="10"/>
      <c r="G110" s="10"/>
      <c r="H110" s="10"/>
      <c r="I110" s="10" t="str">
        <f>IFERROR(__xludf.DUMMYFUNCTION("""COMPUTED_VALUE"""),"While wearing this cloak, you can take a Bonus Action to make it billow dramatically for 1 minute.")</f>
        <v>While wearing this cloak, you can take a Bonus Action to make it billow dramatically for 1 minute.</v>
      </c>
      <c r="L110" s="10">
        <f>IFERROR(__xludf.DUMMYFUNCTION("""COMPUTED_VALUE"""),50.0)</f>
        <v>50</v>
      </c>
    </row>
    <row r="111">
      <c r="A111" s="8" t="str">
        <f>IFERROR(__xludf.DUMMYFUNCTION("""COMPUTED_VALUE"""),"Cloak of Many Fashions")</f>
        <v>Cloak of Many Fashions</v>
      </c>
      <c r="B111" s="8" t="str">
        <f>IFERROR(__xludf.DUMMYFUNCTION("""COMPUTED_VALUE"""),"DMG'24")</f>
        <v>DMG'24</v>
      </c>
      <c r="C111" s="8" t="str">
        <f>IFERROR(__xludf.DUMMYFUNCTION("""COMPUTED_VALUE"""),"common")</f>
        <v>common</v>
      </c>
      <c r="D111" s="8" t="str">
        <f>IFERROR(__xludf.DUMMYFUNCTION("""COMPUTED_VALUE"""),"Wondrous Item")</f>
        <v>Wondrous Item</v>
      </c>
      <c r="E111" s="8"/>
      <c r="F111" s="8"/>
      <c r="G111" s="8"/>
      <c r="H111" s="8"/>
      <c r="I111" s="8" t="str">
        <f>IFERROR(__xludf.DUMMYFUNCTION("""COMPUTED_VALUE"""),"While wearing this cloak, you can take a Bonus Action to change the style, color, and apparent quality of the garment. The cloak's weight doesn't change. Regardless of its appearance, the cloak can't be anything but a cloak. Although it can duplicate the "&amp;"appearance of other magic cloaks, it doesn't gain their magical properties.")</f>
        <v>While wearing this cloak, you can take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v>
      </c>
      <c r="L111" s="8">
        <f>IFERROR(__xludf.DUMMYFUNCTION("""COMPUTED_VALUE"""),50.0)</f>
        <v>50</v>
      </c>
    </row>
    <row r="112">
      <c r="A112" s="10" t="str">
        <f>IFERROR(__xludf.DUMMYFUNCTION("""COMPUTED_VALUE"""),"Dread Helm")</f>
        <v>Dread Helm</v>
      </c>
      <c r="B112" s="10" t="str">
        <f>IFERROR(__xludf.DUMMYFUNCTION("""COMPUTED_VALUE"""),"DMG'24")</f>
        <v>DMG'24</v>
      </c>
      <c r="C112" s="10" t="str">
        <f>IFERROR(__xludf.DUMMYFUNCTION("""COMPUTED_VALUE"""),"common")</f>
        <v>common</v>
      </c>
      <c r="D112" s="10" t="str">
        <f>IFERROR(__xludf.DUMMYFUNCTION("""COMPUTED_VALUE"""),"Wondrous Item")</f>
        <v>Wondrous Item</v>
      </c>
      <c r="E112" s="10"/>
      <c r="F112" s="10"/>
      <c r="G112" s="10"/>
      <c r="H112" s="10"/>
      <c r="I112" s="10" t="str">
        <f>IFERROR(__xludf.DUMMYFUNCTION("""COMPUTED_VALUE"""),"While you're wearing this fearsome steel helm, your eyes glow red and the rest of your face is hidden in shadow.")</f>
        <v>While you're wearing this fearsome steel helm, your eyes glow red and the rest of your face is hidden in shadow.</v>
      </c>
      <c r="L112" s="10">
        <f>IFERROR(__xludf.DUMMYFUNCTION("""COMPUTED_VALUE"""),50.0)</f>
        <v>50</v>
      </c>
    </row>
    <row r="113">
      <c r="A113" s="8" t="str">
        <f>IFERROR(__xludf.DUMMYFUNCTION("""COMPUTED_VALUE"""),"Pipe of Smoke Monsters")</f>
        <v>Pipe of Smoke Monsters</v>
      </c>
      <c r="B113" s="8" t="str">
        <f>IFERROR(__xludf.DUMMYFUNCTION("""COMPUTED_VALUE"""),"DMG'24")</f>
        <v>DMG'24</v>
      </c>
      <c r="C113" s="8" t="str">
        <f>IFERROR(__xludf.DUMMYFUNCTION("""COMPUTED_VALUE"""),"common")</f>
        <v>common</v>
      </c>
      <c r="D113" s="8" t="str">
        <f>IFERROR(__xludf.DUMMYFUNCTION("""COMPUTED_VALUE"""),"Wondrous Item")</f>
        <v>Wondrous Item</v>
      </c>
      <c r="E113" s="8"/>
      <c r="F113" s="8"/>
      <c r="G113" s="8"/>
      <c r="H113" s="8"/>
      <c r="I113" s="8" t="str">
        <f>IFERROR(__xludf.DUMMYFUNCTION("""COMPUTED_VALUE"""),"While smoking this pipe, you can take a Magic action to exhale a puff of smoke that takes the form of a creature, such as a dragon, a flumph, or a slaad. The form must be small enough to fit in a 1-foot cube and loses its shape after a few seconds, becomi"&amp;"ng an ordinary puff of smoke.")</f>
        <v>While smoking this pipe, you can take a Magic action to exhale a puff of smoke that takes the form of a creature, such as a dragon, a flumph, or a slaad. The form must be small enough to fit in a 1-foot cube and loses its shape after a few seconds, becoming an ordinary puff of smoke.</v>
      </c>
      <c r="L113" s="8">
        <f>IFERROR(__xludf.DUMMYFUNCTION("""COMPUTED_VALUE"""),50.0)</f>
        <v>50</v>
      </c>
    </row>
    <row r="114">
      <c r="A114" s="10" t="str">
        <f>IFERROR(__xludf.DUMMYFUNCTION("""COMPUTED_VALUE"""),"Rope of Mending")</f>
        <v>Rope of Mending</v>
      </c>
      <c r="B114" s="10" t="str">
        <f>IFERROR(__xludf.DUMMYFUNCTION("""COMPUTED_VALUE"""),"DMG'24")</f>
        <v>DMG'24</v>
      </c>
      <c r="C114" s="10" t="str">
        <f>IFERROR(__xludf.DUMMYFUNCTION("""COMPUTED_VALUE"""),"common")</f>
        <v>common</v>
      </c>
      <c r="D114" s="10" t="str">
        <f>IFERROR(__xludf.DUMMYFUNCTION("""COMPUTED_VALUE"""),"Wondrous Item")</f>
        <v>Wondrous Item</v>
      </c>
      <c r="E114" s="10"/>
      <c r="F114" s="10"/>
      <c r="G114" s="10"/>
      <c r="H114" s="10"/>
      <c r="I114" s="10" t="str">
        <f>IFERROR(__xludf.DUMMYFUNCTION("""COMPUTED_VALUE"""),"This 50-foot coil of rope can repair itself when cut into any number of smaller pieces. As a Magic action, you can cause all pieces of the rope that are in contact with each other and not otherwise in use to knit back together. A Rope of Mending is foreve"&amp;"r shortened if a section of it is lost or destroyed.")</f>
        <v>This 50-foot coil of rope can repair itself when cut into any number of smaller pieces. As a Magic action, you can cause all pieces of the rope that are in contact with each other and not otherwise in use to knit back together. A Rope of Mending is forever shortened if a section of it is lost or destroyed.</v>
      </c>
      <c r="L114" s="10">
        <f>IFERROR(__xludf.DUMMYFUNCTION("""COMPUTED_VALUE"""),50.0)</f>
        <v>50</v>
      </c>
    </row>
    <row r="115">
      <c r="A115" s="8" t="str">
        <f>IFERROR(__xludf.DUMMYFUNCTION("""COMPUTED_VALUE"""),"Bag of Holding")</f>
        <v>Bag of Holding</v>
      </c>
      <c r="B115" s="8" t="str">
        <f>IFERROR(__xludf.DUMMYFUNCTION("""COMPUTED_VALUE"""),"DMG'24")</f>
        <v>DMG'24</v>
      </c>
      <c r="C115" s="8" t="str">
        <f>IFERROR(__xludf.DUMMYFUNCTION("""COMPUTED_VALUE"""),"uncommon")</f>
        <v>uncommon</v>
      </c>
      <c r="D115" s="8" t="str">
        <f>IFERROR(__xludf.DUMMYFUNCTION("""COMPUTED_VALUE"""),"Wondrous Item")</f>
        <v>Wondrous Item</v>
      </c>
      <c r="E115" s="8"/>
      <c r="F115" s="8"/>
      <c r="G115" s="8"/>
      <c r="H115" s="8"/>
      <c r="I115" s="8" t="str">
        <f>IFERROR(__xludf.DUMMYFUNCTION("""COMPUTED_VALUE"""),"This bag has an interior space considerably larger than its outside dimensionsâroughly 2 feet square and 4 feet deep on the inside. The bag can hold up to 500 pounds, not exceeding a volume of 64 cubic feet. The bag weighs 5 pounds, regardless of its co"&amp;"ntents. Retrieving an item from the bag requires a Utilize action.If the bag is overloaded, pierced, or torn, it is destroyed, and its contents are scattered in the Astral Plane. If the bag is turned inside out, its contents spill forth unharmed, but the "&amp;"bag must be put right before it can be used again. The bag holds enough air for 10 minutes of breathing, divided by the number of breathing creatures inside.Placing a Bag of Holding inside an extradimensional space created by a Heward's Handy Haversack, P"&amp;"ortable Hole, or similar item instantly destroys both items and opens a gate to the Astral Plane. The gate originates where the one item was placed inside the other. Any creature within a 10-foot-radius Sphere centered on the gate is sucked through it to "&amp;"a random location on the Astral Plane. The gate then closes. The gate is one-way and can't be reopened.  You are only allowed to own one of these items.")</f>
        <v>This bag has an interior space considerably larger than its outside dimensionsâ_x0080__x0094_roughly 2 feet square and 4 feet deep on the inside. The bag can hold up to 500 pounds, not exceeding a volume of 64 cubic feet. The bag weighs 5 pounds, regardless of its contents. Retrieving an item from the bag requires a Utilize action.If the bag is overloaded, pierced, or torn, it is destroyed, and its contents are scattered in the Astral Plane. If the bag is turned inside out, its contents spill forth unharmed, but the bag must be put right before it can be used again. The bag holds enough air for 10 minutes of breathing, divided by the number of breathing creatures inside.Placing a Bag of Holding inside an extradimensional space created by a Heward's Handy Haversack, Portable Hole, or similar item instantly destroys both items and opens a gate to the Astral Plane. The gate originates where the one item was placed inside the other. Any creature within a 10-foot-radius Sphere centered on the gate is sucked through it to a random location on the Astral Plane. The gate then closes. The gate is one-way and can't be reopened.  You are only allowed to own one of these items.</v>
      </c>
      <c r="L115" s="8">
        <f>IFERROR(__xludf.DUMMYFUNCTION("""COMPUTED_VALUE"""),100.0)</f>
        <v>100</v>
      </c>
    </row>
    <row r="116">
      <c r="A116" s="10" t="str">
        <f>IFERROR(__xludf.DUMMYFUNCTION("""COMPUTED_VALUE"""),"Emerald Pen")</f>
        <v>Emerald Pen</v>
      </c>
      <c r="B116" s="10" t="str">
        <f>IFERROR(__xludf.DUMMYFUNCTION("""COMPUTED_VALUE"""),"FTD")</f>
        <v>FTD</v>
      </c>
      <c r="C116" s="10" t="str">
        <f>IFERROR(__xludf.DUMMYFUNCTION("""COMPUTED_VALUE"""),"uncommon")</f>
        <v>uncommon</v>
      </c>
      <c r="D116" s="10" t="str">
        <f>IFERROR(__xludf.DUMMYFUNCTION("""COMPUTED_VALUE"""),"Wondrous Item")</f>
        <v>Wondrous Item</v>
      </c>
      <c r="E116" s="10"/>
      <c r="F116" s="10"/>
      <c r="G116" s="10"/>
      <c r="H116" s="10"/>
      <c r="I116" s="10" t="str">
        <f>IFERROR(__xludf.DUMMYFUNCTION("""COMPUTED_VALUE"""),"This pen is tipped with an emerald nib and requires no ink to write. While holding this pen, you can cast illusory script at will, requiring no material components.")</f>
        <v>This pen is tipped with an emerald nib and requires no ink to write. While holding this pen, you can cast illusory script at will, requiring no material components.</v>
      </c>
      <c r="L116" s="10">
        <f>IFERROR(__xludf.DUMMYFUNCTION("""COMPUTED_VALUE"""),150.0)</f>
        <v>150</v>
      </c>
    </row>
    <row r="117">
      <c r="A117" s="8" t="str">
        <f>IFERROR(__xludf.DUMMYFUNCTION("""COMPUTED_VALUE"""),"Rope of Climbing")</f>
        <v>Rope of Climbing</v>
      </c>
      <c r="B117" s="8" t="str">
        <f>IFERROR(__xludf.DUMMYFUNCTION("""COMPUTED_VALUE"""),"DMG'24")</f>
        <v>DMG'24</v>
      </c>
      <c r="C117" s="8" t="str">
        <f>IFERROR(__xludf.DUMMYFUNCTION("""COMPUTED_VALUE"""),"uncommon")</f>
        <v>uncommon</v>
      </c>
      <c r="D117" s="8" t="str">
        <f>IFERROR(__xludf.DUMMYFUNCTION("""COMPUTED_VALUE"""),"Wondrous Item")</f>
        <v>Wondrous Item</v>
      </c>
      <c r="E117" s="8"/>
      <c r="F117" s="8"/>
      <c r="G117" s="8"/>
      <c r="H117" s="8"/>
      <c r="I117" s="8" t="str">
        <f>IFERROR(__xludf.DUMMYFUNCTION("""COMPUTED_VALUE"""),"This 60-foot length of rope can hold up to 3,000 pounds. While holding one end of the rope, you can take a Magic action to command the other end of the rope to animate and move toward a destination you choose, up to the rope's length away from you. That e"&amp;"nd moves 10 feet on your turn when you first command it and 10 feet at the start of each of your subsequent turns until reaching its destination or until you tell it to stop. You can also tell the rope to fasten itself securely to an object or to unfasten"&amp;" itself, to knot or unknot itself, or to coil itself for carrying.If you tell the rope to knot, large knots appear at 1-foot intervals along the rope. While knotted, the rope shortens to a 50-foot length and grants Advantage on ability checks made to clim"&amp;"b using the rope.The rope has AC 20, HP 20, and Immunity to Poison and Psychic damage. It regains 1 Hit Point every 5 minutes as long as it has at least 1 Hit Point. If the rope drops to 0 Hit Points, it is destroyed.")</f>
        <v>This 60-foot length of rope can hold up to 3,000 pounds. While holding one end of the rope, you can take a Magic action to command the other end of the rope to animate and move toward a destination you choose, up to the rope's length away from you. That end moves 10 feet on your turn when you first command it and 10 feet at the start of each of your subsequent turns until reaching its destination or until you tell it to stop. You can also tell the rope to fasten itself securely to an object or to unfasten itself, to knot or unknot itself, or to coil itself for carrying.If you tell the rope to knot, large knots appear at 1-foot intervals along the rope. While knotted, the rope shortens to a 50-foot length and grants Advantage on ability checks made to climb using the rope.The rope has AC 20, HP 20, and Immunity to Poison and Psychic damage. It regains 1 Hit Point every 5 minutes as long as it has at least 1 Hit Point. If the rope drops to 0 Hit Points, it is destroyed.</v>
      </c>
      <c r="L117" s="8">
        <f>IFERROR(__xludf.DUMMYFUNCTION("""COMPUTED_VALUE"""),150.0)</f>
        <v>150</v>
      </c>
    </row>
    <row r="118">
      <c r="A118" s="10" t="str">
        <f>IFERROR(__xludf.DUMMYFUNCTION("""COMPUTED_VALUE"""),"Ring of the Orator")</f>
        <v>Ring of the Orator</v>
      </c>
      <c r="B118" s="10" t="str">
        <f>IFERROR(__xludf.DUMMYFUNCTION("""COMPUTED_VALUE"""),"PaBTSO")</f>
        <v>PaBTSO</v>
      </c>
      <c r="C118" s="10" t="str">
        <f>IFERROR(__xludf.DUMMYFUNCTION("""COMPUTED_VALUE"""),"uncommon")</f>
        <v>uncommon</v>
      </c>
      <c r="D118" s="10" t="str">
        <f>IFERROR(__xludf.DUMMYFUNCTION("""COMPUTED_VALUE"""),"Ring")</f>
        <v>Ring</v>
      </c>
      <c r="E118" s="10" t="str">
        <f>IFERROR(__xludf.DUMMYFUNCTION("""COMPUTED_VALUE"""),"requires attunement")</f>
        <v>requires attunement</v>
      </c>
      <c r="F118" s="10"/>
      <c r="G118" s="10"/>
      <c r="H118" s="10"/>
      <c r="I118" s="10" t="str">
        <f>IFERROR(__xludf.DUMMYFUNCTION("""COMPUTED_VALUE"""),"This ring has 6 charges. While you wear it, you can expend 1 of its charges to project your voice to be heard clearly by all creatures within 1 mile of yourself, regardless of intervening noise, for 1 minute. Magical silence, 1 foot of stone, 1 inch of co"&amp;"mmon metal, a thin sheet of lead, or 3 feet of wood blocks this projection. If you project your voice while speaking a language the listening creatures don't understand, you can make the creatures understand what you're saying. You must be able to see the"&amp;" creatures to make them understand. The ring regains 1d6 expended charges daily at dawn.")</f>
        <v>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v>
      </c>
      <c r="L118" s="10">
        <f>IFERROR(__xludf.DUMMYFUNCTION("""COMPUTED_VALUE"""),250.0)</f>
        <v>250</v>
      </c>
    </row>
    <row r="119">
      <c r="A119" s="8" t="str">
        <f>IFERROR(__xludf.DUMMYFUNCTION("""COMPUTED_VALUE"""),"Goggles of Night")</f>
        <v>Goggles of Night</v>
      </c>
      <c r="B119" s="8" t="str">
        <f>IFERROR(__xludf.DUMMYFUNCTION("""COMPUTED_VALUE"""),"DMG'24")</f>
        <v>DMG'24</v>
      </c>
      <c r="C119" s="8" t="str">
        <f>IFERROR(__xludf.DUMMYFUNCTION("""COMPUTED_VALUE"""),"uncommon")</f>
        <v>uncommon</v>
      </c>
      <c r="D119" s="8" t="str">
        <f>IFERROR(__xludf.DUMMYFUNCTION("""COMPUTED_VALUE"""),"Wondrous Item")</f>
        <v>Wondrous Item</v>
      </c>
      <c r="E119" s="8"/>
      <c r="F119" s="8"/>
      <c r="G119" s="8"/>
      <c r="H119" s="8"/>
      <c r="I119" s="8" t="str">
        <f>IFERROR(__xludf.DUMMYFUNCTION("""COMPUTED_VALUE"""),"While wearing these dark lenses, you have Darkvision out to 60 feet. If you already have Darkvision, wearing the goggles increases its range by 60 feet.")</f>
        <v>While wearing these dark lenses, you have Darkvision out to 60 feet. If you already have Darkvision, wearing the goggles increases its range by 60 feet.</v>
      </c>
      <c r="L119" s="8">
        <f>IFERROR(__xludf.DUMMYFUNCTION("""COMPUTED_VALUE"""),300.0)</f>
        <v>300</v>
      </c>
    </row>
    <row r="120">
      <c r="A120" s="10" t="str">
        <f>IFERROR(__xludf.DUMMYFUNCTION("""COMPUTED_VALUE"""),"Dust of Dryness")</f>
        <v>Dust of Dryness</v>
      </c>
      <c r="B120" s="10" t="str">
        <f>IFERROR(__xludf.DUMMYFUNCTION("""COMPUTED_VALUE"""),"DMG'24")</f>
        <v>DMG'24</v>
      </c>
      <c r="C120" s="10" t="str">
        <f>IFERROR(__xludf.DUMMYFUNCTION("""COMPUTED_VALUE"""),"uncommon")</f>
        <v>uncommon</v>
      </c>
      <c r="D120" s="10" t="str">
        <f>IFERROR(__xludf.DUMMYFUNCTION("""COMPUTED_VALUE"""),"Wondrous Item")</f>
        <v>Wondrous Item</v>
      </c>
      <c r="E120" s="10"/>
      <c r="F120" s="10"/>
      <c r="G120" s="10"/>
      <c r="H120" s="10"/>
      <c r="I120" s="10" t="str">
        <f>IFERROR(__xludf.DUMMYFUNCTION("""COMPUTED_VALUE"""),"This small packet contains 1d6 + 4 pinches of dust. As a Utilize action, you can sprinkle a pinch of the dust over water, turning up to a 15-foot Cube of water into one marble-sized pellet, which floats or rests near where the dust was sprinkled. The pell"&amp;"et's weight is negligible. A creature can take a Utilize action to smash the pellet against a hard surface, causing the pellet to shatter and release the water the dust absorbed. Doing so destroys the pellet and ends its magic.As a Utilize action, you can"&amp;" sprinkle a pinch of the dust on an Elemental within 5 feet of yourself that is composed mostly of water (such as a Water Elemental or a Water Weird). Such a creature exposed to a pinch of the dust makes a DC 13 Constitution saving throw, taking 10d6 Necr"&amp;"otic damage on a failed save or half as much damage on a successful one.  Purchasing this gives an adventurer 1 use of this item per guild mission they go on, and does not stack unless you purchase more than 1.")</f>
        <v>This small packet contains 1d6 + 4 pinches of dust. As a Utilize action, you can sprinkle a pinch of the dust over water, turning up to a 15-foot Cube of water into one marble-sized pellet, which floats or rests near where the dust was sprinkled. The pellet's weight is negligible. A creature can take a Utilize action to smash the pellet against a hard surface, causing the pellet to shatter and release the water the dust absorbed. Doing so destroys the pellet and ends its magic.As a Utilize action, you can sprinkle a pinch of the dust on an Elemental within 5 feet of yourself that is composed mostly of water (such as a Water Elemental or a Water Weird). Such a creature exposed to a pinch of the dust makes a DC 13 Constitution saving throw, taking 10d6 Necrotic damage on a failed save or half as much damage on a successful one.  Purchasing this gives an adventurer 1 use of this item per guild mission they go on, and does not stack unless you purchase more than 1.</v>
      </c>
      <c r="L120" s="10">
        <f>IFERROR(__xludf.DUMMYFUNCTION("""COMPUTED_VALUE"""),350.0)</f>
        <v>350</v>
      </c>
    </row>
    <row r="121">
      <c r="A121" s="8" t="str">
        <f>IFERROR(__xludf.DUMMYFUNCTION("""COMPUTED_VALUE"""),"Periapt of Health")</f>
        <v>Periapt of Health</v>
      </c>
      <c r="B121" s="8" t="str">
        <f>IFERROR(__xludf.DUMMYFUNCTION("""COMPUTED_VALUE"""),"DMG'24")</f>
        <v>DMG'24</v>
      </c>
      <c r="C121" s="8" t="str">
        <f>IFERROR(__xludf.DUMMYFUNCTION("""COMPUTED_VALUE"""),"uncommon")</f>
        <v>uncommon</v>
      </c>
      <c r="D121" s="8" t="str">
        <f>IFERROR(__xludf.DUMMYFUNCTION("""COMPUTED_VALUE"""),"Wondrous Item")</f>
        <v>Wondrous Item</v>
      </c>
      <c r="E121" s="8" t="str">
        <f>IFERROR(__xludf.DUMMYFUNCTION("""COMPUTED_VALUE"""),"requires attunement")</f>
        <v>requires attunement</v>
      </c>
      <c r="F121" s="8"/>
      <c r="G121" s="8"/>
      <c r="H121" s="8"/>
      <c r="I121" s="8" t="str">
        <f>IFERROR(__xludf.DUMMYFUNCTION("""COMPUTED_VALUE"""),"While wearing this pendant, you can take a Magic action to regain 2d4 + 2 Hit Points. Once used, this property can't be used again until the next dawn.In addition, you have Advantage on saving throws to avoid or end the Poisoned condition while you wear t"&amp;"his pendant.")</f>
        <v>While wearing this pendant, you can take a Magic action to regain 2d4 + 2 Hit Points. Once used, this property can't be used again until the next dawn.In addition, you have Advantage on saving throws to avoid or end the Poisoned condition while you wear this pendant.</v>
      </c>
      <c r="L121" s="8">
        <f>IFERROR(__xludf.DUMMYFUNCTION("""COMPUTED_VALUE"""),350.0)</f>
        <v>350</v>
      </c>
    </row>
    <row r="122">
      <c r="A122" s="10" t="str">
        <f>IFERROR(__xludf.DUMMYFUNCTION("""COMPUTED_VALUE"""),"Ring of Truth Telling")</f>
        <v>Ring of Truth Telling</v>
      </c>
      <c r="B122" s="10" t="str">
        <f>IFERROR(__xludf.DUMMYFUNCTION("""COMPUTED_VALUE"""),"WDH")</f>
        <v>WDH</v>
      </c>
      <c r="C122" s="10" t="str">
        <f>IFERROR(__xludf.DUMMYFUNCTION("""COMPUTED_VALUE"""),"uncommon")</f>
        <v>uncommon</v>
      </c>
      <c r="D122" s="10" t="str">
        <f>IFERROR(__xludf.DUMMYFUNCTION("""COMPUTED_VALUE"""),"Ring")</f>
        <v>Ring</v>
      </c>
      <c r="E122" s="10" t="str">
        <f>IFERROR(__xludf.DUMMYFUNCTION("""COMPUTED_VALUE"""),"requires attunement")</f>
        <v>requires attunement</v>
      </c>
      <c r="F122" s="10"/>
      <c r="G122" s="10"/>
      <c r="H122" s="10"/>
      <c r="I122" s="10" t="str">
        <f>IFERROR(__xludf.DUMMYFUNCTION("""COMPUTED_VALUE"""),"While wearing this ring, you have advantage on Wisdom (Insight) checks to determine whether someone is lying to you.")</f>
        <v>While wearing this ring, you have advantage on Wisdom (Insight) checks to determine whether someone is lying to you.</v>
      </c>
      <c r="L122" s="10">
        <f>IFERROR(__xludf.DUMMYFUNCTION("""COMPUTED_VALUE"""),350.0)</f>
        <v>350</v>
      </c>
    </row>
    <row r="123">
      <c r="A123" s="8" t="str">
        <f>IFERROR(__xludf.DUMMYFUNCTION("""COMPUTED_VALUE"""),"Cap of Water Breathing")</f>
        <v>Cap of Water Breathing</v>
      </c>
      <c r="B123" s="8" t="str">
        <f>IFERROR(__xludf.DUMMYFUNCTION("""COMPUTED_VALUE"""),"DMG'24")</f>
        <v>DMG'24</v>
      </c>
      <c r="C123" s="8" t="str">
        <f>IFERROR(__xludf.DUMMYFUNCTION("""COMPUTED_VALUE"""),"uncommon")</f>
        <v>uncommon</v>
      </c>
      <c r="D123" s="8" t="str">
        <f>IFERROR(__xludf.DUMMYFUNCTION("""COMPUTED_VALUE"""),"Wondrous Item")</f>
        <v>Wondrous Item</v>
      </c>
      <c r="E123" s="8"/>
      <c r="F123" s="8"/>
      <c r="G123" s="8"/>
      <c r="H123" s="8"/>
      <c r="I123" s="8" t="str">
        <f>IFERROR(__xludf.DUMMYFUNCTION("""COMPUTED_VALUE"""),"While wearing this cap underwater, you can take a Magic action to create a bubble of air around your head. This bubble allows you to breathe normally underwater. This bubble stays with you until the cap is removed or you are no longer underwater.")</f>
        <v>While wearing this cap underwater, you can take a Magic action to create a bubble of air around your head. This bubble allows you to breathe normally underwater. This bubble stays with you until the cap is removed or you are no longer underwater.</v>
      </c>
      <c r="L123" s="8">
        <f>IFERROR(__xludf.DUMMYFUNCTION("""COMPUTED_VALUE"""),400.0)</f>
        <v>400</v>
      </c>
    </row>
    <row r="124">
      <c r="A124" s="10" t="str">
        <f>IFERROR(__xludf.DUMMYFUNCTION("""COMPUTED_VALUE"""),"Eyes of Minute Seeing")</f>
        <v>Eyes of Minute Seeing</v>
      </c>
      <c r="B124" s="10" t="str">
        <f>IFERROR(__xludf.DUMMYFUNCTION("""COMPUTED_VALUE"""),"DMG'24")</f>
        <v>DMG'24</v>
      </c>
      <c r="C124" s="10" t="str">
        <f>IFERROR(__xludf.DUMMYFUNCTION("""COMPUTED_VALUE"""),"uncommon")</f>
        <v>uncommon</v>
      </c>
      <c r="D124" s="10" t="str">
        <f>IFERROR(__xludf.DUMMYFUNCTION("""COMPUTED_VALUE"""),"Wondrous Item")</f>
        <v>Wondrous Item</v>
      </c>
      <c r="E124" s="10"/>
      <c r="F124" s="10"/>
      <c r="G124" s="10"/>
      <c r="H124" s="10"/>
      <c r="I124" s="10" t="str">
        <f>IFERROR(__xludf.DUMMYFUNCTION("""COMPUTED_VALUE"""),"These crystal lenses fit over the eyes. While wearing them, your vision improves significantly out to a range of 1 foot, granting you Darkvision within that range and Advantage on Intelligence (Investigation) checks made to examine something within that r"&amp;"ange.")</f>
        <v>These crystal lenses fit over the eyes. While wearing them, your vision improves significantly out to a range of 1 foot, granting you Darkvision within that range and Advantage on Intelligence (Investigation) checks made to examine something within that range.</v>
      </c>
      <c r="L124" s="10">
        <f>IFERROR(__xludf.DUMMYFUNCTION("""COMPUTED_VALUE"""),400.0)</f>
        <v>400</v>
      </c>
    </row>
    <row r="125">
      <c r="A125" s="8" t="str">
        <f>IFERROR(__xludf.DUMMYFUNCTION("""COMPUTED_VALUE"""),"Necklace of Adaptation")</f>
        <v>Necklace of Adaptation</v>
      </c>
      <c r="B125" s="8" t="str">
        <f>IFERROR(__xludf.DUMMYFUNCTION("""COMPUTED_VALUE"""),"DMG'24")</f>
        <v>DMG'24</v>
      </c>
      <c r="C125" s="8" t="str">
        <f>IFERROR(__xludf.DUMMYFUNCTION("""COMPUTED_VALUE"""),"uncommon")</f>
        <v>uncommon</v>
      </c>
      <c r="D125" s="8" t="str">
        <f>IFERROR(__xludf.DUMMYFUNCTION("""COMPUTED_VALUE"""),"Wondrous Item")</f>
        <v>Wondrous Item</v>
      </c>
      <c r="E125" s="8" t="str">
        <f>IFERROR(__xludf.DUMMYFUNCTION("""COMPUTED_VALUE"""),"requires attunement")</f>
        <v>requires attunement</v>
      </c>
      <c r="F125" s="8"/>
      <c r="G125" s="8"/>
      <c r="H125" s="8"/>
      <c r="I125" s="8" t="str">
        <f>IFERROR(__xludf.DUMMYFUNCTION("""COMPUTED_VALUE"""),"While wearing this necklace, you can breathe normally in any environment, and you have Advantage on saving throws made to avoid or end the Poisoned condition.")</f>
        <v>While wearing this necklace, you can breathe normally in any environment, and you have Advantage on saving throws made to avoid or end the Poisoned condition.</v>
      </c>
      <c r="L125" s="8">
        <f>IFERROR(__xludf.DUMMYFUNCTION("""COMPUTED_VALUE"""),400.0)</f>
        <v>400</v>
      </c>
    </row>
    <row r="126">
      <c r="A126" s="10" t="str">
        <f>IFERROR(__xludf.DUMMYFUNCTION("""COMPUTED_VALUE"""),"Ring of Jumping")</f>
        <v>Ring of Jumping</v>
      </c>
      <c r="B126" s="10" t="str">
        <f>IFERROR(__xludf.DUMMYFUNCTION("""COMPUTED_VALUE"""),"DMG'24")</f>
        <v>DMG'24</v>
      </c>
      <c r="C126" s="10" t="str">
        <f>IFERROR(__xludf.DUMMYFUNCTION("""COMPUTED_VALUE"""),"uncommon")</f>
        <v>uncommon</v>
      </c>
      <c r="D126" s="10" t="str">
        <f>IFERROR(__xludf.DUMMYFUNCTION("""COMPUTED_VALUE"""),"Ring")</f>
        <v>Ring</v>
      </c>
      <c r="E126" s="10" t="str">
        <f>IFERROR(__xludf.DUMMYFUNCTION("""COMPUTED_VALUE"""),"requires attunement")</f>
        <v>requires attunement</v>
      </c>
      <c r="F126" s="10"/>
      <c r="G126" s="10"/>
      <c r="H126" s="10"/>
      <c r="I126" s="10" t="str">
        <f>IFERROR(__xludf.DUMMYFUNCTION("""COMPUTED_VALUE"""),"While wearing this ring, you can cast Jump from it, but can target only yourself when you do so.")</f>
        <v>While wearing this ring, you can cast Jump from it, but can target only yourself when you do so.</v>
      </c>
      <c r="L126" s="10">
        <f>IFERROR(__xludf.DUMMYFUNCTION("""COMPUTED_VALUE"""),400.0)</f>
        <v>400</v>
      </c>
    </row>
    <row r="127">
      <c r="A127" s="8" t="str">
        <f>IFERROR(__xludf.DUMMYFUNCTION("""COMPUTED_VALUE"""),"Dust of Disappearance")</f>
        <v>Dust of Disappearance</v>
      </c>
      <c r="B127" s="8" t="str">
        <f>IFERROR(__xludf.DUMMYFUNCTION("""COMPUTED_VALUE"""),"DMG'24")</f>
        <v>DMG'24</v>
      </c>
      <c r="C127" s="8" t="str">
        <f>IFERROR(__xludf.DUMMYFUNCTION("""COMPUTED_VALUE"""),"uncommon")</f>
        <v>uncommon</v>
      </c>
      <c r="D127" s="8" t="str">
        <f>IFERROR(__xludf.DUMMYFUNCTION("""COMPUTED_VALUE"""),"Wondrous Item")</f>
        <v>Wondrous Item</v>
      </c>
      <c r="E127" s="8"/>
      <c r="F127" s="8"/>
      <c r="G127" s="8"/>
      <c r="H127" s="8"/>
      <c r="I127" s="8" t="str">
        <f>IFERROR(__xludf.DUMMYFUNCTION("""COMPUTED_VALUE"""),"This powder resembles fine sand. There is enough of it for one use. When you take a Utilize action to throw the dust into the air, you and each creature and object within a 10-foot Emanation originating from you have the Invisible condition for 2d4 minute"&amp;"s. The duration is the same for all subjects, and the dust is consumed when its magic takes effect. Immediately after an affected creature makes an attack roll, deals damage, or casts a spell, the Invisible condition ends for that creature.  Purchasing th"&amp;"is gives an adventurer 1 use of this item per guild mission they go on, and does not stack unless you purchase more than 1.")</f>
        <v>This powder resembles fine sand. There is enough of it for one use. When you take a Utilize action to throw the dust into the air, you and each creature and object within a 10-foot Emanation originating from you have the Invisible condition for 2d4 minutes. The duration is the same for all subjects, and the dust is consumed when its magic takes effect. Immediately after an affected creature makes an attack roll, deals damage, or casts a spell, the Invisible condition ends for that creature.  Purchasing this gives an adventurer 1 use of this item per guild mission they go on, and does not stack unless you purchase more than 1.</v>
      </c>
      <c r="L127" s="8">
        <f>IFERROR(__xludf.DUMMYFUNCTION("""COMPUTED_VALUE"""),450.0)</f>
        <v>450</v>
      </c>
    </row>
    <row r="128">
      <c r="A128" s="10" t="str">
        <f>IFERROR(__xludf.DUMMYFUNCTION("""COMPUTED_VALUE"""),"Eyes of the Eagle")</f>
        <v>Eyes of the Eagle</v>
      </c>
      <c r="B128" s="10" t="str">
        <f>IFERROR(__xludf.DUMMYFUNCTION("""COMPUTED_VALUE"""),"DMG'24")</f>
        <v>DMG'24</v>
      </c>
      <c r="C128" s="10" t="str">
        <f>IFERROR(__xludf.DUMMYFUNCTION("""COMPUTED_VALUE"""),"uncommon")</f>
        <v>uncommon</v>
      </c>
      <c r="D128" s="10" t="str">
        <f>IFERROR(__xludf.DUMMYFUNCTION("""COMPUTED_VALUE"""),"Wondrous Item")</f>
        <v>Wondrous Item</v>
      </c>
      <c r="E128" s="10"/>
      <c r="F128" s="10"/>
      <c r="G128" s="10"/>
      <c r="H128" s="10"/>
      <c r="I128" s="10" t="str">
        <f>IFERROR(__xludf.DUMMYFUNCTION("""COMPUTED_VALUE"""),"These crystal lenses fit over the eyes. While wearing them, you have Advantage on Wisdom (Perception) checks that rely on sight. In conditions of clear visibility, you can make out details of even extremely distant creatures and objects as small as 2 feet"&amp;" across.")</f>
        <v>These crystal lenses fit over the eyes. While wearing them, you have Advantage on Wisdom (Perception) checks that rely on sight. In conditions of clear visibility, you can make out details of even extremely distant creatures and objects as small as 2 feet across.</v>
      </c>
      <c r="L128" s="10">
        <f>IFERROR(__xludf.DUMMYFUNCTION("""COMPUTED_VALUE"""),450.0)</f>
        <v>450</v>
      </c>
    </row>
    <row r="129">
      <c r="A129" s="8" t="str">
        <f>IFERROR(__xludf.DUMMYFUNCTION("""COMPUTED_VALUE"""),"Cloak of the Manta Ray")</f>
        <v>Cloak of the Manta Ray</v>
      </c>
      <c r="B129" s="8" t="str">
        <f>IFERROR(__xludf.DUMMYFUNCTION("""COMPUTED_VALUE"""),"DMG'24")</f>
        <v>DMG'24</v>
      </c>
      <c r="C129" s="8" t="str">
        <f>IFERROR(__xludf.DUMMYFUNCTION("""COMPUTED_VALUE"""),"uncommon")</f>
        <v>uncommon</v>
      </c>
      <c r="D129" s="8" t="str">
        <f>IFERROR(__xludf.DUMMYFUNCTION("""COMPUTED_VALUE"""),"Wondrous Item")</f>
        <v>Wondrous Item</v>
      </c>
      <c r="E129" s="8" t="str">
        <f>IFERROR(__xludf.DUMMYFUNCTION("""COMPUTED_VALUE"""),"requires attunement")</f>
        <v>requires attunement</v>
      </c>
      <c r="F129" s="8"/>
      <c r="G129" s="8"/>
      <c r="H129" s="8"/>
      <c r="I129" s="8" t="str">
        <f>IFERROR(__xludf.DUMMYFUNCTION("""COMPUTED_VALUE"""),"While wearing this cloak, you can breathe underwater, and you have a Swim Speed of 60 feet.")</f>
        <v>While wearing this cloak, you can breathe underwater, and you have a Swim Speed of 60 feet.</v>
      </c>
      <c r="L129" s="8">
        <f>IFERROR(__xludf.DUMMYFUNCTION("""COMPUTED_VALUE"""),500.0)</f>
        <v>500</v>
      </c>
    </row>
    <row r="130">
      <c r="A130" s="10" t="str">
        <f>IFERROR(__xludf.DUMMYFUNCTION("""COMPUTED_VALUE"""),"Driftglobe")</f>
        <v>Driftglobe</v>
      </c>
      <c r="B130" s="10" t="str">
        <f>IFERROR(__xludf.DUMMYFUNCTION("""COMPUTED_VALUE"""),"DMG'24")</f>
        <v>DMG'24</v>
      </c>
      <c r="C130" s="10" t="str">
        <f>IFERROR(__xludf.DUMMYFUNCTION("""COMPUTED_VALUE"""),"uncommon")</f>
        <v>uncommon</v>
      </c>
      <c r="D130" s="10" t="str">
        <f>IFERROR(__xludf.DUMMYFUNCTION("""COMPUTED_VALUE"""),"Wondrous Item")</f>
        <v>Wondrous Item</v>
      </c>
      <c r="E130" s="10"/>
      <c r="F130" s="10"/>
      <c r="G130" s="10"/>
      <c r="H130" s="10"/>
      <c r="I130" s="10" t="str">
        <f>IFERROR(__xludf.DUMMYFUNCTION("""COMPUTED_VALUE"""),"This small sphere of thick glass weighs 1 pound. If you are within 60 feet of it, you can command it to emanate light equivalent to that of the Light or Daylight spell (your choice). Once used, the Daylight effect can't be used again until the next dawn.Y"&amp;"ou can issue another command as a Magic action to make the illuminated globe rise into the air and float no more than 5 feet off the ground. The globe hovers in this way until you or another creature grasps it. If you move more than 60 feet from the hover"&amp;"ing globe, it follows you until it is within 60 feet of you. It takes the shortest route to do so. If prevented from moving, the globe sinks gently to the ground and becomes inactive, and its light winks out.")</f>
        <v>This small sphere of thick glass weighs 1 pound. If you are within 60 feet of it, you can command it to emanate light equivalent to that of the Light or Daylight spell (your choice). Once used, the Daylight effect can't be used again until the next dawn.You can issue another command as a Magic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v>
      </c>
      <c r="L130" s="10">
        <f>IFERROR(__xludf.DUMMYFUNCTION("""COMPUTED_VALUE"""),500.0)</f>
        <v>500</v>
      </c>
    </row>
    <row r="131">
      <c r="A131" s="8" t="str">
        <f>IFERROR(__xludf.DUMMYFUNCTION("""COMPUTED_VALUE"""),"Helm of Comprehending Languages")</f>
        <v>Helm of Comprehending Languages</v>
      </c>
      <c r="B131" s="8" t="str">
        <f>IFERROR(__xludf.DUMMYFUNCTION("""COMPUTED_VALUE"""),"DMG'24")</f>
        <v>DMG'24</v>
      </c>
      <c r="C131" s="8" t="str">
        <f>IFERROR(__xludf.DUMMYFUNCTION("""COMPUTED_VALUE"""),"uncommon")</f>
        <v>uncommon</v>
      </c>
      <c r="D131" s="8" t="str">
        <f>IFERROR(__xludf.DUMMYFUNCTION("""COMPUTED_VALUE"""),"Wondrous Item")</f>
        <v>Wondrous Item</v>
      </c>
      <c r="E131" s="8"/>
      <c r="F131" s="8"/>
      <c r="G131" s="8"/>
      <c r="H131" s="8"/>
      <c r="I131" s="8" t="str">
        <f>IFERROR(__xludf.DUMMYFUNCTION("""COMPUTED_VALUE"""),"While wearing this helm, you can cast Comprehend Languages from it.")</f>
        <v>While wearing this helm, you can cast Comprehend Languages from it.</v>
      </c>
      <c r="L131" s="8">
        <f>IFERROR(__xludf.DUMMYFUNCTION("""COMPUTED_VALUE"""),500.0)</f>
        <v>500</v>
      </c>
    </row>
    <row r="132">
      <c r="A132" s="10" t="str">
        <f>IFERROR(__xludf.DUMMYFUNCTION("""COMPUTED_VALUE"""),"Cap of Vanishing")</f>
        <v>Cap of Vanishing</v>
      </c>
      <c r="B132" s="10" t="str">
        <f>IFERROR(__xludf.DUMMYFUNCTION("""COMPUTED_VALUE"""),"WttHC")</f>
        <v>WttHC</v>
      </c>
      <c r="C132" s="10" t="str">
        <f>IFERROR(__xludf.DUMMYFUNCTION("""COMPUTED_VALUE"""),"uncommon")</f>
        <v>uncommon</v>
      </c>
      <c r="D132" s="10" t="str">
        <f>IFERROR(__xludf.DUMMYFUNCTION("""COMPUTED_VALUE"""),"Wondrous Item")</f>
        <v>Wondrous Item</v>
      </c>
      <c r="E132" s="10" t="str">
        <f>IFERROR(__xludf.DUMMYFUNCTION("""COMPUTED_VALUE"""),"requires attunement")</f>
        <v>requires attunement</v>
      </c>
      <c r="F132" s="10"/>
      <c r="G132" s="10"/>
      <c r="H132" s="10"/>
      <c r="I132" s="10" t="str">
        <f>IFERROR(__xludf.DUMMYFUNCTION("""COMPUTED_VALUE"""),"This cap has 3 charges and regains all expended charges daily at dawn. While wearing the cap, you can take a Magic action and expend 1 charge to give yourself the Invisible condition for 10 minutes. The effect ends early if the hat is removed, or immediat"&amp;"ely after you make an attack roll, deal damage, or cast a spell.")</f>
        <v>This cap has 3 charges and regains all expended charges daily at dawn. While wearing the cap, you can take a Magic action and expend 1 charge to give yourself the Invisible condition for 10 minutes. The effect ends early if the hat is removed, or immediately after you make an attack roll, deal damage, or cast a spell.</v>
      </c>
      <c r="L132" s="10">
        <f>IFERROR(__xludf.DUMMYFUNCTION("""COMPUTED_VALUE"""),550.0)</f>
        <v>550</v>
      </c>
    </row>
    <row r="133">
      <c r="A133" s="8" t="str">
        <f>IFERROR(__xludf.DUMMYFUNCTION("""COMPUTED_VALUE"""),"Dust of Corrosion")</f>
        <v>Dust of Corrosion</v>
      </c>
      <c r="B133" s="8" t="str">
        <f>IFERROR(__xludf.DUMMYFUNCTION("""COMPUTED_VALUE"""),"WBtW")</f>
        <v>WBtW</v>
      </c>
      <c r="C133" s="8" t="str">
        <f>IFERROR(__xludf.DUMMYFUNCTION("""COMPUTED_VALUE"""),"uncommon")</f>
        <v>uncommon</v>
      </c>
      <c r="D133" s="8" t="str">
        <f>IFERROR(__xludf.DUMMYFUNCTION("""COMPUTED_VALUE"""),"Wondrous Item")</f>
        <v>Wondrous Item</v>
      </c>
      <c r="E133" s="8"/>
      <c r="F133" s="8"/>
      <c r="G133" s="8"/>
      <c r="H133" s="8"/>
      <c r="I133" s="8" t="str">
        <f>IFERROR(__xludf.DUMMYFUNCTION("""COMPUTED_VALUE"""),"As an action, you can throw this dust into the air, filling a 10-foot cube that extends out from you. Surfaces and objects made of nonmagical ferrous metal in the area instantly corrode and turn to dust, becoming useless and unsalvageable. Any creature in"&amp;" the area that is made wholly or partly out of ferrous metal must make a DC 13 Constitution saving throw, taking 4d8 necrotic damage on a failed save, or half as much damage on a successful one.Found in a small packet, this dust is made from finely ground"&amp;" rust monster antennae. There is enough dust in each packet for one use.  Purchasing this gives an adventurer 1 use of this item per guild mission they go on, and does not stack unless you purchase more than 1.")</f>
        <v>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one.Found in a small packet, this dust is made from finely ground rust monster antennae. There is enough dust in each packet for one use.  Purchasing this gives an adventurer 1 use of this item per guild mission they go on, and does not stack unless you purchase more than 1.</v>
      </c>
      <c r="L133" s="8">
        <f>IFERROR(__xludf.DUMMYFUNCTION("""COMPUTED_VALUE"""),550.0)</f>
        <v>550</v>
      </c>
    </row>
    <row r="134">
      <c r="A134" s="10" t="str">
        <f>IFERROR(__xludf.DUMMYFUNCTION("""COMPUTED_VALUE"""),"Ring of Puzzler's Wit")</f>
        <v>Ring of Puzzler's Wit</v>
      </c>
      <c r="B134" s="10" t="str">
        <f>IFERROR(__xludf.DUMMYFUNCTION("""COMPUTED_VALUE"""),"BMT")</f>
        <v>BMT</v>
      </c>
      <c r="C134" s="10" t="str">
        <f>IFERROR(__xludf.DUMMYFUNCTION("""COMPUTED_VALUE"""),"uncommon")</f>
        <v>uncommon</v>
      </c>
      <c r="D134" s="10" t="str">
        <f>IFERROR(__xludf.DUMMYFUNCTION("""COMPUTED_VALUE"""),"Ring")</f>
        <v>Ring</v>
      </c>
      <c r="E134" s="10"/>
      <c r="F134" s="10"/>
      <c r="G134" s="10"/>
      <c r="H134" s="10"/>
      <c r="I134" s="10" t="str">
        <f>IFERROR(__xludf.DUMMYFUNCTION("""COMPUTED_VALUE"""),"This gold ring bears a fluorite stone and is enchanted to sharpen the wearer's mind.The ring has 3 charges and regains 1d4 - 1 expended charges daily at dawn. When you make an Intelligence check, you can expend 1 charge to grant yourself advantage on the "&amp;"check.")</f>
        <v>This gold ring bears a fluorite stone and is enchanted to sharpen the wearer's mind.The ring has 3 charges and regains 1d4 - 1 expended charges daily at dawn. When you make an Intelligence check, you can expend 1 charge to grant yourself advantage on the check.</v>
      </c>
      <c r="L134" s="10">
        <f>IFERROR(__xludf.DUMMYFUNCTION("""COMPUTED_VALUE"""),550.0)</f>
        <v>550</v>
      </c>
    </row>
    <row r="135">
      <c r="A135" s="8" t="str">
        <f>IFERROR(__xludf.DUMMYFUNCTION("""COMPUTED_VALUE"""),"Ring of Water Walking")</f>
        <v>Ring of Water Walking</v>
      </c>
      <c r="B135" s="8" t="str">
        <f>IFERROR(__xludf.DUMMYFUNCTION("""COMPUTED_VALUE"""),"DMG'24")</f>
        <v>DMG'24</v>
      </c>
      <c r="C135" s="8" t="str">
        <f>IFERROR(__xludf.DUMMYFUNCTION("""COMPUTED_VALUE"""),"uncommon")</f>
        <v>uncommon</v>
      </c>
      <c r="D135" s="8" t="str">
        <f>IFERROR(__xludf.DUMMYFUNCTION("""COMPUTED_VALUE"""),"Ring")</f>
        <v>Ring</v>
      </c>
      <c r="E135" s="8"/>
      <c r="F135" s="8"/>
      <c r="G135" s="8"/>
      <c r="H135" s="8"/>
      <c r="I135" s="8" t="str">
        <f>IFERROR(__xludf.DUMMYFUNCTION("""COMPUTED_VALUE"""),"While wearing this ring, you cast Water Walk from it, targeting only yourself.")</f>
        <v>While wearing this ring, you cast Water Walk from it, targeting only yourself.</v>
      </c>
      <c r="L135" s="8">
        <f>IFERROR(__xludf.DUMMYFUNCTION("""COMPUTED_VALUE"""),550.0)</f>
        <v>550</v>
      </c>
    </row>
    <row r="136">
      <c r="A136" s="10" t="str">
        <f>IFERROR(__xludf.DUMMYFUNCTION("""COMPUTED_VALUE"""),"Knave's Eye Patch")</f>
        <v>Knave's Eye Patch</v>
      </c>
      <c r="B136" s="10" t="str">
        <f>IFERROR(__xludf.DUMMYFUNCTION("""COMPUTED_VALUE"""),"WDH")</f>
        <v>WDH</v>
      </c>
      <c r="C136" s="10" t="str">
        <f>IFERROR(__xludf.DUMMYFUNCTION("""COMPUTED_VALUE"""),"rare")</f>
        <v>rare</v>
      </c>
      <c r="D136" s="10" t="str">
        <f>IFERROR(__xludf.DUMMYFUNCTION("""COMPUTED_VALUE"""),"Wondrous Item")</f>
        <v>Wondrous Item</v>
      </c>
      <c r="E136" s="10" t="str">
        <f>IFERROR(__xludf.DUMMYFUNCTION("""COMPUTED_VALUE"""),"requires attunement")</f>
        <v>requires attunement</v>
      </c>
      <c r="F136" s="10"/>
      <c r="G136" s="10"/>
      <c r="H136" s="10"/>
      <c r="I136" s="10" t="str">
        <f>IFERROR(__xludf.DUMMYFUNCTION("""COMPUTED_VALUE"""),"While wearing this eye patch, you gain these benefits:You have advantage on Wisdom (Perception) checks that rely on sight.If you have the Sunlight Sensitivity trait, you are unaffected by the trait.You are immune to magic that allows other creatures to re"&amp;"ad your thoughts or determine whether you are lying. Creatures can communicate telepathically with you only if you allow it.")</f>
        <v>While wearing this eye patch, you gain these benefits:You have advantage on Wisdom (Perception) checks that rely on sight.If you have the Sunlight Sensitivity trait, you are unaffected by the trait.You are immune to magic that allows other creatures to read your thoughts or determine whether you are lying. Creatures can communicate telepathically with you only if you allow it.</v>
      </c>
      <c r="L136" s="10">
        <f>IFERROR(__xludf.DUMMYFUNCTION("""COMPUTED_VALUE"""),550.0)</f>
        <v>550</v>
      </c>
    </row>
    <row r="137">
      <c r="A137" s="8" t="str">
        <f>IFERROR(__xludf.DUMMYFUNCTION("""COMPUTED_VALUE"""),"Cloak of Elvenkind")</f>
        <v>Cloak of Elvenkind</v>
      </c>
      <c r="B137" s="8" t="str">
        <f>IFERROR(__xludf.DUMMYFUNCTION("""COMPUTED_VALUE"""),"DMG'24")</f>
        <v>DMG'24</v>
      </c>
      <c r="C137" s="8" t="str">
        <f>IFERROR(__xludf.DUMMYFUNCTION("""COMPUTED_VALUE"""),"uncommon")</f>
        <v>uncommon</v>
      </c>
      <c r="D137" s="8" t="str">
        <f>IFERROR(__xludf.DUMMYFUNCTION("""COMPUTED_VALUE"""),"Wondrous Item")</f>
        <v>Wondrous Item</v>
      </c>
      <c r="E137" s="8" t="str">
        <f>IFERROR(__xludf.DUMMYFUNCTION("""COMPUTED_VALUE"""),"requires attunement")</f>
        <v>requires attunement</v>
      </c>
      <c r="F137" s="8"/>
      <c r="G137" s="8"/>
      <c r="H137" s="8"/>
      <c r="I137" s="8" t="str">
        <f>IFERROR(__xludf.DUMMYFUNCTION("""COMPUTED_VALUE"""),"While you wear this cloak, Wisdom (Perception) checks made to perceive you have Disadvantage, and you have Advantage on Dexterity (Stealth) checks.")</f>
        <v>While you wear this cloak, Wisdom (Perception) checks made to perceive you have Disadvantage, and you have Advantage on Dexterity (Stealth) checks.</v>
      </c>
      <c r="L137" s="8">
        <f>IFERROR(__xludf.DUMMYFUNCTION("""COMPUTED_VALUE"""),700.0)</f>
        <v>700</v>
      </c>
    </row>
    <row r="138">
      <c r="A138" s="10" t="str">
        <f>IFERROR(__xludf.DUMMYFUNCTION("""COMPUTED_VALUE"""),"Shadowfell Brand Tattoo")</f>
        <v>Shadowfell Brand Tattoo</v>
      </c>
      <c r="B138" s="10" t="str">
        <f>IFERROR(__xludf.DUMMYFUNCTION("""COMPUTED_VALUE"""),"TCE")</f>
        <v>TCE</v>
      </c>
      <c r="C138" s="10" t="str">
        <f>IFERROR(__xludf.DUMMYFUNCTION("""COMPUTED_VALUE"""),"rare")</f>
        <v>rare</v>
      </c>
      <c r="D138" s="10" t="str">
        <f>IFERROR(__xludf.DUMMYFUNCTION("""COMPUTED_VALUE"""),"Wondrous Item (Tattoo)")</f>
        <v>Wondrous Item (Tattoo)</v>
      </c>
      <c r="E138" s="10" t="str">
        <f>IFERROR(__xludf.DUMMYFUNCTION("""COMPUTED_VALUE"""),"requires attunement")</f>
        <v>requires attunement</v>
      </c>
      <c r="F138" s="10"/>
      <c r="G138" s="10"/>
      <c r="H138" s="10"/>
      <c r="I138" s="10" t="str">
        <f>IFERROR(__xludf.DUMMYFUNCTION("""COMPUTED_VALUE"""),"Produced by a special needle, this magic tattoo is dark in color and abstract. Tattoo Attunement. To attune to this item, you hold the needle to your skin where you want the tattoo to appear, pressing the needle there throughout the attunement process. Wh"&amp;"en the attunement is complete, the needle turns into the ink that becomes the tattoo, which appears on the skin.If your attunement to the tattoo ends, the tattoo vanishes, and the needle reappears in your space. Shadow Essence. You gain darkvision with a "&amp;"range of 60 feet, and you have advantage on Dexterity (Stealth) checks. Shadowy Defense. When you take damage, you can use your reaction to become insubstantial for a moment, halving the damage you take. Then the reaction can't be used again until the nex"&amp;"t sunset.")</f>
        <v>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v>
      </c>
      <c r="L138" s="10">
        <f>IFERROR(__xludf.DUMMYFUNCTION("""COMPUTED_VALUE"""),700.0)</f>
        <v>700</v>
      </c>
    </row>
    <row r="139">
      <c r="A139" s="8" t="str">
        <f>IFERROR(__xludf.DUMMYFUNCTION("""COMPUTED_VALUE"""),"Gloves of Thievery")</f>
        <v>Gloves of Thievery</v>
      </c>
      <c r="B139" s="8" t="str">
        <f>IFERROR(__xludf.DUMMYFUNCTION("""COMPUTED_VALUE"""),"DMG'24")</f>
        <v>DMG'24</v>
      </c>
      <c r="C139" s="8" t="str">
        <f>IFERROR(__xludf.DUMMYFUNCTION("""COMPUTED_VALUE"""),"uncommon")</f>
        <v>uncommon</v>
      </c>
      <c r="D139" s="8" t="str">
        <f>IFERROR(__xludf.DUMMYFUNCTION("""COMPUTED_VALUE"""),"Wondrous Item")</f>
        <v>Wondrous Item</v>
      </c>
      <c r="E139" s="8"/>
      <c r="F139" s="8"/>
      <c r="G139" s="8"/>
      <c r="H139" s="8"/>
      <c r="I139" s="8" t="str">
        <f>IFERROR(__xludf.DUMMYFUNCTION("""COMPUTED_VALUE"""),"These gloves are imperceptible while worn. While wearing them, you gain a +5 bonus to Dexterity (Sleight of Hand) checks.")</f>
        <v>These gloves are imperceptible while worn. While wearing them, you gain a +5 bonus to Dexterity (Sleight of Hand) checks.</v>
      </c>
      <c r="L139" s="8">
        <f>IFERROR(__xludf.DUMMYFUNCTION("""COMPUTED_VALUE"""),750.0)</f>
        <v>750</v>
      </c>
    </row>
    <row r="140">
      <c r="A140" s="10" t="str">
        <f>IFERROR(__xludf.DUMMYFUNCTION("""COMPUTED_VALUE"""),"Cape of the Mountebank")</f>
        <v>Cape of the Mountebank</v>
      </c>
      <c r="B140" s="10" t="str">
        <f>IFERROR(__xludf.DUMMYFUNCTION("""COMPUTED_VALUE"""),"DMG'24")</f>
        <v>DMG'24</v>
      </c>
      <c r="C140" s="10" t="str">
        <f>IFERROR(__xludf.DUMMYFUNCTION("""COMPUTED_VALUE"""),"rare")</f>
        <v>rare</v>
      </c>
      <c r="D140" s="10" t="str">
        <f>IFERROR(__xludf.DUMMYFUNCTION("""COMPUTED_VALUE"""),"Wondrous Item")</f>
        <v>Wondrous Item</v>
      </c>
      <c r="E140" s="10"/>
      <c r="F140" s="10"/>
      <c r="G140" s="10"/>
      <c r="H140" s="10"/>
      <c r="I140" s="10" t="str">
        <f>IFERROR(__xludf.DUMMYFUNCTION("""COMPUTED_VALUE"""),"This cape smells faintly of brimstone. While wearing it, you can use it to cast Dimension Door as a Magic action. This property can't be used again until the next dawn.When you teleport with that spell, you leave behind a cloud of smoke. The space you lef"&amp;"t is Lightly Obscured by that smoke until the end of your next turn.")</f>
        <v>This cape smells faintly of brimstone. While wearing it, you can use it to cast Dimension Door as a Magic action. This property can't be used again until the next dawn.When you teleport with that spell, you leave behind a cloud of smoke. The space you left is Lightly Obscured by that smoke until the end of your next turn.</v>
      </c>
      <c r="L140" s="10">
        <f>IFERROR(__xludf.DUMMYFUNCTION("""COMPUTED_VALUE"""),750.0)</f>
        <v>750</v>
      </c>
    </row>
    <row r="141">
      <c r="A141" s="8" t="str">
        <f>IFERROR(__xludf.DUMMYFUNCTION("""COMPUTED_VALUE"""),"Ring of the Ram")</f>
        <v>Ring of the Ram</v>
      </c>
      <c r="B141" s="8" t="str">
        <f>IFERROR(__xludf.DUMMYFUNCTION("""COMPUTED_VALUE"""),"DMG'24")</f>
        <v>DMG'24</v>
      </c>
      <c r="C141" s="8" t="str">
        <f>IFERROR(__xludf.DUMMYFUNCTION("""COMPUTED_VALUE"""),"rare")</f>
        <v>rare</v>
      </c>
      <c r="D141" s="8" t="str">
        <f>IFERROR(__xludf.DUMMYFUNCTION("""COMPUTED_VALUE"""),"Ring")</f>
        <v>Ring</v>
      </c>
      <c r="E141" s="8" t="str">
        <f>IFERROR(__xludf.DUMMYFUNCTION("""COMPUTED_VALUE"""),"requires attunement")</f>
        <v>requires attunement</v>
      </c>
      <c r="F141" s="8"/>
      <c r="G141" s="8"/>
      <c r="H141" s="8"/>
      <c r="I141" s="8" t="str">
        <f>IFERROR(__xludf.DUMMYFUNCTION("""COMPUTED_VALUE"""),"This ring has 3 charges and regains 1d3 expended charges daily at dawn. While wearing the ring, you can take a Magic action to expend 1 to 3 charges to make a ranged spell attack against one creature you can see within 60 feet of yourself. The ring produc"&amp;"es a spectral ram's head and makes its attack roll with a +7 bonus. On a hit, for each charge you spend, the target takes 2d10 Force damage and is pushed 5 feet away from you.Alternatively, you can expend 1 to 3 of the ring's charges as a Magic action to "&amp;"try to break a nonmagical object you can see within 60 feet of yourself that isn't being worn or carried. The ring makes a Strength check with a +5 bonus for each charge you spend.")</f>
        <v>This ring has 3 charges and regains 1d3 expended charges daily at dawn. While wearing the ring, you can take a Magic action to expend 1 to 3 charges to make a ranged spell attack against one creature you can see within 60 feet of yourself. The ring produces a spectral ram's head and makes its attack roll with a +7 bonus. On a hit, for each charge you spend, the target takes 2d10 Force damage and is pushed 5 feet away from you.Alternatively, you can expend 1 to 3 of the ring's charges as a Magic action to try to break a nonmagical object you can see within 60 feet of yourself that isn't being worn or carried. The ring makes a Strength check with a +5 bonus for each charge you spend.</v>
      </c>
      <c r="L141" s="8">
        <f>IFERROR(__xludf.DUMMYFUNCTION("""COMPUTED_VALUE"""),750.0)</f>
        <v>750</v>
      </c>
    </row>
    <row r="142">
      <c r="A142" s="10" t="str">
        <f>IFERROR(__xludf.DUMMYFUNCTION("""COMPUTED_VALUE"""),"Ring of X-ray Vision")</f>
        <v>Ring of X-ray Vision</v>
      </c>
      <c r="B142" s="10" t="str">
        <f>IFERROR(__xludf.DUMMYFUNCTION("""COMPUTED_VALUE"""),"DMG'24")</f>
        <v>DMG'24</v>
      </c>
      <c r="C142" s="10" t="str">
        <f>IFERROR(__xludf.DUMMYFUNCTION("""COMPUTED_VALUE"""),"rare")</f>
        <v>rare</v>
      </c>
      <c r="D142" s="10" t="str">
        <f>IFERROR(__xludf.DUMMYFUNCTION("""COMPUTED_VALUE"""),"Ring")</f>
        <v>Ring</v>
      </c>
      <c r="E142" s="10" t="str">
        <f>IFERROR(__xludf.DUMMYFUNCTION("""COMPUTED_VALUE"""),"requires attunement")</f>
        <v>requires attunement</v>
      </c>
      <c r="F142" s="10"/>
      <c r="G142" s="10"/>
      <c r="H142" s="10"/>
      <c r="I142" s="10" t="str">
        <f>IFERROR(__xludf.DUMMYFUNCTION("""COMPUTED_VALUE"""),"While wearing this ring, you can take a Magic action to gain X-ray vision with a range of 30 feet for 1 minute. To you, solid objects within that radius appear transparent and don't prevent light from passing through them. The vision can penetrate 1 foot "&amp;"of stone, 1 inch of common metal, or up to 3 feet of wood or dirt. Thicker substances or a thin sheet of lead block the vision.Whenever you use the ring again before taking a Long Rest, you must succeed on a DC 15 Constitution saving throw or gain 1 Exhau"&amp;"stion level.")</f>
        <v>While wearing this ring, you can take a Magic action to gain X-ray vision with a range of 30 feet for 1 minute. To you, solid objects within that radius appear transparent and don't prevent light from passing through them. The vision can penetrate 1 foot of stone, 1 inch of common metal, or up to 3 feet of wood or dirt. Thicker substances or a thin sheet of lead block the vision.Whenever you use the ring again before taking a Long Rest, you must succeed on a DC 15 Constitution saving throw or gain 1 Exhaustion level.</v>
      </c>
      <c r="L142" s="10">
        <f>IFERROR(__xludf.DUMMYFUNCTION("""COMPUTED_VALUE"""),750.0)</f>
        <v>750</v>
      </c>
    </row>
    <row r="143">
      <c r="A143" s="8" t="str">
        <f>IFERROR(__xludf.DUMMYFUNCTION("""COMPUTED_VALUE"""),"Saddle of the Cavalier")</f>
        <v>Saddle of the Cavalier</v>
      </c>
      <c r="B143" s="8" t="str">
        <f>IFERROR(__xludf.DUMMYFUNCTION("""COMPUTED_VALUE"""),"DMG'24")</f>
        <v>DMG'24</v>
      </c>
      <c r="C143" s="8" t="str">
        <f>IFERROR(__xludf.DUMMYFUNCTION("""COMPUTED_VALUE"""),"uncommon")</f>
        <v>uncommon</v>
      </c>
      <c r="D143" s="8" t="str">
        <f>IFERROR(__xludf.DUMMYFUNCTION("""COMPUTED_VALUE"""),"Wondrous Item")</f>
        <v>Wondrous Item</v>
      </c>
      <c r="E143" s="8"/>
      <c r="F143" s="8"/>
      <c r="G143" s="8"/>
      <c r="H143" s="8"/>
      <c r="I143" s="8" t="str">
        <f>IFERROR(__xludf.DUMMYFUNCTION("""COMPUTED_VALUE"""),"While in this saddle on a mount, you can't be dismounted against your will if you're conscious, and attack rolls against the mount have disadvantage.")</f>
        <v>While in this saddle on a mount, you can't be dismounted against your will if you're conscious, and attack rolls against the mount have disadvantage.</v>
      </c>
      <c r="L143" s="8">
        <f>IFERROR(__xludf.DUMMYFUNCTION("""COMPUTED_VALUE"""),800.0)</f>
        <v>800</v>
      </c>
    </row>
    <row r="144">
      <c r="A144" s="10" t="str">
        <f>IFERROR(__xludf.DUMMYFUNCTION("""COMPUTED_VALUE"""),"Ring of Feather Falling")</f>
        <v>Ring of Feather Falling</v>
      </c>
      <c r="B144" s="10" t="str">
        <f>IFERROR(__xludf.DUMMYFUNCTION("""COMPUTED_VALUE"""),"DMG'24")</f>
        <v>DMG'24</v>
      </c>
      <c r="C144" s="10" t="str">
        <f>IFERROR(__xludf.DUMMYFUNCTION("""COMPUTED_VALUE"""),"rare")</f>
        <v>rare</v>
      </c>
      <c r="D144" s="10" t="str">
        <f>IFERROR(__xludf.DUMMYFUNCTION("""COMPUTED_VALUE"""),"Ring")</f>
        <v>Ring</v>
      </c>
      <c r="E144" s="10" t="str">
        <f>IFERROR(__xludf.DUMMYFUNCTION("""COMPUTED_VALUE"""),"requires attunement")</f>
        <v>requires attunement</v>
      </c>
      <c r="F144" s="10"/>
      <c r="G144" s="10"/>
      <c r="H144" s="10"/>
      <c r="I144" s="10" t="str">
        <f>IFERROR(__xludf.DUMMYFUNCTION("""COMPUTED_VALUE"""),"When you fall while wearing this ring, you descend 60 feet per round and take no damage from falling.")</f>
        <v>When you fall while wearing this ring, you descend 60 feet per round and take no damage from falling.</v>
      </c>
      <c r="L144" s="10">
        <f>IFERROR(__xludf.DUMMYFUNCTION("""COMPUTED_VALUE"""),800.0)</f>
        <v>800</v>
      </c>
    </row>
    <row r="145">
      <c r="A145" s="8" t="str">
        <f>IFERROR(__xludf.DUMMYFUNCTION("""COMPUTED_VALUE"""),"Ring of Poison Resistance")</f>
        <v>Ring of Poison Resistance</v>
      </c>
      <c r="B145" s="8" t="str">
        <f>IFERROR(__xludf.DUMMYFUNCTION("""COMPUTED_VALUE"""),"DMG'24")</f>
        <v>DMG'24</v>
      </c>
      <c r="C145" s="8" t="str">
        <f>IFERROR(__xludf.DUMMYFUNCTION("""COMPUTED_VALUE"""),"rare")</f>
        <v>rare</v>
      </c>
      <c r="D145" s="8" t="str">
        <f>IFERROR(__xludf.DUMMYFUNCTION("""COMPUTED_VALUE"""),"Ring")</f>
        <v>Ring</v>
      </c>
      <c r="E145" s="8"/>
      <c r="F145" s="8"/>
      <c r="G145" s="8"/>
      <c r="H145" s="8"/>
      <c r="I145" s="8" t="str">
        <f>IFERROR(__xludf.DUMMYFUNCTION("""COMPUTED_VALUE"""),"You have Resistance to Poison damage while wearing this ring. The ring is set with amethyst.")</f>
        <v>You have Resistance to Poison damage while wearing this ring. The ring is set with amethyst.</v>
      </c>
      <c r="L145" s="8">
        <f>IFERROR(__xludf.DUMMYFUNCTION("""COMPUTED_VALUE"""),800.0)</f>
        <v>800</v>
      </c>
    </row>
    <row r="146">
      <c r="A146" s="10" t="str">
        <f>IFERROR(__xludf.DUMMYFUNCTION("""COMPUTED_VALUE"""),"Boots of Elvenkind")</f>
        <v>Boots of Elvenkind</v>
      </c>
      <c r="B146" s="10" t="str">
        <f>IFERROR(__xludf.DUMMYFUNCTION("""COMPUTED_VALUE"""),"DMG'24")</f>
        <v>DMG'24</v>
      </c>
      <c r="C146" s="10" t="str">
        <f>IFERROR(__xludf.DUMMYFUNCTION("""COMPUTED_VALUE"""),"uncommon")</f>
        <v>uncommon</v>
      </c>
      <c r="D146" s="10" t="str">
        <f>IFERROR(__xludf.DUMMYFUNCTION("""COMPUTED_VALUE"""),"Wondrous Item")</f>
        <v>Wondrous Item</v>
      </c>
      <c r="E146" s="10"/>
      <c r="F146" s="10"/>
      <c r="G146" s="10"/>
      <c r="H146" s="10"/>
      <c r="I146" s="10" t="str">
        <f>IFERROR(__xludf.DUMMYFUNCTION("""COMPUTED_VALUE"""),"While you wear these boots, your steps make no sound, regardless of the surface you are moving across. You also have Advantage on Dexterity (Stealth) checks.")</f>
        <v>While you wear these boots, your steps make no sound, regardless of the surface you are moving across. You also have Advantage on Dexterity (Stealth) checks.</v>
      </c>
      <c r="L146" s="10">
        <f>IFERROR(__xludf.DUMMYFUNCTION("""COMPUTED_VALUE"""),850.0)</f>
        <v>850</v>
      </c>
    </row>
    <row r="147">
      <c r="A147" s="8" t="str">
        <f>IFERROR(__xludf.DUMMYFUNCTION("""COMPUTED_VALUE"""),"Cloak of the Bat")</f>
        <v>Cloak of the Bat</v>
      </c>
      <c r="B147" s="8" t="str">
        <f>IFERROR(__xludf.DUMMYFUNCTION("""COMPUTED_VALUE"""),"DMG'24")</f>
        <v>DMG'24</v>
      </c>
      <c r="C147" s="8" t="str">
        <f>IFERROR(__xludf.DUMMYFUNCTION("""COMPUTED_VALUE"""),"rare")</f>
        <v>rare</v>
      </c>
      <c r="D147" s="8" t="str">
        <f>IFERROR(__xludf.DUMMYFUNCTION("""COMPUTED_VALUE"""),"Wondrous Item")</f>
        <v>Wondrous Item</v>
      </c>
      <c r="E147" s="8" t="str">
        <f>IFERROR(__xludf.DUMMYFUNCTION("""COMPUTED_VALUE"""),"requires attunement")</f>
        <v>requires attunement</v>
      </c>
      <c r="F147" s="8"/>
      <c r="G147" s="8"/>
      <c r="H147" s="8"/>
      <c r="I147" s="8" t="str">
        <f>IFERROR(__xludf.DUMMYFUNCTION("""COMPUTED_VALUE"""),"While wearing this cloak, you have Advantage on Dexterity (Stealth) checks. In an area of Dim Light or Darkness, you can grip the edges of the cloak and use it to gain a Fly Speed of 40 feet. If you ever fail to grip the cloak's edges while flying in this"&amp;" way, or if you are no longer in Dim Light or Darkness, you lose this Fly Speed.While wearing the cloak in an area of Dim Light or Darkness, you can cast Polymorph on yourself, shape-shifting into a Bat. While in that form, you retain your Intelligence, W"&amp;"isdom, and Charisma scores. The cloak can't be used this way again until the next dawn.")</f>
        <v>While wearing this cloak, you have Advantage on Dexterity (Stealth) checks. In an area of Dim Light or Darkness, you can grip the edges of the cloak and use it to gain a Fly Speed of 40 feet. If you ever fail to grip the cloak's edges while flying in this way, or if you are no longer in Dim Light or Darkness, you lose this Fly Speed.While wearing the cloak in an area of Dim Light or Darkness, you can cast Polymorph on yourself, shape-shifting into a Bat. While in that form, you retain your Intelligence, Wisdom, and Charisma scores. The cloak can't be used this way again until the next dawn.</v>
      </c>
      <c r="L147" s="8">
        <f>IFERROR(__xludf.DUMMYFUNCTION("""COMPUTED_VALUE"""),850.0)</f>
        <v>850</v>
      </c>
    </row>
    <row r="148">
      <c r="A148" s="10" t="str">
        <f>IFERROR(__xludf.DUMMYFUNCTION("""COMPUTED_VALUE"""),"Rogue's Mantle")</f>
        <v>Rogue's Mantle</v>
      </c>
      <c r="B148" s="10" t="str">
        <f>IFERROR(__xludf.DUMMYFUNCTION("""COMPUTED_VALUE"""),"BMT")</f>
        <v>BMT</v>
      </c>
      <c r="C148" s="10" t="str">
        <f>IFERROR(__xludf.DUMMYFUNCTION("""COMPUTED_VALUE"""),"rare")</f>
        <v>rare</v>
      </c>
      <c r="D148" s="10" t="str">
        <f>IFERROR(__xludf.DUMMYFUNCTION("""COMPUTED_VALUE"""),"Wondrous Item")</f>
        <v>Wondrous Item</v>
      </c>
      <c r="E148" s="10" t="str">
        <f>IFERROR(__xludf.DUMMYFUNCTION("""COMPUTED_VALUE"""),"requires attunement")</f>
        <v>requires attunement</v>
      </c>
      <c r="F148" s="10"/>
      <c r="G148" s="10"/>
      <c r="H148" s="10"/>
      <c r="I148" s="10" t="str">
        <f>IFERROR(__xludf.DUMMYFUNCTION("""COMPUTED_VALUE"""),"This dark, hooded mantle of thick cloth is infused with secretive and deceptive magic. While wearing it, you gain the following benefits:Darkvision. You gain darkvision within a range of 60 feet. If you already have darkvision, the mantle increases your d"&amp;"arkvision's range by 60 feet instead. Move in Shadows. While you are in dim light or darkness, you can use a bonus action to teleport, along with anything you are wearing or carrying, up to 30 feet to an unoccupied space you can see that is also in dim li"&amp;"ght or darkness. You then have advantage on the first melee attack you make before the end of the turn. Willful Enmity. You can cast the Antagonize spell (save DC 15) from the mantle. Once the mantle has cast the spell, it can't cast the spell again until"&amp;" the next dawn.")</f>
        <v>This dark, hooded mantle of thick cloth is infused with secretive and deceptive magic. While wearing it, you gain the following benefits:Darkvision.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v>
      </c>
      <c r="L148" s="10">
        <f>IFERROR(__xludf.DUMMYFUNCTION("""COMPUTED_VALUE"""),850.0)</f>
        <v>850</v>
      </c>
    </row>
    <row r="149">
      <c r="A149" s="8" t="str">
        <f>IFERROR(__xludf.DUMMYFUNCTION("""COMPUTED_VALUE"""),"Rope of Entanglement")</f>
        <v>Rope of Entanglement</v>
      </c>
      <c r="B149" s="8" t="str">
        <f>IFERROR(__xludf.DUMMYFUNCTION("""COMPUTED_VALUE"""),"DMG'24")</f>
        <v>DMG'24</v>
      </c>
      <c r="C149" s="8" t="str">
        <f>IFERROR(__xludf.DUMMYFUNCTION("""COMPUTED_VALUE"""),"rare")</f>
        <v>rare</v>
      </c>
      <c r="D149" s="8" t="str">
        <f>IFERROR(__xludf.DUMMYFUNCTION("""COMPUTED_VALUE"""),"Wondrous Item")</f>
        <v>Wondrous Item</v>
      </c>
      <c r="E149" s="8"/>
      <c r="F149" s="8"/>
      <c r="G149" s="8"/>
      <c r="H149" s="8"/>
      <c r="I149" s="8" t="str">
        <f>IFERROR(__xludf.DUMMYFUNCTION("""COMPUTED_VALUE"""),"This rope is 30 feet long. While holding one end of the rope, you can take a Magic action to command the other end to dart forward and entangle one creature you can see within 20 feet of yourself. The target must succeed on a DC 15 Dexterity saving throw "&amp;"or have the Restrained condition. You can release the target by letting go of your end of the rope (causing the rope to coil up in the target's space) or by using a Bonus Action to repeat the command (causing the rope to coil up in your hand).A target Res"&amp;"trained by the rope can take an action to make its choice of a DC 15 Strength (Athletics) or Dexterity (Acrobatics) check. On a successful check, the target is no longer Restrained by the rope. If you're still holding onto the rope when a target escapes f"&amp;"rom it, you can take a Reaction to command the rope to coil up in your hand; otherwise, the rope coils up in the target's space.The rope has AC 20, HP 20, and Immunity to Poison and Psychic damage. It regains 1 Hit Point every 5 minutes as long as it has "&amp;"at least 1 Hit Point. If the rope drops to 0 Hit Points, it is destroyed.")</f>
        <v>This rope is 30 feet long. While holding one end of the rope, you can take a Magic action to command the other end to dart forward and entangle one creature you can see within 20 feet of yourself. The target must succeed on a DC 15 Dexterity saving throw or have the Restrained condition. You can release the target by letting go of your end of the rope (causing the rope to coil up in the target's space) or by using a Bonus Action to repeat the command (causing the rope to coil up in your hand).A target Restrained by the rope can take an action to make its choice of a DC 15 Strength (Athletics) or Dexterity (Acrobatics) check. On a successful check, the target is no longer Restrained by the rope. If you're still holding onto the rope when a target escapes from it, you can take a Reaction to command the rope to coil up in your hand; otherwise, the rope coils up in the target's space.The rope has AC 20, HP 20, and Immunity to Poison and Psychic damage. It regains 1 Hit Point every 5 minutes as long as it has at least 1 Hit Point. If the rope drops to 0 Hit Points, it is destroyed.</v>
      </c>
      <c r="L149" s="8">
        <f>IFERROR(__xludf.DUMMYFUNCTION("""COMPUTED_VALUE"""),850.0)</f>
        <v>850</v>
      </c>
    </row>
    <row r="150">
      <c r="A150" s="10" t="str">
        <f>IFERROR(__xludf.DUMMYFUNCTION("""COMPUTED_VALUE"""),"Wayfarer's Boots")</f>
        <v>Wayfarer's Boots</v>
      </c>
      <c r="B150" s="10" t="str">
        <f>IFERROR(__xludf.DUMMYFUNCTION("""COMPUTED_VALUE"""),"BGG")</f>
        <v>BGG</v>
      </c>
      <c r="C150" s="10" t="str">
        <f>IFERROR(__xludf.DUMMYFUNCTION("""COMPUTED_VALUE"""),"rare")</f>
        <v>rare</v>
      </c>
      <c r="D150" s="10" t="str">
        <f>IFERROR(__xludf.DUMMYFUNCTION("""COMPUTED_VALUE"""),"Wondrous Item")</f>
        <v>Wondrous Item</v>
      </c>
      <c r="E150" s="10" t="str">
        <f>IFERROR(__xludf.DUMMYFUNCTION("""COMPUTED_VALUE"""),"requires attunement")</f>
        <v>requires attunement</v>
      </c>
      <c r="F150" s="10"/>
      <c r="G150" s="10"/>
      <c r="H150" s="10"/>
      <c r="I150" s="10" t="str">
        <f>IFERROR(__xludf.DUMMYFUNCTION("""COMPUTED_VALUE"""),"This pair of boots is made of durable cloth, with the journey rune stitched in golden thread above each heel. While you are wearing this item, your walking speed increases by 10 feet, and you have advantage on Wisdom (Survival) checks. Invoking the Runes."&amp;" As a bonus action, you can invoke the boots' runes to cast the expeditious retreat spell with them. Once the runes have been invoked, they can't be invoked again until the next dawn.")</f>
        <v>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v>
      </c>
      <c r="L150" s="10">
        <f>IFERROR(__xludf.DUMMYFUNCTION("""COMPUTED_VALUE"""),900.0)</f>
        <v>900</v>
      </c>
    </row>
    <row r="151">
      <c r="A151" s="8" t="str">
        <f>IFERROR(__xludf.DUMMYFUNCTION("""COMPUTED_VALUE"""),"Ring of Free Action")</f>
        <v>Ring of Free Action</v>
      </c>
      <c r="B151" s="8" t="str">
        <f>IFERROR(__xludf.DUMMYFUNCTION("""COMPUTED_VALUE"""),"DMG'24")</f>
        <v>DMG'24</v>
      </c>
      <c r="C151" s="8" t="str">
        <f>IFERROR(__xludf.DUMMYFUNCTION("""COMPUTED_VALUE"""),"rare")</f>
        <v>rare</v>
      </c>
      <c r="D151" s="8" t="str">
        <f>IFERROR(__xludf.DUMMYFUNCTION("""COMPUTED_VALUE"""),"Ring")</f>
        <v>Ring</v>
      </c>
      <c r="E151" s="8" t="str">
        <f>IFERROR(__xludf.DUMMYFUNCTION("""COMPUTED_VALUE"""),"requires attunement")</f>
        <v>requires attunement</v>
      </c>
      <c r="F151" s="8"/>
      <c r="G151" s="8"/>
      <c r="H151" s="8"/>
      <c r="I151" s="8" t="str">
        <f>IFERROR(__xludf.DUMMYFUNCTION("""COMPUTED_VALUE"""),"While you wear this ring, Difficult Terrain doesn't cost you extra movement. In addition, magic can neither reduce any of your Speeds nor cause you to have the Paralyzed or Restrained condition.")</f>
        <v>While you wear this ring, Difficult Terrain doesn't cost you extra movement. In addition, magic can neither reduce any of your Speeds nor cause you to have the Paralyzed or Restrained condition.</v>
      </c>
      <c r="L151" s="8">
        <f>IFERROR(__xludf.DUMMYFUNCTION("""COMPUTED_VALUE"""),950.0)</f>
        <v>950</v>
      </c>
    </row>
    <row r="152">
      <c r="A152" s="10" t="str">
        <f>IFERROR(__xludf.DUMMYFUNCTION("""COMPUTED_VALUE"""),"Boots of Speed")</f>
        <v>Boots of Speed</v>
      </c>
      <c r="B152" s="10" t="str">
        <f>IFERROR(__xludf.DUMMYFUNCTION("""COMPUTED_VALUE"""),"DMG'24")</f>
        <v>DMG'24</v>
      </c>
      <c r="C152" s="10" t="str">
        <f>IFERROR(__xludf.DUMMYFUNCTION("""COMPUTED_VALUE"""),"rare")</f>
        <v>rare</v>
      </c>
      <c r="D152" s="10" t="str">
        <f>IFERROR(__xludf.DUMMYFUNCTION("""COMPUTED_VALUE"""),"Wondrous Item")</f>
        <v>Wondrous Item</v>
      </c>
      <c r="E152" s="10" t="str">
        <f>IFERROR(__xludf.DUMMYFUNCTION("""COMPUTED_VALUE"""),"requires attunement")</f>
        <v>requires attunement</v>
      </c>
      <c r="F152" s="10"/>
      <c r="G152" s="10"/>
      <c r="H152" s="10"/>
      <c r="I152" s="10" t="str">
        <f>IFERROR(__xludf.DUMMYFUNCTION("""COMPUTED_VALUE"""),"While you wear these boots, you can take a Bonus Action to click the boots' heels together. If you do, the boots double your Speed, and any creature that makes an Opportunity Attack against you has Disadvantage on the attack roll. If you click your heels "&amp;"together again, you end the effect.When you've used the boots' property for a total of 10 minutes, the magic ceases to function for you until you finish a Long Rest.")</f>
        <v>While you wear these boots, you can take a Bonus Action to click the boots' heels together. If you do, the boots double your Speed, and any creature that makes an Opportunity Attack against you has Disadvantage on the attack roll. If you click your heels together again, you end the effect.When you've used the boots' property for a total of 10 minutes, the magic ceases to function for you until you finish a Long Rest.</v>
      </c>
      <c r="L152" s="10">
        <f>IFERROR(__xludf.DUMMYFUNCTION("""COMPUTED_VALUE"""),1000.0)</f>
        <v>1000</v>
      </c>
    </row>
    <row r="153">
      <c r="A153" s="8" t="str">
        <f>IFERROR(__xludf.DUMMYFUNCTION("""COMPUTED_VALUE"""),"Bracers of Celerity")</f>
        <v>Bracers of Celerity</v>
      </c>
      <c r="B153" s="8" t="str">
        <f>IFERROR(__xludf.DUMMYFUNCTION("""COMPUTED_VALUE"""),"PaBTSO")</f>
        <v>PaBTSO</v>
      </c>
      <c r="C153" s="8" t="str">
        <f>IFERROR(__xludf.DUMMYFUNCTION("""COMPUTED_VALUE"""),"rare")</f>
        <v>rare</v>
      </c>
      <c r="D153" s="8" t="str">
        <f>IFERROR(__xludf.DUMMYFUNCTION("""COMPUTED_VALUE"""),"Wondrous Item")</f>
        <v>Wondrous Item</v>
      </c>
      <c r="E153" s="8" t="str">
        <f>IFERROR(__xludf.DUMMYFUNCTION("""COMPUTED_VALUE"""),"requires attunement")</f>
        <v>requires attunement</v>
      </c>
      <c r="F153" s="8"/>
      <c r="G153" s="8"/>
      <c r="H153" s="8"/>
      <c r="I153" s="8" t="str">
        <f>IFERROR(__xludf.DUMMYFUNCTION("""COMPUTED_VALUE"""),"This pair of lightweight bronze bracers is lined with soft, purple velvet and engraved with swirling designs.While you're wearing these bracers, all your speeds increase by 10 feet, and you have advantage on saving throws you make to avoid or end the para"&amp;"lyzed or restrained condition on yourself.")</f>
        <v>This pair of lightweight bronze bracers is lined with soft, purple velvet and engraved with swirling designs.While you're wearing these bracers, all your speeds increase by 10 feet, and you have advantage on saving throws you make to avoid or end the paralyzed or restrained condition on yourself.</v>
      </c>
      <c r="L153" s="8">
        <f>IFERROR(__xludf.DUMMYFUNCTION("""COMPUTED_VALUE"""),1000.0)</f>
        <v>1000</v>
      </c>
    </row>
    <row r="154">
      <c r="A154" s="10" t="str">
        <f>IFERROR(__xludf.DUMMYFUNCTION("""COMPUTED_VALUE"""),"Iron Bands of Bilarro")</f>
        <v>Iron Bands of Bilarro</v>
      </c>
      <c r="B154" s="10" t="str">
        <f>IFERROR(__xludf.DUMMYFUNCTION("""COMPUTED_VALUE"""),"DMG'24")</f>
        <v>DMG'24</v>
      </c>
      <c r="C154" s="10" t="str">
        <f>IFERROR(__xludf.DUMMYFUNCTION("""COMPUTED_VALUE"""),"rare")</f>
        <v>rare</v>
      </c>
      <c r="D154" s="10" t="str">
        <f>IFERROR(__xludf.DUMMYFUNCTION("""COMPUTED_VALUE"""),"Wondrous Item")</f>
        <v>Wondrous Item</v>
      </c>
      <c r="E154" s="10"/>
      <c r="F154" s="10"/>
      <c r="G154" s="10"/>
      <c r="H154" s="10"/>
      <c r="I154" s="10" t="str">
        <f>IFERROR(__xludf.DUMMYFUNCTION("""COMPUTED_VALUE"""),"This rusty iron sphere measures 3 inches in diameter and weighs 1 pound. You can take a Magic action to throw the sphere at a Huge or smaller creature you can see within 60 feet of yourself. As the sphere moves through the air, it opens into a tangle of m"&amp;"etal bands.Make a ranged attack roll with an attack bonus equal to your Dexterity modifier plus your Proficiency Bonus. On a hit, the target has the Restrained condition until you take a Bonus Action to issue a command that releases it. Doing so or missin"&amp;"g with the attack causes the bands to contract and become a sphere once more.A creature that can touch the bands, including the one Restrained, can take an action to make a DC 20 Strength (Athletics) check to break the iron bands. On a successful check, t"&amp;"he item is destroyed, and the Restrained creature is freed. On a failed check, any further attempts made by that creature automatically fail until 24 hours have elapsed.Once the bands are used, they can't be used again until the next dawn.")</f>
        <v>This rusty iron sphere measures 3 inches in diameter and weighs 1 pound. You can take a Magic action to throw the sphere at a Huge or smaller creature you can see within 60 feet of yourself. As the sphere moves through the air, it opens into a tangle of metal bands.Make a ranged attack roll with an attack bonus equal to your Dexterity modifier plus your Proficiency Bonus. On a hit, the target has the Restrained condition until you take a Bonus Action to issue a command that releases it. Doing so or missing with the attack causes the bands to contract and become a sphere once more.A creature that can touch the bands, including the one Restrained, can take an action to make a DC 20 Strength (Athletics) check to break the iron bands. On a successful check, the item is destroyed, and the Restrained creature is freed. On a failed check, any further attempts made by that creature automatically fail until 24 hours have elapsed.Once the bands are used, they can't be used again until the next dawn.</v>
      </c>
      <c r="L154" s="10">
        <f>IFERROR(__xludf.DUMMYFUNCTION("""COMPUTED_VALUE"""),1000.0)</f>
        <v>1000</v>
      </c>
    </row>
    <row r="155">
      <c r="A155" s="8" t="str">
        <f>IFERROR(__xludf.DUMMYFUNCTION("""COMPUTED_VALUE"""),"Ring of Acid Resistance")</f>
        <v>Ring of Acid Resistance</v>
      </c>
      <c r="B155" s="8" t="str">
        <f>IFERROR(__xludf.DUMMYFUNCTION("""COMPUTED_VALUE"""),"DMG'24")</f>
        <v>DMG'24</v>
      </c>
      <c r="C155" s="8" t="str">
        <f>IFERROR(__xludf.DUMMYFUNCTION("""COMPUTED_VALUE"""),"rare")</f>
        <v>rare</v>
      </c>
      <c r="D155" s="8" t="str">
        <f>IFERROR(__xludf.DUMMYFUNCTION("""COMPUTED_VALUE"""),"Ring")</f>
        <v>Ring</v>
      </c>
      <c r="E155" s="8"/>
      <c r="F155" s="8"/>
      <c r="G155" s="8"/>
      <c r="H155" s="8"/>
      <c r="I155" s="8" t="str">
        <f>IFERROR(__xludf.DUMMYFUNCTION("""COMPUTED_VALUE"""),"You have Resistance to Acid damage while wearing this ring. The ring is set with pearl.")</f>
        <v>You have Resistance to Acid damage while wearing this ring. The ring is set with pearl.</v>
      </c>
      <c r="L155" s="8">
        <f>IFERROR(__xludf.DUMMYFUNCTION("""COMPUTED_VALUE"""),1000.0)</f>
        <v>1000</v>
      </c>
    </row>
    <row r="156">
      <c r="A156" s="10" t="str">
        <f>IFERROR(__xludf.DUMMYFUNCTION("""COMPUTED_VALUE"""),"Ring of Cold Resistance")</f>
        <v>Ring of Cold Resistance</v>
      </c>
      <c r="B156" s="10" t="str">
        <f>IFERROR(__xludf.DUMMYFUNCTION("""COMPUTED_VALUE"""),"DMG'24")</f>
        <v>DMG'24</v>
      </c>
      <c r="C156" s="10" t="str">
        <f>IFERROR(__xludf.DUMMYFUNCTION("""COMPUTED_VALUE"""),"rare")</f>
        <v>rare</v>
      </c>
      <c r="D156" s="10" t="str">
        <f>IFERROR(__xludf.DUMMYFUNCTION("""COMPUTED_VALUE"""),"Ring")</f>
        <v>Ring</v>
      </c>
      <c r="E156" s="10"/>
      <c r="F156" s="10"/>
      <c r="G156" s="10"/>
      <c r="H156" s="10"/>
      <c r="I156" s="10" t="str">
        <f>IFERROR(__xludf.DUMMYFUNCTION("""COMPUTED_VALUE"""),"You have Resistance to Cold damage while wearing this ring. The ring is set with tourmaline.")</f>
        <v>You have Resistance to Cold damage while wearing this ring. The ring is set with tourmaline.</v>
      </c>
      <c r="L156" s="10">
        <f>IFERROR(__xludf.DUMMYFUNCTION("""COMPUTED_VALUE"""),1000.0)</f>
        <v>1000</v>
      </c>
    </row>
    <row r="157">
      <c r="A157" s="8" t="str">
        <f>IFERROR(__xludf.DUMMYFUNCTION("""COMPUTED_VALUE"""),"Ring of Fire Resistance")</f>
        <v>Ring of Fire Resistance</v>
      </c>
      <c r="B157" s="8" t="str">
        <f>IFERROR(__xludf.DUMMYFUNCTION("""COMPUTED_VALUE"""),"DMG'24")</f>
        <v>DMG'24</v>
      </c>
      <c r="C157" s="8" t="str">
        <f>IFERROR(__xludf.DUMMYFUNCTION("""COMPUTED_VALUE"""),"rare")</f>
        <v>rare</v>
      </c>
      <c r="D157" s="8" t="str">
        <f>IFERROR(__xludf.DUMMYFUNCTION("""COMPUTED_VALUE"""),"Ring")</f>
        <v>Ring</v>
      </c>
      <c r="E157" s="8"/>
      <c r="F157" s="8"/>
      <c r="G157" s="8"/>
      <c r="H157" s="8"/>
      <c r="I157" s="8" t="str">
        <f>IFERROR(__xludf.DUMMYFUNCTION("""COMPUTED_VALUE"""),"You have Resistance to Fire damage while wearing this ring. The ring is set with garnet.")</f>
        <v>You have Resistance to Fire damage while wearing this ring. The ring is set with garnet.</v>
      </c>
      <c r="L157" s="8">
        <f>IFERROR(__xludf.DUMMYFUNCTION("""COMPUTED_VALUE"""),1000.0)</f>
        <v>1000</v>
      </c>
    </row>
    <row r="158">
      <c r="A158" s="10" t="str">
        <f>IFERROR(__xludf.DUMMYFUNCTION("""COMPUTED_VALUE"""),"Ring of Lightning Resistance")</f>
        <v>Ring of Lightning Resistance</v>
      </c>
      <c r="B158" s="10" t="str">
        <f>IFERROR(__xludf.DUMMYFUNCTION("""COMPUTED_VALUE"""),"DMG'24")</f>
        <v>DMG'24</v>
      </c>
      <c r="C158" s="10" t="str">
        <f>IFERROR(__xludf.DUMMYFUNCTION("""COMPUTED_VALUE"""),"rare")</f>
        <v>rare</v>
      </c>
      <c r="D158" s="10" t="str">
        <f>IFERROR(__xludf.DUMMYFUNCTION("""COMPUTED_VALUE"""),"Ring")</f>
        <v>Ring</v>
      </c>
      <c r="E158" s="10"/>
      <c r="F158" s="10"/>
      <c r="G158" s="10"/>
      <c r="H158" s="10"/>
      <c r="I158" s="10" t="str">
        <f>IFERROR(__xludf.DUMMYFUNCTION("""COMPUTED_VALUE"""),"You have Resistance to Lightning damage while wearing this ring. The ring is set with citrine.")</f>
        <v>You have Resistance to Lightning damage while wearing this ring. The ring is set with citrine.</v>
      </c>
      <c r="L158" s="10">
        <f>IFERROR(__xludf.DUMMYFUNCTION("""COMPUTED_VALUE"""),1000.0)</f>
        <v>1000</v>
      </c>
    </row>
    <row r="159">
      <c r="A159" s="8" t="str">
        <f>IFERROR(__xludf.DUMMYFUNCTION("""COMPUTED_VALUE"""),"Ring of Necrotic Resistance")</f>
        <v>Ring of Necrotic Resistance</v>
      </c>
      <c r="B159" s="8" t="str">
        <f>IFERROR(__xludf.DUMMYFUNCTION("""COMPUTED_VALUE"""),"DMG'24")</f>
        <v>DMG'24</v>
      </c>
      <c r="C159" s="8" t="str">
        <f>IFERROR(__xludf.DUMMYFUNCTION("""COMPUTED_VALUE"""),"rare")</f>
        <v>rare</v>
      </c>
      <c r="D159" s="8" t="str">
        <f>IFERROR(__xludf.DUMMYFUNCTION("""COMPUTED_VALUE"""),"Ring")</f>
        <v>Ring</v>
      </c>
      <c r="E159" s="8"/>
      <c r="F159" s="8"/>
      <c r="G159" s="8"/>
      <c r="H159" s="8"/>
      <c r="I159" s="8" t="str">
        <f>IFERROR(__xludf.DUMMYFUNCTION("""COMPUTED_VALUE"""),"You have Resistance to Necrotic damage while wearing this ring. The ring is set with jet.")</f>
        <v>You have Resistance to Necrotic damage while wearing this ring. The ring is set with jet.</v>
      </c>
      <c r="L159" s="8">
        <f>IFERROR(__xludf.DUMMYFUNCTION("""COMPUTED_VALUE"""),1000.0)</f>
        <v>1000</v>
      </c>
    </row>
    <row r="160">
      <c r="A160" s="10" t="str">
        <f>IFERROR(__xludf.DUMMYFUNCTION("""COMPUTED_VALUE"""),"Ring of Protection")</f>
        <v>Ring of Protection</v>
      </c>
      <c r="B160" s="10" t="str">
        <f>IFERROR(__xludf.DUMMYFUNCTION("""COMPUTED_VALUE"""),"DMG'24")</f>
        <v>DMG'24</v>
      </c>
      <c r="C160" s="10" t="str">
        <f>IFERROR(__xludf.DUMMYFUNCTION("""COMPUTED_VALUE"""),"rare")</f>
        <v>rare</v>
      </c>
      <c r="D160" s="10" t="str">
        <f>IFERROR(__xludf.DUMMYFUNCTION("""COMPUTED_VALUE"""),"Ring")</f>
        <v>Ring</v>
      </c>
      <c r="E160" s="10" t="str">
        <f>IFERROR(__xludf.DUMMYFUNCTION("""COMPUTED_VALUE"""),"requires attunement")</f>
        <v>requires attunement</v>
      </c>
      <c r="F160" s="10"/>
      <c r="G160" s="10"/>
      <c r="H160" s="10"/>
      <c r="I160" s="10" t="str">
        <f>IFERROR(__xludf.DUMMYFUNCTION("""COMPUTED_VALUE"""),"You gain a +1 bonus to Armor Class and saving throws while wearing this ring.")</f>
        <v>You gain a +1 bonus to Armor Class and saving throws while wearing this ring.</v>
      </c>
      <c r="L160" s="10">
        <f>IFERROR(__xludf.DUMMYFUNCTION("""COMPUTED_VALUE"""),1000.0)</f>
        <v>1000</v>
      </c>
    </row>
    <row r="161">
      <c r="A161" s="8" t="str">
        <f>IFERROR(__xludf.DUMMYFUNCTION("""COMPUTED_VALUE"""),"Ring of Psychic Resistance")</f>
        <v>Ring of Psychic Resistance</v>
      </c>
      <c r="B161" s="8" t="str">
        <f>IFERROR(__xludf.DUMMYFUNCTION("""COMPUTED_VALUE"""),"DMG'24")</f>
        <v>DMG'24</v>
      </c>
      <c r="C161" s="8" t="str">
        <f>IFERROR(__xludf.DUMMYFUNCTION("""COMPUTED_VALUE"""),"rare")</f>
        <v>rare</v>
      </c>
      <c r="D161" s="8" t="str">
        <f>IFERROR(__xludf.DUMMYFUNCTION("""COMPUTED_VALUE"""),"Ring")</f>
        <v>Ring</v>
      </c>
      <c r="E161" s="8"/>
      <c r="F161" s="8"/>
      <c r="G161" s="8"/>
      <c r="H161" s="8"/>
      <c r="I161" s="8" t="str">
        <f>IFERROR(__xludf.DUMMYFUNCTION("""COMPUTED_VALUE"""),"You have Resistance to Psychic damage while wearing this ring. The ring is set with jade.")</f>
        <v>You have Resistance to Psychic damage while wearing this ring. The ring is set with jade.</v>
      </c>
      <c r="L161" s="8">
        <f>IFERROR(__xludf.DUMMYFUNCTION("""COMPUTED_VALUE"""),1000.0)</f>
        <v>1000</v>
      </c>
    </row>
    <row r="162">
      <c r="A162" s="10" t="str">
        <f>IFERROR(__xludf.DUMMYFUNCTION("""COMPUTED_VALUE"""),"Ring of Radiant Resistance")</f>
        <v>Ring of Radiant Resistance</v>
      </c>
      <c r="B162" s="10" t="str">
        <f>IFERROR(__xludf.DUMMYFUNCTION("""COMPUTED_VALUE"""),"DMG'24")</f>
        <v>DMG'24</v>
      </c>
      <c r="C162" s="10" t="str">
        <f>IFERROR(__xludf.DUMMYFUNCTION("""COMPUTED_VALUE"""),"rare")</f>
        <v>rare</v>
      </c>
      <c r="D162" s="10" t="str">
        <f>IFERROR(__xludf.DUMMYFUNCTION("""COMPUTED_VALUE"""),"Ring")</f>
        <v>Ring</v>
      </c>
      <c r="E162" s="10"/>
      <c r="F162" s="10"/>
      <c r="G162" s="10"/>
      <c r="H162" s="10"/>
      <c r="I162" s="10" t="str">
        <f>IFERROR(__xludf.DUMMYFUNCTION("""COMPUTED_VALUE"""),"You have Resistance to Radiant damage while wearing this ring. The ring is set with topaz.")</f>
        <v>You have Resistance to Radiant damage while wearing this ring. The ring is set with topaz.</v>
      </c>
      <c r="L162" s="10">
        <f>IFERROR(__xludf.DUMMYFUNCTION("""COMPUTED_VALUE"""),1000.0)</f>
        <v>1000</v>
      </c>
    </row>
    <row r="163">
      <c r="A163" s="8" t="str">
        <f>IFERROR(__xludf.DUMMYFUNCTION("""COMPUTED_VALUE"""),"Ring of Thunder Resistance")</f>
        <v>Ring of Thunder Resistance</v>
      </c>
      <c r="B163" s="8" t="str">
        <f>IFERROR(__xludf.DUMMYFUNCTION("""COMPUTED_VALUE"""),"DMG'24")</f>
        <v>DMG'24</v>
      </c>
      <c r="C163" s="8" t="str">
        <f>IFERROR(__xludf.DUMMYFUNCTION("""COMPUTED_VALUE"""),"rare")</f>
        <v>rare</v>
      </c>
      <c r="D163" s="8" t="str">
        <f>IFERROR(__xludf.DUMMYFUNCTION("""COMPUTED_VALUE"""),"Ring")</f>
        <v>Ring</v>
      </c>
      <c r="E163" s="8"/>
      <c r="F163" s="8"/>
      <c r="G163" s="8"/>
      <c r="H163" s="8"/>
      <c r="I163" s="8" t="str">
        <f>IFERROR(__xludf.DUMMYFUNCTION("""COMPUTED_VALUE"""),"You have Resistance to Thunder damage while wearing this ring. The ring is set with spinel.")</f>
        <v>You have Resistance to Thunder damage while wearing this ring. The ring is set with spinel.</v>
      </c>
      <c r="L163" s="8">
        <f>IFERROR(__xludf.DUMMYFUNCTION("""COMPUTED_VALUE"""),1000.0)</f>
        <v>1000</v>
      </c>
    </row>
    <row r="164">
      <c r="A164" s="10" t="str">
        <f>IFERROR(__xludf.DUMMYFUNCTION("""COMPUTED_VALUE"""),"Robe of Eyes")</f>
        <v>Robe of Eyes</v>
      </c>
      <c r="B164" s="10" t="str">
        <f>IFERROR(__xludf.DUMMYFUNCTION("""COMPUTED_VALUE"""),"DMG'24")</f>
        <v>DMG'24</v>
      </c>
      <c r="C164" s="10" t="str">
        <f>IFERROR(__xludf.DUMMYFUNCTION("""COMPUTED_VALUE"""),"rare")</f>
        <v>rare</v>
      </c>
      <c r="D164" s="10" t="str">
        <f>IFERROR(__xludf.DUMMYFUNCTION("""COMPUTED_VALUE"""),"Wondrous Item")</f>
        <v>Wondrous Item</v>
      </c>
      <c r="E164" s="10" t="str">
        <f>IFERROR(__xludf.DUMMYFUNCTION("""COMPUTED_VALUE"""),"requires attunement")</f>
        <v>requires attunement</v>
      </c>
      <c r="F164" s="10"/>
      <c r="G164" s="10"/>
      <c r="H164" s="10"/>
      <c r="I164" s="10" t="str">
        <f>IFERROR(__xludf.DUMMYFUNCTION("""COMPUTED_VALUE"""),"This robe is adorned with eyelike patterns. While you wear the robe, you gain the following benefits:All-Around Vision. The robe gives you Advantage on Wisdom (Perception) checks that rely on sight. Special Senses. You have Darkvision and Truesight, both "&amp;"with a range of 120 feet. Drawbacks. A Light spell cast on the robe or a Daylight spell cast within 5 feet of the robe gives you the Blinded condition for 1 minute. At the end of each of your turns, you make a Constitution saving throw (DC 11 for Light or"&amp;" DC 15 for Daylight), ending the condition on yourself on a success.")</f>
        <v>This robe is adorned with eyelike patterns. While you wear the robe, you gain the following benefits:All-Around Vision. The robe gives you Advantage on Wisdom (Perception) checks that rely on sight. Special Senses. You have Darkvision and Truesight, both with a range of 120 feet. Drawbacks. A Light spell cast on the robe or a Daylight spell cast within 5 feet of the robe gives you the Blinded condition for 1 minute. At the end of each of your turns, you make a Constitution saving throw (DC 11 for Light or DC 15 for Daylight), ending the condition on yourself on a success.</v>
      </c>
      <c r="L164" s="10">
        <f>IFERROR(__xludf.DUMMYFUNCTION("""COMPUTED_VALUE"""),1000.0)</f>
        <v>1000</v>
      </c>
    </row>
    <row r="165">
      <c r="A165" s="8" t="str">
        <f>IFERROR(__xludf.DUMMYFUNCTION("""COMPUTED_VALUE"""),"Ioun Stone, Awareness")</f>
        <v>Ioun Stone, Awareness</v>
      </c>
      <c r="B165" s="8" t="str">
        <f>IFERROR(__xludf.DUMMYFUNCTION("""COMPUTED_VALUE"""),"DMG'24")</f>
        <v>DMG'24</v>
      </c>
      <c r="C165" s="8" t="str">
        <f>IFERROR(__xludf.DUMMYFUNCTION("""COMPUTED_VALUE"""),"rare")</f>
        <v>rare</v>
      </c>
      <c r="D165" s="8" t="str">
        <f>IFERROR(__xludf.DUMMYFUNCTION("""COMPUTED_VALUE"""),"Wondrous Item")</f>
        <v>Wondrous Item</v>
      </c>
      <c r="E165" s="8" t="str">
        <f>IFERROR(__xludf.DUMMYFUNCTION("""COMPUTED_VALUE"""),"requires attunement")</f>
        <v>requires attunement</v>
      </c>
      <c r="F165" s="8"/>
      <c r="G165" s="8"/>
      <c r="H165" s="8"/>
      <c r="I165"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it.While this dark-blue rhomboid orbits your head, you have Advantage on Initiative rolls and Wisdom (Perception) checks.")</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it.While this dark-blue rhomboid orbits your head, you have Advantage on Initiative rolls and Wisdom (Perception) checks.</v>
      </c>
      <c r="L165" s="8">
        <f>IFERROR(__xludf.DUMMYFUNCTION("""COMPUTED_VALUE"""),1100.0)</f>
        <v>1100</v>
      </c>
    </row>
    <row r="166">
      <c r="A166" s="10" t="str">
        <f>IFERROR(__xludf.DUMMYFUNCTION("""COMPUTED_VALUE"""),"Ring of Evasion")</f>
        <v>Ring of Evasion</v>
      </c>
      <c r="B166" s="10" t="str">
        <f>IFERROR(__xludf.DUMMYFUNCTION("""COMPUTED_VALUE"""),"DMG'24")</f>
        <v>DMG'24</v>
      </c>
      <c r="C166" s="10" t="str">
        <f>IFERROR(__xludf.DUMMYFUNCTION("""COMPUTED_VALUE"""),"rare")</f>
        <v>rare</v>
      </c>
      <c r="D166" s="10" t="str">
        <f>IFERROR(__xludf.DUMMYFUNCTION("""COMPUTED_VALUE"""),"Ring")</f>
        <v>Ring</v>
      </c>
      <c r="E166" s="10" t="str">
        <f>IFERROR(__xludf.DUMMYFUNCTION("""COMPUTED_VALUE"""),"requires attunement")</f>
        <v>requires attunement</v>
      </c>
      <c r="F166" s="10"/>
      <c r="G166" s="10"/>
      <c r="H166" s="10"/>
      <c r="I166" s="10" t="str">
        <f>IFERROR(__xludf.DUMMYFUNCTION("""COMPUTED_VALUE"""),"This ring has 3 charges, and it regains 1d3 expended charges daily at dawn. When you fail a Dexterity saving throw while wearing the ring, you can take a Reaction to expend 1 charge to succeed on that save instead.")</f>
        <v>This ring has 3 charges, and it regains 1d3 expended charges daily at dawn. When you fail a Dexterity saving throw while wearing the ring, you can take a Reaction to expend 1 charge to succeed on that save instead.</v>
      </c>
      <c r="L166" s="10">
        <f>IFERROR(__xludf.DUMMYFUNCTION("""COMPUTED_VALUE"""),1100.0)</f>
        <v>1100</v>
      </c>
    </row>
    <row r="167">
      <c r="A167" s="8" t="str">
        <f>IFERROR(__xludf.DUMMYFUNCTION("""COMPUTED_VALUE"""),"Ring of Force Resistance")</f>
        <v>Ring of Force Resistance</v>
      </c>
      <c r="B167" s="8" t="str">
        <f>IFERROR(__xludf.DUMMYFUNCTION("""COMPUTED_VALUE"""),"DMG'24")</f>
        <v>DMG'24</v>
      </c>
      <c r="C167" s="8" t="str">
        <f>IFERROR(__xludf.DUMMYFUNCTION("""COMPUTED_VALUE"""),"rare")</f>
        <v>rare</v>
      </c>
      <c r="D167" s="8" t="str">
        <f>IFERROR(__xludf.DUMMYFUNCTION("""COMPUTED_VALUE"""),"Ring")</f>
        <v>Ring</v>
      </c>
      <c r="E167" s="8"/>
      <c r="F167" s="8"/>
      <c r="G167" s="8"/>
      <c r="H167" s="8"/>
      <c r="I167" s="8" t="str">
        <f>IFERROR(__xludf.DUMMYFUNCTION("""COMPUTED_VALUE"""),"You have Resistance to Force damage while wearing this ring. The ring is set with sapphire.")</f>
        <v>You have Resistance to Force damage while wearing this ring. The ring is set with sapphire.</v>
      </c>
      <c r="L167" s="8">
        <f>IFERROR(__xludf.DUMMYFUNCTION("""COMPUTED_VALUE"""),1200.0)</f>
        <v>1200</v>
      </c>
    </row>
    <row r="168">
      <c r="A168" s="10" t="str">
        <f>IFERROR(__xludf.DUMMYFUNCTION("""COMPUTED_VALUE"""),"Mantle of Spell Resistance")</f>
        <v>Mantle of Spell Resistance</v>
      </c>
      <c r="B168" s="10" t="str">
        <f>IFERROR(__xludf.DUMMYFUNCTION("""COMPUTED_VALUE"""),"DMG'24")</f>
        <v>DMG'24</v>
      </c>
      <c r="C168" s="10" t="str">
        <f>IFERROR(__xludf.DUMMYFUNCTION("""COMPUTED_VALUE"""),"rare")</f>
        <v>rare</v>
      </c>
      <c r="D168" s="10" t="str">
        <f>IFERROR(__xludf.DUMMYFUNCTION("""COMPUTED_VALUE"""),"Wondrous Item")</f>
        <v>Wondrous Item</v>
      </c>
      <c r="E168" s="10" t="str">
        <f>IFERROR(__xludf.DUMMYFUNCTION("""COMPUTED_VALUE"""),"requires attunement")</f>
        <v>requires attunement</v>
      </c>
      <c r="F168" s="10"/>
      <c r="G168" s="10"/>
      <c r="H168" s="10"/>
      <c r="I168" s="10" t="str">
        <f>IFERROR(__xludf.DUMMYFUNCTION("""COMPUTED_VALUE"""),"You have Advantage on saving throws against spells while you wear this cloak.")</f>
        <v>You have Advantage on saving throws against spells while you wear this cloak.</v>
      </c>
      <c r="L168" s="10">
        <f>IFERROR(__xludf.DUMMYFUNCTION("""COMPUTED_VALUE"""),1400.0)</f>
        <v>1400</v>
      </c>
    </row>
    <row r="169">
      <c r="A169" s="8" t="str">
        <f>IFERROR(__xludf.DUMMYFUNCTION("""COMPUTED_VALUE"""),"Mindguard Crown")</f>
        <v>Mindguard Crown</v>
      </c>
      <c r="B169" s="8" t="str">
        <f>IFERROR(__xludf.DUMMYFUNCTION("""COMPUTED_VALUE"""),"PaBTSO")</f>
        <v>PaBTSO</v>
      </c>
      <c r="C169" s="8" t="str">
        <f>IFERROR(__xludf.DUMMYFUNCTION("""COMPUTED_VALUE"""),"very rare")</f>
        <v>very rare</v>
      </c>
      <c r="D169" s="8" t="str">
        <f>IFERROR(__xludf.DUMMYFUNCTION("""COMPUTED_VALUE"""),"Wondrous Item")</f>
        <v>Wondrous Item</v>
      </c>
      <c r="E169" s="8" t="str">
        <f>IFERROR(__xludf.DUMMYFUNCTION("""COMPUTED_VALUE"""),"requires attunement")</f>
        <v>requires attunement</v>
      </c>
      <c r="F169" s="8"/>
      <c r="G169" s="8"/>
      <c r="H169" s="8"/>
      <c r="I169" s="8" t="str">
        <f>IFERROR(__xludf.DUMMYFUNCTION("""COMPUTED_VALUE"""),"While you wear this adamantine crown, you have advantage on Intelligence, Wisdom, and Charisma saving throws, and you have resistance to psychic damage.")</f>
        <v>While you wear this adamantine crown, you have advantage on Intelligence, Wisdom, and Charisma saving throws, and you have resistance to psychic damage.</v>
      </c>
      <c r="L169" s="8">
        <f>IFERROR(__xludf.DUMMYFUNCTION("""COMPUTED_VALUE"""),1400.0)</f>
        <v>1400</v>
      </c>
    </row>
    <row r="170">
      <c r="A170" s="10" t="str">
        <f>IFERROR(__xludf.DUMMYFUNCTION("""COMPUTED_VALUE"""),"Pipes of Haunting")</f>
        <v>Pipes of Haunting</v>
      </c>
      <c r="B170" s="10" t="str">
        <f>IFERROR(__xludf.DUMMYFUNCTION("""COMPUTED_VALUE"""),"DMG'24")</f>
        <v>DMG'24</v>
      </c>
      <c r="C170" s="10" t="str">
        <f>IFERROR(__xludf.DUMMYFUNCTION("""COMPUTED_VALUE"""),"uncommon")</f>
        <v>uncommon</v>
      </c>
      <c r="D170" s="10" t="str">
        <f>IFERROR(__xludf.DUMMYFUNCTION("""COMPUTED_VALUE"""),"Wondrous Item")</f>
        <v>Wondrous Item</v>
      </c>
      <c r="E170" s="10"/>
      <c r="F170" s="10"/>
      <c r="G170" s="10"/>
      <c r="H170" s="10"/>
      <c r="I170" s="10" t="str">
        <f>IFERROR(__xludf.DUMMYFUNCTION("""COMPUTED_VALUE"""),"These pipes have 3 charges and regain 1d3 expended charges daily at dawn. You can take a Magic action to play them and expend 1 charge to create an eerie, spellbinding tune. Each creature of your choice within 30 feet of you must succeed on a DC 15 Wisdom"&amp;" saving throw or have the Frightened condition for 1 minute. A creature that fails the save repeats it at the end of each of its turns, ending the effect on itself on a success. A creature that succeeds on its save is immune to the effect of these pipes f"&amp;"or 24 hours.")</f>
        <v>These pipes have 3 charges and regain 1d3 expended charges daily at dawn. You can take a Magic action to play them and expend 1 charge to create an eerie, spellbinding tune. Each creature of your choice within 30 feet of you must succeed on a DC 15 Wisdom saving throw or have the Frightened condition for 1 minute. A creature that fails the save repeats it at the end of each of its turns, ending the effect on itself on a success. A creature that succeeds on its save is immune to the effect of these pipes for 24 hours.</v>
      </c>
      <c r="L170" s="10">
        <f>IFERROR(__xludf.DUMMYFUNCTION("""COMPUTED_VALUE"""),1500.0)</f>
        <v>1500</v>
      </c>
    </row>
    <row r="171">
      <c r="A171" s="8" t="str">
        <f>IFERROR(__xludf.DUMMYFUNCTION("""COMPUTED_VALUE"""),"Stirring Scaled Ornament")</f>
        <v>Stirring Scaled Ornament</v>
      </c>
      <c r="B171" s="8" t="str">
        <f>IFERROR(__xludf.DUMMYFUNCTION("""COMPUTED_VALUE"""),"FTD")</f>
        <v>FTD</v>
      </c>
      <c r="C171" s="8" t="str">
        <f>IFERROR(__xludf.DUMMYFUNCTION("""COMPUTED_VALUE"""),"rare")</f>
        <v>rare</v>
      </c>
      <c r="D171" s="8" t="str">
        <f>IFERROR(__xludf.DUMMYFUNCTION("""COMPUTED_VALUE"""),"Wondrous Item")</f>
        <v>Wondrous Item</v>
      </c>
      <c r="E171" s="8" t="str">
        <f>IFERROR(__xludf.DUMMYFUNCTION("""COMPUTED_VALUE"""),"requires attunement")</f>
        <v>requires attunement</v>
      </c>
      <c r="F171" s="8"/>
      <c r="G171" s="8"/>
      <c r="H171" s="8"/>
      <c r="I171" s="8" t="str">
        <f>IFERROR(__xludf.DUMMYFUNCTION("""COMPUTED_VALUE"""),"This ornament can be jewelry, a cloak, or another wearable accessory. It appears to be fashioned from a dragon's scale, tooth, or claw, or it incorporates images in those shapes.You gain a +1 bonus to AC, and you can't be charmed or frightened. Moreover, "&amp;"each creature of your choice within 30 feet of you has advantage on saving throws it makes to avoid being charmed or frightened or to end those conditions on itself.")</f>
        <v>This ornament can be jewelry, a cloak, or another wearable accessory. It appears to be fashioned from a dragon's scale, tooth, or claw, or it incorporates images in those shapes.You gain a +1 bonus to AC, and you can't be charmed or frightened. Moreover, each creature of your choice within 30 feet of you has advantage on saving throws it makes to avoid being charmed or frightened or to end those conditions on itself.</v>
      </c>
      <c r="L171" s="8">
        <f>IFERROR(__xludf.DUMMYFUNCTION("""COMPUTED_VALUE"""),1500.0)</f>
        <v>1500</v>
      </c>
    </row>
    <row r="172">
      <c r="A172" s="10" t="str">
        <f>IFERROR(__xludf.DUMMYFUNCTION("""COMPUTED_VALUE"""),"Robe of Scintillating Colors")</f>
        <v>Robe of Scintillating Colors</v>
      </c>
      <c r="B172" s="10" t="str">
        <f>IFERROR(__xludf.DUMMYFUNCTION("""COMPUTED_VALUE"""),"DMG'24")</f>
        <v>DMG'24</v>
      </c>
      <c r="C172" s="10" t="str">
        <f>IFERROR(__xludf.DUMMYFUNCTION("""COMPUTED_VALUE"""),"very rare")</f>
        <v>very rare</v>
      </c>
      <c r="D172" s="10" t="str">
        <f>IFERROR(__xludf.DUMMYFUNCTION("""COMPUTED_VALUE"""),"Wondrous Item")</f>
        <v>Wondrous Item</v>
      </c>
      <c r="E172" s="10" t="str">
        <f>IFERROR(__xludf.DUMMYFUNCTION("""COMPUTED_VALUE"""),"requires attunement")</f>
        <v>requires attunement</v>
      </c>
      <c r="F172" s="10"/>
      <c r="G172" s="10"/>
      <c r="H172" s="10"/>
      <c r="I172" s="10" t="str">
        <f>IFERROR(__xludf.DUMMYFUNCTION("""COMPUTED_VALUE"""),"This robe has 3 charges, and it regains 1d3 expended charges daily at dawn. While you wear it, you can take a Magic action and expend 1 charge to cause the garment to display a shifting pattern of dazzling hues until the end of your next turn. During this"&amp;" time, the robe sheds Bright Light in a 30-foot radius and Dim Light for an additional 30 feet, and creatures that can see you have Disadvantage on attack rolls against you. Any creature in the Bright Light that can see you when the robe's power is activa"&amp;"ted must succeed on a DC 15 Wisdom saving throw or have the Stunned condition until the effect ends.")</f>
        <v>This robe has 3 charges, and it regains 1d3 expended charges daily at dawn. While you wear it, you can take a Magic action and expend 1 charge to cause the garment to display a shifting pattern of dazzling hues until the end of your next turn. During this time, the robe sheds Bright Light in a 30-foot radius and Dim Light for an additional 30 feet, and creatures that can see you have Disadvantage on attack rolls against you. Any creature in the Bright Light that can see you when the robe's power is activated must succeed on a DC 15 Wisdom saving throw or have the Stunned condition until the effect ends.</v>
      </c>
      <c r="L172" s="10">
        <f>IFERROR(__xludf.DUMMYFUNCTION("""COMPUTED_VALUE"""),1600.0)</f>
        <v>1600</v>
      </c>
    </row>
    <row r="173">
      <c r="A173" s="8" t="str">
        <f>IFERROR(__xludf.DUMMYFUNCTION("""COMPUTED_VALUE"""),"Cape of Enlargement")</f>
        <v>Cape of Enlargement</v>
      </c>
      <c r="B173" s="8" t="str">
        <f>IFERROR(__xludf.DUMMYFUNCTION("""COMPUTED_VALUE"""),"PaBTSO")</f>
        <v>PaBTSO</v>
      </c>
      <c r="C173" s="8" t="str">
        <f>IFERROR(__xludf.DUMMYFUNCTION("""COMPUTED_VALUE"""),"very rare")</f>
        <v>very rare</v>
      </c>
      <c r="D173" s="8" t="str">
        <f>IFERROR(__xludf.DUMMYFUNCTION("""COMPUTED_VALUE"""),"Wondrous Item")</f>
        <v>Wondrous Item</v>
      </c>
      <c r="E173" s="8" t="str">
        <f>IFERROR(__xludf.DUMMYFUNCTION("""COMPUTED_VALUE"""),"requires attunement")</f>
        <v>requires attunement</v>
      </c>
      <c r="F173" s="8"/>
      <c r="G173" s="8"/>
      <c r="H173" s="8"/>
      <c r="I173" s="8" t="str">
        <f>IFERROR(__xludf.DUMMYFUNCTION("""COMPUTED_VALUE"""),"Ancient runes are stitched in silver thread along the hem of this grayish-purple cape.The cape has 3 charges. As a bonus action while wearing the cape, you can expend 1 of its charges to enlarge yourself, granting yourself the following benefits:Your size"&amp;" increases by one category from Medium to Large, for example. If there isn't enough room for your size to increase by one category, you instead become the maximum possible size in the space available.You have advantage on Strength checks and Strength savi"&amp;"ng throws.When you hit with an attack roll using a weapon or an unarmed strike, you can add your proficiency bonus to the attack's damage.These benefits last for 10 minutes or until you use another bonus action to dismiss them. The cape regains 1d3 expend"&amp;"ed charges daily at dawn.")</f>
        <v>Ancient runes are stitched in silver thread along the hem of this grayish-purple cape.The cape has 3 charges. As a bonus action while wearing the cape, you can expend 1 of its charges to enlarge yourself, granting yourself the following benefits:Your size increases by one category from Medium to Large, for example. If there isn't enough room for your size to increase by one category, you instead become the maximum possible size in the space available.You have advantage on Strength checks and Strength saving throws.When you hit with an attack roll using a weapon or an unarmed strike, you can add your proficiency bonus to the attack's damage.These benefits last for 10 minutes or until you use another bonus action to dismiss them. The cape regains 1d3 expended charges daily at dawn.</v>
      </c>
      <c r="L173" s="8">
        <f>IFERROR(__xludf.DUMMYFUNCTION("""COMPUTED_VALUE"""),1800.0)</f>
        <v>1800</v>
      </c>
    </row>
    <row r="174">
      <c r="A174" s="10" t="str">
        <f>IFERROR(__xludf.DUMMYFUNCTION("""COMPUTED_VALUE"""),"Rod of Alertness")</f>
        <v>Rod of Alertness</v>
      </c>
      <c r="B174" s="10" t="str">
        <f>IFERROR(__xludf.DUMMYFUNCTION("""COMPUTED_VALUE"""),"DMG'24")</f>
        <v>DMG'24</v>
      </c>
      <c r="C174" s="10" t="str">
        <f>IFERROR(__xludf.DUMMYFUNCTION("""COMPUTED_VALUE"""),"very rare")</f>
        <v>very rare</v>
      </c>
      <c r="D174" s="10" t="str">
        <f>IFERROR(__xludf.DUMMYFUNCTION("""COMPUTED_VALUE"""),"Rod")</f>
        <v>Rod</v>
      </c>
      <c r="E174" s="10" t="str">
        <f>IFERROR(__xludf.DUMMYFUNCTION("""COMPUTED_VALUE"""),"requires attunement")</f>
        <v>requires attunement</v>
      </c>
      <c r="F174" s="10"/>
      <c r="G174" s="10"/>
      <c r="H174" s="10"/>
      <c r="I174" s="10" t="str">
        <f>IFERROR(__xludf.DUMMYFUNCTION("""COMPUTED_VALUE"""),"This rod has the following properties. Alertness. While holding the rod, you have Advantage on Wisdom (Perception) checks and on Initiative rolls. Spells. While holding the rod, you can cast the following spells from it:Detect Evil and Good Detect Magic D"&amp;"etect Poison and Disease See Invisibility Protective Aura. As a Magic action, you can plant the haft end of the rod in the ground, whereupon the rod's head sheds Bright Light in a 60-foot radius and Dim Light for an additional 60 feet. While in that Brigh"&amp;"t Light, you and your allies gain a +1 bonus to Armor Class and saving throws and can sense the location of any Invisible creature that is also in the Bright Light. The rod's head stops glowing and the effect ends after 10 minutes or when a creature takes"&amp;" a Magic action to pull the rod from the ground. Once used, this property can't be used again until the next dawn.")</f>
        <v>This rod has the following properties. Alertness. While holding the rod, you have Advantage on Wisdom (Perception) checks and on Initiative rolls. Spells. While holding the rod, you can cast the following spells from it:Detect Evil and Good Detect Magic Detect Poison and Disease See Invisibility Protective Aura. As a Magic action, you can plant the haft end of the rod in the ground, whereupon the rod's head sheds Bright Light in a 60-foot radius and Dim Light for an additional 60 feet. While in that Bright Light, you and your allies gain a +1 bonus to Armor Class and saving throws and can sense the location of any Invisible creature that is also in the Bright Light. The rod's head stops glowing and the effect ends after 10 minutes or when a creature takes a Magic action to pull the rod from the ground. Once used, this property can't be used again until the next dawn.</v>
      </c>
      <c r="L174" s="10">
        <f>IFERROR(__xludf.DUMMYFUNCTION("""COMPUTED_VALUE"""),1800.0)</f>
        <v>1800</v>
      </c>
    </row>
    <row r="175">
      <c r="A175" s="8" t="str">
        <f>IFERROR(__xludf.DUMMYFUNCTION("""COMPUTED_VALUE"""),"Mythallar Cloak")</f>
        <v>Mythallar Cloak</v>
      </c>
      <c r="B175" s="8" t="str">
        <f>IFERROR(__xludf.DUMMYFUNCTION("""COMPUTED_VALUE"""),"NF")</f>
        <v>NF</v>
      </c>
      <c r="C175" s="8" t="str">
        <f>IFERROR(__xludf.DUMMYFUNCTION("""COMPUTED_VALUE"""),"rare")</f>
        <v>rare</v>
      </c>
      <c r="D175" s="8" t="str">
        <f>IFERROR(__xludf.DUMMYFUNCTION("""COMPUTED_VALUE"""),"Wondrous Item")</f>
        <v>Wondrous Item</v>
      </c>
      <c r="E175" s="8" t="str">
        <f>IFERROR(__xludf.DUMMYFUNCTION("""COMPUTED_VALUE"""),"requires attunement")</f>
        <v>requires attunement</v>
      </c>
      <c r="F175" s="8"/>
      <c r="G175" s="8"/>
      <c r="H175" s="8"/>
      <c r="I175" s="8" t="str">
        <f>IFERROR(__xludf.DUMMYFUNCTION("""COMPUTED_VALUE"""),"This electric-blue cloak is studded with sewn-in crystals that are shards of a decommissioned mythallar. The cloak has 10 charges and regains 1d10 expended charges daily at dawn. While wearing the cloak, you can take a Bonus Action and expend 1 charge to "&amp;"activate the cloak's magic. The magic lasts for 1 minute or until you end it early (no action required).While the cloak's magic is active, you gain a Fly Speed of 30 feet and can hover. Additionally, once on each of your turns when you hit a creature with"&amp;" an attack roll and deal damage, you can cause the target to take an extra 1d4 Radiant damage. If you are aloft when the cloak's magic ends, you fall.")</f>
        <v>This electric-blue cloak is studded with sewn-in crystals that are shards of a decommissioned mythallar. The cloak has 10 charges and regains 1d10 expended charges daily at dawn. While wearing the cloak, you can take a Bonus Action and expend 1 charge to activate the cloak's magic. The magic lasts for 1 minute or until you end it early (no action required).While the cloak's magic is active, you gain a Fly Speed of 30 feet and can hover. Additionally, once on each of your turns when you hit a creature with an attack roll and deal damage, you can cause the target to take an extra 1d4 Radiant damage. If you are aloft when the cloak's magic ends, you fall.</v>
      </c>
      <c r="L175" s="8">
        <f>IFERROR(__xludf.DUMMYFUNCTION("""COMPUTED_VALUE"""),1850.0)</f>
        <v>1850</v>
      </c>
    </row>
    <row r="176">
      <c r="A176" s="10" t="str">
        <f>IFERROR(__xludf.DUMMYFUNCTION("""COMPUTED_VALUE"""),"Peregrine Mask")</f>
        <v>Peregrine Mask</v>
      </c>
      <c r="B176" s="10" t="str">
        <f>IFERROR(__xludf.DUMMYFUNCTION("""COMPUTED_VALUE"""),"GGR")</f>
        <v>GGR</v>
      </c>
      <c r="C176" s="10" t="str">
        <f>IFERROR(__xludf.DUMMYFUNCTION("""COMPUTED_VALUE"""),"very rare")</f>
        <v>very rare</v>
      </c>
      <c r="D176" s="10" t="str">
        <f>IFERROR(__xludf.DUMMYFUNCTION("""COMPUTED_VALUE"""),"Wondrous Item")</f>
        <v>Wondrous Item</v>
      </c>
      <c r="E176" s="10" t="str">
        <f>IFERROR(__xludf.DUMMYFUNCTION("""COMPUTED_VALUE"""),"requires attunement")</f>
        <v>requires attunement</v>
      </c>
      <c r="F176" s="10"/>
      <c r="G176" s="10"/>
      <c r="H176" s="10"/>
      <c r="I176" s="10" t="str">
        <f>IFERROR(__xludf.DUMMYFUNCTION("""COMPUTED_VALUE"""),"While wearing this winged helm, you have a flying speed of 60 feet. In addition, you have advantage on initiative rolls.")</f>
        <v>While wearing this winged helm, you have a flying speed of 60 feet. In addition, you have advantage on initiative rolls.</v>
      </c>
      <c r="L176" s="10">
        <f>IFERROR(__xludf.DUMMYFUNCTION("""COMPUTED_VALUE"""),2000.0)</f>
        <v>2000</v>
      </c>
    </row>
    <row r="177">
      <c r="A177" s="8" t="str">
        <f>IFERROR(__xludf.DUMMYFUNCTION("""COMPUTED_VALUE"""),"Watchful Helm")</f>
        <v>Watchful Helm</v>
      </c>
      <c r="B177" s="8" t="str">
        <f>IFERROR(__xludf.DUMMYFUNCTION("""COMPUTED_VALUE"""),"CM")</f>
        <v>CM</v>
      </c>
      <c r="C177" s="8" t="str">
        <f>IFERROR(__xludf.DUMMYFUNCTION("""COMPUTED_VALUE"""),"very rare")</f>
        <v>very rare</v>
      </c>
      <c r="D177" s="8" t="str">
        <f>IFERROR(__xludf.DUMMYFUNCTION("""COMPUTED_VALUE"""),"Wondrous Item")</f>
        <v>Wondrous Item</v>
      </c>
      <c r="E177" s="8" t="str">
        <f>IFERROR(__xludf.DUMMYFUNCTION("""COMPUTED_VALUE"""),"requires attunement")</f>
        <v>requires attunement</v>
      </c>
      <c r="F177" s="8"/>
      <c r="G177" s="8"/>
      <c r="H177" s="8"/>
      <c r="I177" s="8" t="str">
        <f>IFERROR(__xludf.DUMMYFUNCTION("""COMPUTED_VALUE"""),"While you wear this helm, you gain a +1 bonus to AC and remain aware of your surroundings even while you're asleep, and you have advantage on Wisdom (Perception) checks that rely on sight.As a bonus action, you can cast the see invisibility spell from the"&amp;" helm. Once this property of the helm is used, it can't be used again until the next dawn.")</f>
        <v>While you wear this helm, you gain a +1 bonus to AC and remain aware of your surroundings even while you're asleep, and you have advantage on Wisdom (Perception) checks that rely on sight.As a bonus action, you can cast the see invisibility spell from the helm. Once this property of the helm is used, it can't be used again until the next dawn.</v>
      </c>
      <c r="L177" s="8">
        <f>IFERROR(__xludf.DUMMYFUNCTION("""COMPUTED_VALUE"""),2000.0)</f>
        <v>2000</v>
      </c>
    </row>
    <row r="178">
      <c r="A178" s="10" t="str">
        <f>IFERROR(__xludf.DUMMYFUNCTION("""COMPUTED_VALUE"""),"Belt of Dwarvenkind")</f>
        <v>Belt of Dwarvenkind</v>
      </c>
      <c r="B178" s="10" t="str">
        <f>IFERROR(__xludf.DUMMYFUNCTION("""COMPUTED_VALUE"""),"DMG'24")</f>
        <v>DMG'24</v>
      </c>
      <c r="C178" s="10" t="str">
        <f>IFERROR(__xludf.DUMMYFUNCTION("""COMPUTED_VALUE"""),"rare")</f>
        <v>rare</v>
      </c>
      <c r="D178" s="10" t="str">
        <f>IFERROR(__xludf.DUMMYFUNCTION("""COMPUTED_VALUE"""),"Wondrous Item")</f>
        <v>Wondrous Item</v>
      </c>
      <c r="E178" s="10" t="str">
        <f>IFERROR(__xludf.DUMMYFUNCTION("""COMPUTED_VALUE"""),"requires attunement")</f>
        <v>requires attunement</v>
      </c>
      <c r="F178" s="10"/>
      <c r="G178" s="10"/>
      <c r="H178" s="10"/>
      <c r="I178" s="10" t="str">
        <f>IFERROR(__xludf.DUMMYFUNCTION("""COMPUTED_VALUE"""),"While wearing this belt, you gain the following benefits:Dwarvish. You know Dwarvish.Friend of Dwarvenkind. You have Advantage on Charisma (Persuasion) checks made to interact with dwarves and duergar.Toughness. Your Constitution increases by 2, to a maxi"&amp;"mum of 20.In addition, while attuned to the belt, you have a 50 percent chance each day at dawn of growing a full beard if you can grow one, or a thicker beard if you already have one.If you aren't a dwarf or duergar, you gain the following additional ben"&amp;"efits while wearing the belt:Darkvision. You have Darkvision with a range of 60 feet.Resilience. You have Resistance to Poison damage. You also have Advantage on saving throws you make to avoid or end the Poisoned condition.")</f>
        <v>While wearing this belt, you gain the following benefits:Dwarvish. You know Dwarvish.Friend of Dwarvenkind. You have Advantage on Charisma (Persuasion) checks made to interact with dwarves and duergar.Toughness. Your Constitution increases by 2, to a maximum of 20.In addition, while attuned to the belt, you have a 50 percent chance each day at dawn of growing a full beard if you can grow one, or a thicker beard if you already have one.If you aren't a dwarf or duergar, you gain the following additional benefits while wearing the belt:Darkvision. You have Darkvision with a range of 60 feet.Resilience. You have Resistance to Poison damage. You also have Advantage on saving throws you make to avoid or end the Poisoned condition.</v>
      </c>
      <c r="L178" s="10">
        <f>IFERROR(__xludf.DUMMYFUNCTION("""COMPUTED_VALUE"""),2100.0)</f>
        <v>2100</v>
      </c>
    </row>
    <row r="179">
      <c r="A179" s="12"/>
      <c r="B179" s="12"/>
      <c r="C179" s="12"/>
      <c r="D179" s="12"/>
      <c r="E179" s="12"/>
      <c r="F179" s="12"/>
      <c r="G179" s="12"/>
      <c r="H179" s="12"/>
      <c r="I179" s="12"/>
      <c r="L179" s="12"/>
    </row>
    <row r="180">
      <c r="A180" s="6" t="s">
        <v>54</v>
      </c>
      <c r="L180" s="13"/>
    </row>
    <row r="181">
      <c r="A181" s="8" t="str">
        <f>IFERROR(__xludf.DUMMYFUNCTION("FILTER(MasterList_Hidden!A:K,Search(A180,MasterList_Hidden!K:K),MasterList_Hidden!J:J&lt;&gt;""Free to Guild Adventurers with Item Proficiency"",MasterList_Hidden!J:J&lt;&gt;""Free to Guild Adventurers in Good Standing"",MasterList_Hidden!J:J&lt;&gt;""Artificer Replicate M"&amp;"agic Item Only"")"),"Dust of Dryness")</f>
        <v>Dust of Dryness</v>
      </c>
      <c r="B181" s="8" t="str">
        <f>IFERROR(__xludf.DUMMYFUNCTION("""COMPUTED_VALUE"""),"DMG'24")</f>
        <v>DMG'24</v>
      </c>
      <c r="C181" s="8" t="str">
        <f>IFERROR(__xludf.DUMMYFUNCTION("""COMPUTED_VALUE"""),"uncommon")</f>
        <v>uncommon</v>
      </c>
      <c r="D181" s="8" t="str">
        <f>IFERROR(__xludf.DUMMYFUNCTION("""COMPUTED_VALUE"""),"Wondrous Item")</f>
        <v>Wondrous Item</v>
      </c>
      <c r="E181" s="8"/>
      <c r="F181" s="8"/>
      <c r="G181" s="8"/>
      <c r="H181" s="8"/>
      <c r="I181" s="8" t="str">
        <f>IFERROR(__xludf.DUMMYFUNCTION("""COMPUTED_VALUE"""),"This small packet contains 1d6 + 4 pinches of dust. As a Utilize action, you can sprinkle a pinch of the dust over water, turning up to a 15-foot Cube of water into one marble-sized pellet, which floats or rests near where the dust was sprinkled. The pell"&amp;"et's weight is negligible. A creature can take a Utilize action to smash the pellet against a hard surface, causing the pellet to shatter and release the water the dust absorbed. Doing so destroys the pellet and ends its magic.As a Utilize action, you can"&amp;" sprinkle a pinch of the dust on an Elemental within 5 feet of yourself that is composed mostly of water (such as a Water Elemental or a Water Weird). Such a creature exposed to a pinch of the dust makes a DC 13 Constitution saving throw, taking 10d6 Necr"&amp;"otic damage on a failed save or half as much damage on a successful one.  Purchasing this gives an adventurer 1 use of this item per guild mission they go on, and does not stack unless you purchase more than 1.")</f>
        <v>This small packet contains 1d6 + 4 pinches of dust. As a Utilize action, you can sprinkle a pinch of the dust over water, turning up to a 15-foot Cube of water into one marble-sized pellet, which floats or rests near where the dust was sprinkled. The pellet's weight is negligible. A creature can take a Utilize action to smash the pellet against a hard surface, causing the pellet to shatter and release the water the dust absorbed. Doing so destroys the pellet and ends its magic.As a Utilize action, you can sprinkle a pinch of the dust on an Elemental within 5 feet of yourself that is composed mostly of water (such as a Water Elemental or a Water Weird). Such a creature exposed to a pinch of the dust makes a DC 13 Constitution saving throw, taking 10d6 Necrotic damage on a failed save or half as much damage on a successful one.  Purchasing this gives an adventurer 1 use of this item per guild mission they go on, and does not stack unless you purchase more than 1.</v>
      </c>
      <c r="L181" s="8">
        <f>IFERROR(__xludf.DUMMYFUNCTION("FILTER(MasterList_Hidden!J:J,Search(A180,MasterList_Hidden!K:K),MasterList_Hidden!J:J&lt;&gt;""Free to Guild Adventurers with Item Proficiency"",MasterList_Hidden!J:J&lt;&gt;""Free to Guild Adventurers in Good Standing"",MasterList_Hidden!J:J&lt;&gt;""Artificer Replicate M"&amp;"agic Item Only"")"),350.0)</f>
        <v>350</v>
      </c>
    </row>
    <row r="182">
      <c r="A182" s="10" t="str">
        <f>IFERROR(__xludf.DUMMYFUNCTION("""COMPUTED_VALUE"""),"Dust of Corrosion")</f>
        <v>Dust of Corrosion</v>
      </c>
      <c r="B182" s="10" t="str">
        <f>IFERROR(__xludf.DUMMYFUNCTION("""COMPUTED_VALUE"""),"WBtW")</f>
        <v>WBtW</v>
      </c>
      <c r="C182" s="10" t="str">
        <f>IFERROR(__xludf.DUMMYFUNCTION("""COMPUTED_VALUE"""),"uncommon")</f>
        <v>uncommon</v>
      </c>
      <c r="D182" s="10" t="str">
        <f>IFERROR(__xludf.DUMMYFUNCTION("""COMPUTED_VALUE"""),"Wondrous Item")</f>
        <v>Wondrous Item</v>
      </c>
      <c r="E182" s="10"/>
      <c r="F182" s="10"/>
      <c r="G182" s="10"/>
      <c r="H182" s="10"/>
      <c r="I182" s="10" t="str">
        <f>IFERROR(__xludf.DUMMYFUNCTION("""COMPUTED_VALUE"""),"As an action, you can throw this dust into the air, filling a 10-foot cube that extends out from you. Surfaces and objects made of nonmagical ferrous metal in the area instantly corrode and turn to dust, becoming useless and unsalvageable. Any creature in"&amp;" the area that is made wholly or partly out of ferrous metal must make a DC 13 Constitution saving throw, taking 4d8 necrotic damage on a failed save, or half as much damage on a successful one.Found in a small packet, this dust is made from finely ground"&amp;" rust monster antennae. There is enough dust in each packet for one use.  Purchasing this gives an adventurer 1 use of this item per guild mission they go on, and does not stack unless you purchase more than 1.")</f>
        <v>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one.Found in a small packet, this dust is made from finely ground rust monster antennae. There is enough dust in each packet for one use.  Purchasing this gives an adventurer 1 use of this item per guild mission they go on, and does not stack unless you purchase more than 1.</v>
      </c>
      <c r="L182" s="10">
        <f>IFERROR(__xludf.DUMMYFUNCTION("""COMPUTED_VALUE"""),550.0)</f>
        <v>550</v>
      </c>
    </row>
    <row r="183">
      <c r="A183" s="8" t="str">
        <f>IFERROR(__xludf.DUMMYFUNCTION("""COMPUTED_VALUE"""),"Rope of Entanglement")</f>
        <v>Rope of Entanglement</v>
      </c>
      <c r="B183" s="8" t="str">
        <f>IFERROR(__xludf.DUMMYFUNCTION("""COMPUTED_VALUE"""),"DMG'24")</f>
        <v>DMG'24</v>
      </c>
      <c r="C183" s="8" t="str">
        <f>IFERROR(__xludf.DUMMYFUNCTION("""COMPUTED_VALUE"""),"rare")</f>
        <v>rare</v>
      </c>
      <c r="D183" s="8" t="str">
        <f>IFERROR(__xludf.DUMMYFUNCTION("""COMPUTED_VALUE"""),"Wondrous Item")</f>
        <v>Wondrous Item</v>
      </c>
      <c r="E183" s="8"/>
      <c r="F183" s="8"/>
      <c r="G183" s="8"/>
      <c r="H183" s="8"/>
      <c r="I183" s="8" t="str">
        <f>IFERROR(__xludf.DUMMYFUNCTION("""COMPUTED_VALUE"""),"This rope is 30 feet long. While holding one end of the rope, you can take a Magic action to command the other end to dart forward and entangle one creature you can see within 20 feet of yourself. The target must succeed on a DC 15 Dexterity saving throw "&amp;"or have the Restrained condition. You can release the target by letting go of your end of the rope (causing the rope to coil up in the target's space) or by using a Bonus Action to repeat the command (causing the rope to coil up in your hand).A target Res"&amp;"trained by the rope can take an action to make its choice of a DC 15 Strength (Athletics) or Dexterity (Acrobatics) check. On a successful check, the target is no longer Restrained by the rope. If you're still holding onto the rope when a target escapes f"&amp;"rom it, you can take a Reaction to command the rope to coil up in your hand; otherwise, the rope coils up in the target's space.The rope has AC 20, HP 20, and Immunity to Poison and Psychic damage. It regains 1 Hit Point every 5 minutes as long as it has "&amp;"at least 1 Hit Point. If the rope drops to 0 Hit Points, it is destroyed.")</f>
        <v>This rope is 30 feet long. While holding one end of the rope, you can take a Magic action to command the other end to dart forward and entangle one creature you can see within 20 feet of yourself. The target must succeed on a DC 15 Dexterity saving throw or have the Restrained condition. You can release the target by letting go of your end of the rope (causing the rope to coil up in the target's space) or by using a Bonus Action to repeat the command (causing the rope to coil up in your hand).A target Restrained by the rope can take an action to make its choice of a DC 15 Strength (Athletics) or Dexterity (Acrobatics) check. On a successful check, the target is no longer Restrained by the rope. If you're still holding onto the rope when a target escapes from it, you can take a Reaction to command the rope to coil up in your hand; otherwise, the rope coils up in the target's space.The rope has AC 20, HP 20, and Immunity to Poison and Psychic damage. It regains 1 Hit Point every 5 minutes as long as it has at least 1 Hit Point. If the rope drops to 0 Hit Points, it is destroyed.</v>
      </c>
      <c r="L183" s="8">
        <f>IFERROR(__xludf.DUMMYFUNCTION("""COMPUTED_VALUE"""),850.0)</f>
        <v>850</v>
      </c>
    </row>
    <row r="184">
      <c r="A184" s="10" t="str">
        <f>IFERROR(__xludf.DUMMYFUNCTION("""COMPUTED_VALUE"""),"Iron Bands of Bilarro")</f>
        <v>Iron Bands of Bilarro</v>
      </c>
      <c r="B184" s="10" t="str">
        <f>IFERROR(__xludf.DUMMYFUNCTION("""COMPUTED_VALUE"""),"DMG'24")</f>
        <v>DMG'24</v>
      </c>
      <c r="C184" s="10" t="str">
        <f>IFERROR(__xludf.DUMMYFUNCTION("""COMPUTED_VALUE"""),"rare")</f>
        <v>rare</v>
      </c>
      <c r="D184" s="10" t="str">
        <f>IFERROR(__xludf.DUMMYFUNCTION("""COMPUTED_VALUE"""),"Wondrous Item")</f>
        <v>Wondrous Item</v>
      </c>
      <c r="E184" s="10"/>
      <c r="F184" s="10"/>
      <c r="G184" s="10"/>
      <c r="H184" s="10"/>
      <c r="I184" s="10" t="str">
        <f>IFERROR(__xludf.DUMMYFUNCTION("""COMPUTED_VALUE"""),"This rusty iron sphere measures 3 inches in diameter and weighs 1 pound. You can take a Magic action to throw the sphere at a Huge or smaller creature you can see within 60 feet of yourself. As the sphere moves through the air, it opens into a tangle of m"&amp;"etal bands.Make a ranged attack roll with an attack bonus equal to your Dexterity modifier plus your Proficiency Bonus. On a hit, the target has the Restrained condition until you take a Bonus Action to issue a command that releases it. Doing so or missin"&amp;"g with the attack causes the bands to contract and become a sphere once more.A creature that can touch the bands, including the one Restrained, can take an action to make a DC 20 Strength (Athletics) check to break the iron bands. On a successful check, t"&amp;"he item is destroyed, and the Restrained creature is freed. On a failed check, any further attempts made by that creature automatically fail until 24 hours have elapsed.Once the bands are used, they can't be used again until the next dawn.")</f>
        <v>This rusty iron sphere measures 3 inches in diameter and weighs 1 pound. You can take a Magic action to throw the sphere at a Huge or smaller creature you can see within 60 feet of yourself. As the sphere moves through the air, it opens into a tangle of metal bands.Make a ranged attack roll with an attack bonus equal to your Dexterity modifier plus your Proficiency Bonus. On a hit, the target has the Restrained condition until you take a Bonus Action to issue a command that releases it. Doing so or missing with the attack causes the bands to contract and become a sphere once more.A creature that can touch the bands, including the one Restrained, can take an action to make a DC 20 Strength (Athletics) check to break the iron bands. On a successful check, the item is destroyed, and the Restrained creature is freed. On a failed check, any further attempts made by that creature automatically fail until 24 hours have elapsed.Once the bands are used, they can't be used again until the next dawn.</v>
      </c>
      <c r="L184" s="10">
        <f>IFERROR(__xludf.DUMMYFUNCTION("""COMPUTED_VALUE"""),1000.0)</f>
        <v>1000</v>
      </c>
    </row>
    <row r="185">
      <c r="A185" s="8" t="str">
        <f>IFERROR(__xludf.DUMMYFUNCTION("""COMPUTED_VALUE"""),"Pipes of Haunting")</f>
        <v>Pipes of Haunting</v>
      </c>
      <c r="B185" s="8" t="str">
        <f>IFERROR(__xludf.DUMMYFUNCTION("""COMPUTED_VALUE"""),"DMG'24")</f>
        <v>DMG'24</v>
      </c>
      <c r="C185" s="8" t="str">
        <f>IFERROR(__xludf.DUMMYFUNCTION("""COMPUTED_VALUE"""),"uncommon")</f>
        <v>uncommon</v>
      </c>
      <c r="D185" s="8" t="str">
        <f>IFERROR(__xludf.DUMMYFUNCTION("""COMPUTED_VALUE"""),"Wondrous Item")</f>
        <v>Wondrous Item</v>
      </c>
      <c r="E185" s="8"/>
      <c r="F185" s="8"/>
      <c r="G185" s="8"/>
      <c r="H185" s="8"/>
      <c r="I185" s="8" t="str">
        <f>IFERROR(__xludf.DUMMYFUNCTION("""COMPUTED_VALUE"""),"These pipes have 3 charges and regain 1d3 expended charges daily at dawn. You can take a Magic action to play them and expend 1 charge to create an eerie, spellbinding tune. Each creature of your choice within 30 feet of you must succeed on a DC 15 Wisdom"&amp;" saving throw or have the Frightened condition for 1 minute. A creature that fails the save repeats it at the end of each of its turns, ending the effect on itself on a success. A creature that succeeds on its save is immune to the effect of these pipes f"&amp;"or 24 hours.")</f>
        <v>These pipes have 3 charges and regain 1d3 expended charges daily at dawn. You can take a Magic action to play them and expend 1 charge to create an eerie, spellbinding tune. Each creature of your choice within 30 feet of you must succeed on a DC 15 Wisdom saving throw or have the Frightened condition for 1 minute. A creature that fails the save repeats it at the end of each of its turns, ending the effect on itself on a success. A creature that succeeds on its save is immune to the effect of these pipes for 24 hours.</v>
      </c>
      <c r="L185" s="8">
        <f>IFERROR(__xludf.DUMMYFUNCTION("""COMPUTED_VALUE"""),1500.0)</f>
        <v>1500</v>
      </c>
    </row>
    <row r="186">
      <c r="A186" s="12"/>
      <c r="B186" s="12"/>
      <c r="C186" s="12"/>
      <c r="D186" s="12"/>
      <c r="E186" s="12"/>
      <c r="F186" s="12"/>
      <c r="G186" s="12"/>
      <c r="H186" s="12"/>
      <c r="I186" s="12"/>
      <c r="L186" s="12"/>
    </row>
    <row r="187">
      <c r="A187" s="6" t="s">
        <v>49</v>
      </c>
      <c r="L187" s="6"/>
    </row>
    <row r="188">
      <c r="A188" s="8" t="str">
        <f>IFERROR(__xludf.DUMMYFUNCTION("FILTER(MasterList_Hidden!A:K,Search(A187,MasterList_Hidden!K:K),MasterList_Hidden!J:J&lt;&gt;""Free to Guild Adventurers with Item Proficiency"",MasterList_Hidden!J:J&lt;&gt;""Free to Guild Adventurers in Good Standing"",MasterList_Hidden!J:J&lt;&gt;""Artificer Replicate M"&amp;"agic Item Only"")"),"Cloak of the Bat")</f>
        <v>Cloak of the Bat</v>
      </c>
      <c r="B188" s="8" t="str">
        <f>IFERROR(__xludf.DUMMYFUNCTION("""COMPUTED_VALUE"""),"DMG'24")</f>
        <v>DMG'24</v>
      </c>
      <c r="C188" s="8" t="str">
        <f>IFERROR(__xludf.DUMMYFUNCTION("""COMPUTED_VALUE"""),"rare")</f>
        <v>rare</v>
      </c>
      <c r="D188" s="8" t="str">
        <f>IFERROR(__xludf.DUMMYFUNCTION("""COMPUTED_VALUE"""),"Wondrous Item")</f>
        <v>Wondrous Item</v>
      </c>
      <c r="E188" s="8" t="str">
        <f>IFERROR(__xludf.DUMMYFUNCTION("""COMPUTED_VALUE"""),"requires attunement")</f>
        <v>requires attunement</v>
      </c>
      <c r="F188" s="8"/>
      <c r="G188" s="8"/>
      <c r="H188" s="8"/>
      <c r="I188" s="8" t="str">
        <f>IFERROR(__xludf.DUMMYFUNCTION("""COMPUTED_VALUE"""),"While wearing this cloak, you have Advantage on Dexterity (Stealth) checks. In an area of Dim Light or Darkness, you can grip the edges of the cloak and use it to gain a Fly Speed of 40 feet. If you ever fail to grip the cloak's edges while flying in this"&amp;" way, or if you are no longer in Dim Light or Darkness, you lose this Fly Speed.While wearing the cloak in an area of Dim Light or Darkness, you can cast Polymorph on yourself, shape-shifting into a Bat. While in that form, you retain your Intelligence, W"&amp;"isdom, and Charisma scores. The cloak can't be used this way again until the next dawn.")</f>
        <v>While wearing this cloak, you have Advantage on Dexterity (Stealth) checks. In an area of Dim Light or Darkness, you can grip the edges of the cloak and use it to gain a Fly Speed of 40 feet. If you ever fail to grip the cloak's edges while flying in this way, or if you are no longer in Dim Light or Darkness, you lose this Fly Speed.While wearing the cloak in an area of Dim Light or Darkness, you can cast Polymorph on yourself, shape-shifting into a Bat. While in that form, you retain your Intelligence, Wisdom, and Charisma scores. The cloak can't be used this way again until the next dawn.</v>
      </c>
      <c r="L188" s="8">
        <f>IFERROR(__xludf.DUMMYFUNCTION("FILTER(MasterList_Hidden!J:J,Search(A187,MasterList_Hidden!K:K),MasterList_Hidden!J:J&lt;&gt;""Free to Guild Adventurers with Item Proficiency"",MasterList_Hidden!J:J&lt;&gt;""Free to Guild Adventurers in Good Standing"",MasterList_Hidden!J:J&lt;&gt;""Artificer Replicate M"&amp;"agic Item Only"")"),850.0)</f>
        <v>850</v>
      </c>
    </row>
    <row r="189">
      <c r="A189" s="10" t="str">
        <f>IFERROR(__xludf.DUMMYFUNCTION("""COMPUTED_VALUE"""),"Potion of Flying")</f>
        <v>Potion of Flying</v>
      </c>
      <c r="B189" s="10" t="str">
        <f>IFERROR(__xludf.DUMMYFUNCTION("""COMPUTED_VALUE"""),"DMG'24")</f>
        <v>DMG'24</v>
      </c>
      <c r="C189" s="10" t="str">
        <f>IFERROR(__xludf.DUMMYFUNCTION("""COMPUTED_VALUE"""),"very rare")</f>
        <v>very rare</v>
      </c>
      <c r="D189" s="10" t="str">
        <f>IFERROR(__xludf.DUMMYFUNCTION("""COMPUTED_VALUE"""),"Potion")</f>
        <v>Potion</v>
      </c>
      <c r="E189" s="10"/>
      <c r="F189" s="10"/>
      <c r="G189" s="10"/>
      <c r="H189" s="10"/>
      <c r="I189" s="10" t="str">
        <f>IFERROR(__xludf.DUMMYFUNCTION("""COMPUTED_VALUE"""),"When you drink this potion, you gain a Fly Speed equal to your Speed for 1 hour and can hover. If you're in the air when the potion wears off, you fall unless you have some other means of staying aloft.This potion's clear liquid floats at the top of its c"&amp;"ontainer and has cloudy white impurities drifting in it.  Purchasing this gives an adventurer 1 use of this item per guild mission they go on, and does not stack unless you purchase more than 1.")</f>
        <v>When you drink this potion, you gain a Fly Speed equal to your Speed for 1 hour and can hover. If you're in the air when the potion wears off, you fall unless you have some other means of staying aloft.This potion's clear liquid floats at the top of its container and has cloudy white impurities drifting in it.  Purchasing this gives an adventurer 1 use of this item per guild mission they go on, and does not stack unless you purchase more than 1.</v>
      </c>
      <c r="L189" s="10">
        <f>IFERROR(__xludf.DUMMYFUNCTION("""COMPUTED_VALUE"""),1000.0)</f>
        <v>1000</v>
      </c>
    </row>
    <row r="190">
      <c r="A190" s="8" t="str">
        <f>IFERROR(__xludf.DUMMYFUNCTION("""COMPUTED_VALUE"""),"Elemental Essence Shard (Air)")</f>
        <v>Elemental Essence Shard (Air)</v>
      </c>
      <c r="B190" s="8" t="str">
        <f>IFERROR(__xludf.DUMMYFUNCTION("""COMPUTED_VALUE"""),"TCE")</f>
        <v>TCE</v>
      </c>
      <c r="C190" s="8" t="str">
        <f>IFERROR(__xludf.DUMMYFUNCTION("""COMPUTED_VALUE"""),"rare")</f>
        <v>rare</v>
      </c>
      <c r="D190" s="8" t="str">
        <f>IFERROR(__xludf.DUMMYFUNCTION("""COMPUTED_VALUE"""),"Wondrous Item, Spellcasting Focus")</f>
        <v>Wondrous Item, Spellcasting Focus</v>
      </c>
      <c r="E190" s="8" t="str">
        <f>IFERROR(__xludf.DUMMYFUNCTION("""COMPUTED_VALUE"""),"requires attunement by a sorcerer")</f>
        <v>requires attunement by a sorcerer</v>
      </c>
      <c r="F190" s="8"/>
      <c r="G190" s="8"/>
      <c r="H190" s="8"/>
      <c r="I190"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can immediately fly up to 60 feet without provoking opportunity attacks.")</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can immediately fly up to 60 feet without provoking opportunity attacks.</v>
      </c>
      <c r="L190" s="8">
        <f>IFERROR(__xludf.DUMMYFUNCTION("""COMPUTED_VALUE"""),1200.0)</f>
        <v>1200</v>
      </c>
    </row>
    <row r="191">
      <c r="A191" s="10" t="str">
        <f>IFERROR(__xludf.DUMMYFUNCTION("""COMPUTED_VALUE"""),"Nimbus Coronet")</f>
        <v>Nimbus Coronet</v>
      </c>
      <c r="B191" s="10" t="str">
        <f>IFERROR(__xludf.DUMMYFUNCTION("""COMPUTED_VALUE"""),"BGG")</f>
        <v>BGG</v>
      </c>
      <c r="C191" s="10" t="str">
        <f>IFERROR(__xludf.DUMMYFUNCTION("""COMPUTED_VALUE"""),"very rare")</f>
        <v>very rare</v>
      </c>
      <c r="D191" s="10" t="str">
        <f>IFERROR(__xludf.DUMMYFUNCTION("""COMPUTED_VALUE"""),"Wondrous Item")</f>
        <v>Wondrous Item</v>
      </c>
      <c r="E191" s="10" t="str">
        <f>IFERROR(__xludf.DUMMYFUNCTION("""COMPUTED_VALUE"""),"requires attunement")</f>
        <v>requires attunement</v>
      </c>
      <c r="F191" s="10"/>
      <c r="G191" s="10"/>
      <c r="H191" s="10"/>
      <c r="I191" s="10" t="str">
        <f>IFERROR(__xludf.DUMMYFUNCTION("""COMPUTED_VALUE"""),"The design of this bronze circlet resembles swirling clouds. At its center is set a deep-blue stone, upon which is inscribed the cloud rune.While wearing this circlet, you take no damage from falling. Additionally, as a bonus action, you and everything yo"&amp;"u are wearing or carrying can teleport to an unoccupied space you can see within 15 feet of yourself, reappearing in a puff of shimmering clouds. Invoking the Rune. As an action, you can invoke the circlet's rune to assume a cloudlike form. The form lasts"&amp;" for 1 minute, until you are incapacitated, or until you dismiss it (no action required).While in cloud form, you have a flying speed of 60 feet and resistance to bludgeoning, piercing, and slashing damage. Once the rune has been invoked, it can't be invo"&amp;"ked again until the next dawn.")</f>
        <v>The design of this bronze circlet resembles swirling clouds. At its center is set a deep-blue stone, upon which is inscribed the cloud rune.While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required).While in cloud form, you have a flying speed of 60 feet and resistance to bludgeoning, piercing, and slashing damage. Once the rune has been invoked, it can't be invoked again until the next dawn.</v>
      </c>
      <c r="L191" s="10">
        <f>IFERROR(__xludf.DUMMYFUNCTION("""COMPUTED_VALUE"""),1200.0)</f>
        <v>1200</v>
      </c>
    </row>
    <row r="192">
      <c r="A192" s="8" t="str">
        <f>IFERROR(__xludf.DUMMYFUNCTION("""COMPUTED_VALUE"""),"Winged Boots")</f>
        <v>Winged Boots</v>
      </c>
      <c r="B192" s="8" t="str">
        <f>IFERROR(__xludf.DUMMYFUNCTION("""COMPUTED_VALUE"""),"DMG'24")</f>
        <v>DMG'24</v>
      </c>
      <c r="C192" s="8" t="str">
        <f>IFERROR(__xludf.DUMMYFUNCTION("""COMPUTED_VALUE"""),"uncommon")</f>
        <v>uncommon</v>
      </c>
      <c r="D192" s="8" t="str">
        <f>IFERROR(__xludf.DUMMYFUNCTION("""COMPUTED_VALUE"""),"Wondrous Item")</f>
        <v>Wondrous Item</v>
      </c>
      <c r="E192" s="8" t="str">
        <f>IFERROR(__xludf.DUMMYFUNCTION("""COMPUTED_VALUE"""),"requires attunement")</f>
        <v>requires attunement</v>
      </c>
      <c r="F192" s="8"/>
      <c r="G192" s="8"/>
      <c r="H192" s="8"/>
      <c r="I192" s="8" t="str">
        <f>IFERROR(__xludf.DUMMYFUNCTION("""COMPUTED_VALUE"""),"These boots have 4 charges and regain 1d4 expended charges daily at dawn. While wearing the boots, you can take a Magic action to expend 1 charge, gaining a Fly Speed of 30 feet for 1 hour. If you are flying when the duration expires, you descend at a rat"&amp;"e of 30 feet per round until you land.")</f>
        <v>These boots have 4 charges and regain 1d4 expended charges daily at dawn. While wearing the boots, you can take a Magic action to expend 1 charge, gaining a Fly Speed of 30 feet for 1 hour. If you are flying when the duration expires, you descend at a rate of 30 feet per round until you land.</v>
      </c>
      <c r="L192" s="8">
        <f>IFERROR(__xludf.DUMMYFUNCTION("""COMPUTED_VALUE"""),1600.0)</f>
        <v>1600</v>
      </c>
    </row>
    <row r="193">
      <c r="A193" s="10" t="str">
        <f>IFERROR(__xludf.DUMMYFUNCTION("""COMPUTED_VALUE"""),"Mythallar Cloak")</f>
        <v>Mythallar Cloak</v>
      </c>
      <c r="B193" s="10" t="str">
        <f>IFERROR(__xludf.DUMMYFUNCTION("""COMPUTED_VALUE"""),"NF")</f>
        <v>NF</v>
      </c>
      <c r="C193" s="10" t="str">
        <f>IFERROR(__xludf.DUMMYFUNCTION("""COMPUTED_VALUE"""),"rare")</f>
        <v>rare</v>
      </c>
      <c r="D193" s="10" t="str">
        <f>IFERROR(__xludf.DUMMYFUNCTION("""COMPUTED_VALUE"""),"Wondrous Item")</f>
        <v>Wondrous Item</v>
      </c>
      <c r="E193" s="10" t="str">
        <f>IFERROR(__xludf.DUMMYFUNCTION("""COMPUTED_VALUE"""),"requires attunement")</f>
        <v>requires attunement</v>
      </c>
      <c r="F193" s="10"/>
      <c r="G193" s="10"/>
      <c r="H193" s="10"/>
      <c r="I193" s="10" t="str">
        <f>IFERROR(__xludf.DUMMYFUNCTION("""COMPUTED_VALUE"""),"This electric-blue cloak is studded with sewn-in crystals that are shards of a decommissioned mythallar. The cloak has 10 charges and regains 1d10 expended charges daily at dawn. While wearing the cloak, you can take a Bonus Action and expend 1 charge to "&amp;"activate the cloak's magic. The magic lasts for 1 minute or until you end it early (no action required).While the cloak's magic is active, you gain a Fly Speed of 30 feet and can hover. Additionally, once on each of your turns when you hit a creature with"&amp;" an attack roll and deal damage, you can cause the target to take an extra 1d4 Radiant damage. If you are aloft when the cloak's magic ends, you fall.")</f>
        <v>This electric-blue cloak is studded with sewn-in crystals that are shards of a decommissioned mythallar. The cloak has 10 charges and regains 1d10 expended charges daily at dawn. While wearing the cloak, you can take a Bonus Action and expend 1 charge to activate the cloak's magic. The magic lasts for 1 minute or until you end it early (no action required).While the cloak's magic is active, you gain a Fly Speed of 30 feet and can hover. Additionally, once on each of your turns when you hit a creature with an attack roll and deal damage, you can cause the target to take an extra 1d4 Radiant damage. If you are aloft when the cloak's magic ends, you fall.</v>
      </c>
      <c r="L193" s="10">
        <f>IFERROR(__xludf.DUMMYFUNCTION("""COMPUTED_VALUE"""),1850.0)</f>
        <v>1850</v>
      </c>
    </row>
    <row r="194">
      <c r="A194" s="8" t="str">
        <f>IFERROR(__xludf.DUMMYFUNCTION("""COMPUTED_VALUE"""),"Peregrine Mask")</f>
        <v>Peregrine Mask</v>
      </c>
      <c r="B194" s="8" t="str">
        <f>IFERROR(__xludf.DUMMYFUNCTION("""COMPUTED_VALUE"""),"GGR")</f>
        <v>GGR</v>
      </c>
      <c r="C194" s="8" t="str">
        <f>IFERROR(__xludf.DUMMYFUNCTION("""COMPUTED_VALUE"""),"very rare")</f>
        <v>very rare</v>
      </c>
      <c r="D194" s="8" t="str">
        <f>IFERROR(__xludf.DUMMYFUNCTION("""COMPUTED_VALUE"""),"Wondrous Item")</f>
        <v>Wondrous Item</v>
      </c>
      <c r="E194" s="8" t="str">
        <f>IFERROR(__xludf.DUMMYFUNCTION("""COMPUTED_VALUE"""),"requires attunement")</f>
        <v>requires attunement</v>
      </c>
      <c r="F194" s="8"/>
      <c r="G194" s="8"/>
      <c r="H194" s="8"/>
      <c r="I194" s="8" t="str">
        <f>IFERROR(__xludf.DUMMYFUNCTION("""COMPUTED_VALUE"""),"While wearing this winged helm, you have a flying speed of 60 feet. In addition, you have advantage on initiative rolls.")</f>
        <v>While wearing this winged helm, you have a flying speed of 60 feet. In addition, you have advantage on initiative rolls.</v>
      </c>
      <c r="L194" s="8">
        <f>IFERROR(__xludf.DUMMYFUNCTION("""COMPUTED_VALUE"""),2000.0)</f>
        <v>2000</v>
      </c>
    </row>
    <row r="195">
      <c r="A195" s="12"/>
      <c r="B195" s="12"/>
      <c r="C195" s="12"/>
      <c r="D195" s="12"/>
      <c r="E195" s="12"/>
      <c r="F195" s="12"/>
      <c r="G195" s="12"/>
      <c r="H195" s="12"/>
      <c r="I195" s="12"/>
      <c r="L195" s="12"/>
    </row>
    <row r="196">
      <c r="A196" s="6" t="s">
        <v>50</v>
      </c>
      <c r="L196" s="6"/>
    </row>
    <row r="197">
      <c r="A197" s="8" t="str">
        <f>IFERROR(__xludf.DUMMYFUNCTION("FILTER(MasterList_Hidden!A:J,Search(Left(A196,find("" "",A196)-1),MasterList_Hidden!K:K),MasterList_Hidden!J:J&lt;&gt;""Free to Guild Adventurers with Item Proficiency"",MasterList_Hidden!J:J&lt;&gt;""Free to Guild Adventurers in Good Standing"",MasterList_Hidden!J:J"&amp;"&lt;&gt;""Artificer Replicate Magic Item Only"")"),"Eldritch Claw Tattoo")</f>
        <v>Eldritch Claw Tattoo</v>
      </c>
      <c r="B197" s="8" t="str">
        <f>IFERROR(__xludf.DUMMYFUNCTION("""COMPUTED_VALUE"""),"TCE")</f>
        <v>TCE</v>
      </c>
      <c r="C197" s="8" t="str">
        <f>IFERROR(__xludf.DUMMYFUNCTION("""COMPUTED_VALUE"""),"uncommon")</f>
        <v>uncommon</v>
      </c>
      <c r="D197" s="8" t="str">
        <f>IFERROR(__xludf.DUMMYFUNCTION("""COMPUTED_VALUE"""),"Wondrous Item (Tattoo)")</f>
        <v>Wondrous Item (Tattoo)</v>
      </c>
      <c r="E197" s="8" t="str">
        <f>IFERROR(__xludf.DUMMYFUNCTION("""COMPUTED_VALUE"""),"requires attunement")</f>
        <v>requires attunement</v>
      </c>
      <c r="F197" s="8"/>
      <c r="G197" s="8"/>
      <c r="H197" s="8"/>
      <c r="I197" s="8" t="str">
        <f>IFERROR(__xludf.DUMMYFUNCTION("""COMPUTED_VALUE"""),"Produced by a special needle, this magic tattoo depicts claw-like forms and other jagged shapes.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Magical Strikes.  Eldritc"&amp;"h Maul. As a bonus action, you can empower the tattoo for 1 minute. For the duration, each of your melee attacks with a weapon or an unarmed strike can reach a target up to 15 feet away from you, as inky tendrils launch toward the target. In addition, you"&amp;"r melee attacks deal an extra 1d6 force damage on a hit. Once used, this bonus action can't be used again until the next dawn.")</f>
        <v>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Magical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v>
      </c>
      <c r="L197" s="8">
        <f>IFERROR(__xludf.DUMMYFUNCTION("FILTER(MasterList_Hidden!J:J,Search(Left(A196,find("" "",A196)-1),MasterList_Hidden!K:K),MasterList_Hidden!J:J&lt;&gt;""Free to Guild Adventurers with Item Proficiency"",MasterList_Hidden!J:J&lt;&gt;""Free to Guild Adventurers in Good Standing"",MasterList_Hidden!J:J"&amp;"&lt;&gt;""Artificer Replicate Magic Item Only"")"),650.0)</f>
        <v>650</v>
      </c>
    </row>
    <row r="198">
      <c r="A198" s="11" t="str">
        <f>IFERROR(__xludf.DUMMYFUNCTION("""COMPUTED_VALUE"""),"Boots of the Winterlands")</f>
        <v>Boots of the Winterlands</v>
      </c>
      <c r="B198" s="11" t="str">
        <f>IFERROR(__xludf.DUMMYFUNCTION("""COMPUTED_VALUE"""),"DMG'24")</f>
        <v>DMG'24</v>
      </c>
      <c r="C198" s="11" t="str">
        <f>IFERROR(__xludf.DUMMYFUNCTION("""COMPUTED_VALUE"""),"uncommon")</f>
        <v>uncommon</v>
      </c>
      <c r="D198" s="11" t="str">
        <f>IFERROR(__xludf.DUMMYFUNCTION("""COMPUTED_VALUE"""),"Wondrous Item")</f>
        <v>Wondrous Item</v>
      </c>
      <c r="E198" s="11" t="str">
        <f>IFERROR(__xludf.DUMMYFUNCTION("""COMPUTED_VALUE"""),"requires attunement")</f>
        <v>requires attunement</v>
      </c>
      <c r="F198" s="11"/>
      <c r="G198" s="11"/>
      <c r="H198" s="11"/>
      <c r="I198" s="11" t="str">
        <f>IFERROR(__xludf.DUMMYFUNCTION("""COMPUTED_VALUE"""),"These furred boots are snug and feel warm. While wearing them, you gain the following benefits. Cold Resistance. You have Resistance to Cold damage and can tolerate temperatures of 0 degrees Fahrenheit or lower without any additional protection. Winter St"&amp;"rider. You ignore Difficult Terrain created by ice or snow.")</f>
        <v>These furred boots are snug and feel warm. While wearing them, you gain the following benefits. Cold Resistance. You have Resistance to Cold damage and can tolerate temperatures of 0 degrees Fahrenheit or lower without any additional protection. Winter Strider. You ignore Difficult Terrain created by ice or snow.</v>
      </c>
      <c r="L198" s="11">
        <f>IFERROR(__xludf.DUMMYFUNCTION("""COMPUTED_VALUE"""),800.0)</f>
        <v>800</v>
      </c>
    </row>
    <row r="199">
      <c r="A199" s="8" t="str">
        <f>IFERROR(__xludf.DUMMYFUNCTION("""COMPUTED_VALUE"""),"Ring of Poison Resistance")</f>
        <v>Ring of Poison Resistance</v>
      </c>
      <c r="B199" s="8" t="str">
        <f>IFERROR(__xludf.DUMMYFUNCTION("""COMPUTED_VALUE"""),"DMG'24")</f>
        <v>DMG'24</v>
      </c>
      <c r="C199" s="8" t="str">
        <f>IFERROR(__xludf.DUMMYFUNCTION("""COMPUTED_VALUE"""),"rare")</f>
        <v>rare</v>
      </c>
      <c r="D199" s="8" t="str">
        <f>IFERROR(__xludf.DUMMYFUNCTION("""COMPUTED_VALUE"""),"Ring")</f>
        <v>Ring</v>
      </c>
      <c r="E199" s="8"/>
      <c r="F199" s="8"/>
      <c r="G199" s="8"/>
      <c r="H199" s="8"/>
      <c r="I199" s="8" t="str">
        <f>IFERROR(__xludf.DUMMYFUNCTION("""COMPUTED_VALUE"""),"You have Resistance to Poison damage while wearing this ring. The ring is set with amethyst.")</f>
        <v>You have Resistance to Poison damage while wearing this ring. The ring is set with amethyst.</v>
      </c>
      <c r="L199" s="8">
        <f>IFERROR(__xludf.DUMMYFUNCTION("""COMPUTED_VALUE"""),800.0)</f>
        <v>800</v>
      </c>
    </row>
    <row r="200">
      <c r="A200" s="10" t="str">
        <f>IFERROR(__xludf.DUMMYFUNCTION("""COMPUTED_VALUE"""),"Poison Absorbing Tattoo")</f>
        <v>Poison Absorbing Tattoo</v>
      </c>
      <c r="B200" s="10" t="str">
        <f>IFERROR(__xludf.DUMMYFUNCTION("""COMPUTED_VALUE"""),"TCE")</f>
        <v>TCE</v>
      </c>
      <c r="C200" s="10" t="str">
        <f>IFERROR(__xludf.DUMMYFUNCTION("""COMPUTED_VALUE"""),"very rare")</f>
        <v>very rare</v>
      </c>
      <c r="D200" s="10" t="str">
        <f>IFERROR(__xludf.DUMMYFUNCTION("""COMPUTED_VALUE"""),"Wondrous Item (Tattoo)")</f>
        <v>Wondrous Item (Tattoo)</v>
      </c>
      <c r="E200" s="10" t="str">
        <f>IFERROR(__xludf.DUMMYFUNCTION("""COMPUTED_VALUE"""),"requires attunement")</f>
        <v>requires attunement</v>
      </c>
      <c r="F200" s="10"/>
      <c r="G200" s="10"/>
      <c r="H200" s="10"/>
      <c r="I200" s="10" t="str">
        <f>IFERROR(__xludf.DUMMYFUNCTION("""COMPUTED_VALUE"""),"Produced by a special needle, this magic tattoo features designs that emphasize one color (violet).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poison damage. Damage Absorption. When you take poison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(violet).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poison damage. Damage Absorption. When you take poison damage, you can use your reaction to gain immunity against that instance of the damage, and you regain a number of hit points equal to half the damage you would have taken. Once this reaction is used, it can't be used again until the next dawn.</v>
      </c>
      <c r="L200" s="10">
        <f>IFERROR(__xludf.DUMMYFUNCTION("""COMPUTED_VALUE"""),800.0)</f>
        <v>800</v>
      </c>
    </row>
    <row r="201">
      <c r="A201" s="8" t="str">
        <f>IFERROR(__xludf.DUMMYFUNCTION("""COMPUTED_VALUE"""),"Brooch of Shielding")</f>
        <v>Brooch of Shielding</v>
      </c>
      <c r="B201" s="8" t="str">
        <f>IFERROR(__xludf.DUMMYFUNCTION("""COMPUTED_VALUE"""),"DMG'24")</f>
        <v>DMG'24</v>
      </c>
      <c r="C201" s="8" t="str">
        <f>IFERROR(__xludf.DUMMYFUNCTION("""COMPUTED_VALUE"""),"uncommon")</f>
        <v>uncommon</v>
      </c>
      <c r="D201" s="8" t="str">
        <f>IFERROR(__xludf.DUMMYFUNCTION("""COMPUTED_VALUE"""),"Wondrous Item")</f>
        <v>Wondrous Item</v>
      </c>
      <c r="E201" s="8" t="str">
        <f>IFERROR(__xludf.DUMMYFUNCTION("""COMPUTED_VALUE"""),"requires attunement")</f>
        <v>requires attunement</v>
      </c>
      <c r="F201" s="8"/>
      <c r="G201" s="8"/>
      <c r="H201" s="8"/>
      <c r="I201" s="8" t="str">
        <f>IFERROR(__xludf.DUMMYFUNCTION("""COMPUTED_VALUE"""),"While wearing this brooch, you have Resistance to Force damage, and you have Immunity to damage from the Magic Missile spell.")</f>
        <v>While wearing this brooch, you have Resistance to Force damage, and you have Immunity to damage from the Magic Missile spell.</v>
      </c>
      <c r="L201" s="8">
        <f>IFERROR(__xludf.DUMMYFUNCTION("""COMPUTED_VALUE"""),850.0)</f>
        <v>850</v>
      </c>
    </row>
    <row r="202">
      <c r="A202" s="10" t="str">
        <f>IFERROR(__xludf.DUMMYFUNCTION("""COMPUTED_VALUE"""),"Acid Absorbing Tattoo")</f>
        <v>Acid Absorbing Tattoo</v>
      </c>
      <c r="B202" s="10" t="str">
        <f>IFERROR(__xludf.DUMMYFUNCTION("""COMPUTED_VALUE"""),"TCE")</f>
        <v>TCE</v>
      </c>
      <c r="C202" s="10" t="str">
        <f>IFERROR(__xludf.DUMMYFUNCTION("""COMPUTED_VALUE"""),"very rare")</f>
        <v>very rare</v>
      </c>
      <c r="D202" s="10" t="str">
        <f>IFERROR(__xludf.DUMMYFUNCTION("""COMPUTED_VALUE"""),"Wondrous Item (Tattoo)")</f>
        <v>Wondrous Item (Tattoo)</v>
      </c>
      <c r="E202" s="10" t="str">
        <f>IFERROR(__xludf.DUMMYFUNCTION("""COMPUTED_VALUE"""),"requires attunement")</f>
        <v>requires attunement</v>
      </c>
      <c r="F202" s="10"/>
      <c r="G202" s="10"/>
      <c r="H202" s="10"/>
      <c r="I202" s="10" t="str">
        <f>IFERROR(__xludf.DUMMYFUNCTION("""COMPUTED_VALUE"""),"Produced by a special needle, this magic tattoo features designs that emphasize one color (green).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acid damage. Damage Absorption. When you take acid damage, you can use your reaction to gain immunity against that instance of the damage, and you regain a number of hit points equal to half the damage "&amp;"you would have taken. Once this reaction is used, it can't be used again until the next dawn.")</f>
        <v>Produced by a special needle, this magic tattoo features designs that emphasize one color (green).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acid damage. Damage Absorption. When you take acid damage, you can use your reaction to gain immunity against that instance of the damage, and you regain a number of hit points equal to half the damage you would have taken. Once this reaction is used, it can't be used again until the next dawn.</v>
      </c>
      <c r="L202" s="10">
        <f>IFERROR(__xludf.DUMMYFUNCTION("""COMPUTED_VALUE"""),900.0)</f>
        <v>900</v>
      </c>
    </row>
    <row r="203">
      <c r="A203" s="8" t="str">
        <f>IFERROR(__xludf.DUMMYFUNCTION("""COMPUTED_VALUE"""),"Cold Absorbing Tattoo")</f>
        <v>Cold Absorbing Tattoo</v>
      </c>
      <c r="B203" s="8" t="str">
        <f>IFERROR(__xludf.DUMMYFUNCTION("""COMPUTED_VALUE"""),"TCE")</f>
        <v>TCE</v>
      </c>
      <c r="C203" s="8" t="str">
        <f>IFERROR(__xludf.DUMMYFUNCTION("""COMPUTED_VALUE"""),"very rare")</f>
        <v>very rare</v>
      </c>
      <c r="D203" s="8" t="str">
        <f>IFERROR(__xludf.DUMMYFUNCTION("""COMPUTED_VALUE"""),"Wondrous Item (Tattoo)")</f>
        <v>Wondrous Item (Tattoo)</v>
      </c>
      <c r="E203" s="8" t="str">
        <f>IFERROR(__xludf.DUMMYFUNCTION("""COMPUTED_VALUE"""),"requires attunement")</f>
        <v>requires attunement</v>
      </c>
      <c r="F203" s="8"/>
      <c r="G203" s="8"/>
      <c r="H203" s="8"/>
      <c r="I203" s="8" t="str">
        <f>IFERROR(__xludf.DUMMYFUNCTION("""COMPUTED_VALUE"""),"Produced by a special needle, this magic tattoo features designs that emphasize one color (blue).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cold damage. Damage Absorption. When you take cold damage, you can use your reaction to gain immunity against that instance of the damage, and you regain a number of hit points equal to half the damage y"&amp;"ou would have taken. Once this reaction is used, it can't be used again until the next dawn.")</f>
        <v>Produced by a special needle, this magic tattoo features designs that emphasize one color (blue).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cold damage. Damage Absorption. When you take cold damage, you can use your reaction to gain immunity against that instance of the damage, and you regain a number of hit points equal to half the damage you would have taken. Once this reaction is used, it can't be used again until the next dawn.</v>
      </c>
      <c r="L203" s="8">
        <f>IFERROR(__xludf.DUMMYFUNCTION("""COMPUTED_VALUE"""),900.0)</f>
        <v>900</v>
      </c>
    </row>
    <row r="204">
      <c r="A204" s="10" t="str">
        <f>IFERROR(__xludf.DUMMYFUNCTION("""COMPUTED_VALUE"""),"Fire Absorbing Tattoo")</f>
        <v>Fire Absorbing Tattoo</v>
      </c>
      <c r="B204" s="10" t="str">
        <f>IFERROR(__xludf.DUMMYFUNCTION("""COMPUTED_VALUE"""),"TCE")</f>
        <v>TCE</v>
      </c>
      <c r="C204" s="10" t="str">
        <f>IFERROR(__xludf.DUMMYFUNCTION("""COMPUTED_VALUE"""),"very rare")</f>
        <v>very rare</v>
      </c>
      <c r="D204" s="10" t="str">
        <f>IFERROR(__xludf.DUMMYFUNCTION("""COMPUTED_VALUE"""),"Wondrous Item (Tattoo)")</f>
        <v>Wondrous Item (Tattoo)</v>
      </c>
      <c r="E204" s="10" t="str">
        <f>IFERROR(__xludf.DUMMYFUNCTION("""COMPUTED_VALUE"""),"requires attunement")</f>
        <v>requires attunement</v>
      </c>
      <c r="F204" s="10"/>
      <c r="G204" s="10"/>
      <c r="H204" s="10"/>
      <c r="I204" s="10" t="str">
        <f>IFERROR(__xludf.DUMMYFUNCTION("""COMPUTED_VALUE"""),"Produced by a special needle, this magic tattoo features designs that emphasize one color (red).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Damage Resistance. While "&amp;"the tattoo is on your skin, you have resistance to fire damage. Damage Absorption. When you take fire damage, you can use your reaction to gain immunity against that instance of the damage, and you regain a number of hit points equal to half the damage yo"&amp;"u would have taken. Once this reaction is used, it can't be used again until the next dawn.")</f>
        <v>Produced by a special needle, this magic tattoo features designs that emphasize one color (red).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fire damage. Damage Absorption. When you take fire damage, you can use your reaction to gain immunity against that instance of the damage, and you regain a number of hit points equal to half the damage you would have taken. Once this reaction is used, it can't be used again until the next dawn.</v>
      </c>
      <c r="L204" s="10">
        <f>IFERROR(__xludf.DUMMYFUNCTION("""COMPUTED_VALUE"""),900.0)</f>
        <v>900</v>
      </c>
    </row>
    <row r="205">
      <c r="A205" s="8" t="str">
        <f>IFERROR(__xludf.DUMMYFUNCTION("""COMPUTED_VALUE"""),"Lightning Absorbing Tattoo")</f>
        <v>Lightning Absorbing Tattoo</v>
      </c>
      <c r="B205" s="8" t="str">
        <f>IFERROR(__xludf.DUMMYFUNCTION("""COMPUTED_VALUE"""),"TCE")</f>
        <v>TCE</v>
      </c>
      <c r="C205" s="8" t="str">
        <f>IFERROR(__xludf.DUMMYFUNCTION("""COMPUTED_VALUE"""),"very rare")</f>
        <v>very rare</v>
      </c>
      <c r="D205" s="8" t="str">
        <f>IFERROR(__xludf.DUMMYFUNCTION("""COMPUTED_VALUE"""),"Wondrous Item (Tattoo)")</f>
        <v>Wondrous Item (Tattoo)</v>
      </c>
      <c r="E205" s="8" t="str">
        <f>IFERROR(__xludf.DUMMYFUNCTION("""COMPUTED_VALUE"""),"requires attunement")</f>
        <v>requires attunement</v>
      </c>
      <c r="F205" s="8"/>
      <c r="G205" s="8"/>
      <c r="H205" s="8"/>
      <c r="I205" s="8" t="str">
        <f>IFERROR(__xludf.DUMMYFUNCTION("""COMPUTED_VALUE"""),"Produced by a special needle, this magic tattoo features designs that emphasize one color (yellow).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lightning damage. Damage Absorption. When you take lightning damage, you can use your reaction to gain immunity against that instance of the damage, and you regain a number of hit points equal to half "&amp;"the damage you would have taken. Once this reaction is used, it can't be used again until the next dawn.")</f>
        <v>Produced by a special needle, this magic tattoo features designs that emphasize one color (yellow).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lightning damage. Damage Absorption. When you take lightning damage, you can use your reaction to gain immunity against that instance of the damage, and you regain a number of hit points equal to half the damage you would have taken. Once this reaction is used, it can't be used again until the next dawn.</v>
      </c>
      <c r="L205" s="8">
        <f>IFERROR(__xludf.DUMMYFUNCTION("""COMPUTED_VALUE"""),900.0)</f>
        <v>900</v>
      </c>
    </row>
    <row r="206">
      <c r="A206" s="10" t="str">
        <f>IFERROR(__xludf.DUMMYFUNCTION("""COMPUTED_VALUE"""),"Necrotic Absorbing Tattoo")</f>
        <v>Necrotic Absorbing Tattoo</v>
      </c>
      <c r="B206" s="10" t="str">
        <f>IFERROR(__xludf.DUMMYFUNCTION("""COMPUTED_VALUE"""),"TCE")</f>
        <v>TCE</v>
      </c>
      <c r="C206" s="10" t="str">
        <f>IFERROR(__xludf.DUMMYFUNCTION("""COMPUTED_VALUE"""),"very rare")</f>
        <v>very rare</v>
      </c>
      <c r="D206" s="10" t="str">
        <f>IFERROR(__xludf.DUMMYFUNCTION("""COMPUTED_VALUE"""),"Wondrous Item (Tattoo)")</f>
        <v>Wondrous Item (Tattoo)</v>
      </c>
      <c r="E206" s="10" t="str">
        <f>IFERROR(__xludf.DUMMYFUNCTION("""COMPUTED_VALUE"""),"requires attunement")</f>
        <v>requires attunement</v>
      </c>
      <c r="F206" s="10"/>
      <c r="G206" s="10"/>
      <c r="H206" s="10"/>
      <c r="I206" s="10" t="str">
        <f>IFERROR(__xludf.DUMMYFUNCTION("""COMPUTED_VALUE"""),"Produced by a special needle, this magic tattoo features designs that emphasize one color (black).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necrotic damage. Damage Absorption. When you take necrotic damage, you can use your reaction to gain immunity against that instance of the damage, and you regain a number of hit points equal to half the"&amp;" damage you would have taken. Once this reaction is used, it can't be used again until the next dawn.")</f>
        <v>Produced by a special needle, this magic tattoo features designs that emphasize one color (black).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necrotic damage. Damage Absorption. When you take necrotic damage, you can use your reaction to gain immunity against that instance of the damage, and you regain a number of hit points equal to half the damage you would have taken. Once this reaction is used, it can't be used again until the next dawn.</v>
      </c>
      <c r="L206" s="10">
        <f>IFERROR(__xludf.DUMMYFUNCTION("""COMPUTED_VALUE"""),900.0)</f>
        <v>900</v>
      </c>
    </row>
    <row r="207">
      <c r="A207" s="8" t="str">
        <f>IFERROR(__xludf.DUMMYFUNCTION("""COMPUTED_VALUE"""),"Psychic Absorbing Tattoo")</f>
        <v>Psychic Absorbing Tattoo</v>
      </c>
      <c r="B207" s="8" t="str">
        <f>IFERROR(__xludf.DUMMYFUNCTION("""COMPUTED_VALUE"""),"TCE")</f>
        <v>TCE</v>
      </c>
      <c r="C207" s="8" t="str">
        <f>IFERROR(__xludf.DUMMYFUNCTION("""COMPUTED_VALUE"""),"very rare")</f>
        <v>very rare</v>
      </c>
      <c r="D207" s="8" t="str">
        <f>IFERROR(__xludf.DUMMYFUNCTION("""COMPUTED_VALUE"""),"Wondrous Item (Tattoo)")</f>
        <v>Wondrous Item (Tattoo)</v>
      </c>
      <c r="E207" s="8" t="str">
        <f>IFERROR(__xludf.DUMMYFUNCTION("""COMPUTED_VALUE"""),"requires attunement")</f>
        <v>requires attunement</v>
      </c>
      <c r="F207" s="8"/>
      <c r="G207" s="8"/>
      <c r="H207" s="8"/>
      <c r="I207" s="8" t="str">
        <f>IFERROR(__xludf.DUMMYFUNCTION("""COMPUTED_VALUE"""),"Produced by a special needle, this magic tattoo features designs that emphasize one color (silver).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psychic damage. Damage Absorption. When you take psychic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(silver).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psychic damage. Damage Absorption. When you take psychic damage, you can use your reaction to gain immunity against that instance of the damage, and you regain a number of hit points equal to half the damage you would have taken. Once this reaction is used, it can't be used again until the next dawn.</v>
      </c>
      <c r="L207" s="8">
        <f>IFERROR(__xludf.DUMMYFUNCTION("""COMPUTED_VALUE"""),900.0)</f>
        <v>900</v>
      </c>
    </row>
    <row r="208">
      <c r="A208" s="10" t="str">
        <f>IFERROR(__xludf.DUMMYFUNCTION("""COMPUTED_VALUE"""),"Radiant Absorbing Tattoo")</f>
        <v>Radiant Absorbing Tattoo</v>
      </c>
      <c r="B208" s="10" t="str">
        <f>IFERROR(__xludf.DUMMYFUNCTION("""COMPUTED_VALUE"""),"TCE")</f>
        <v>TCE</v>
      </c>
      <c r="C208" s="10" t="str">
        <f>IFERROR(__xludf.DUMMYFUNCTION("""COMPUTED_VALUE"""),"very rare")</f>
        <v>very rare</v>
      </c>
      <c r="D208" s="10" t="str">
        <f>IFERROR(__xludf.DUMMYFUNCTION("""COMPUTED_VALUE"""),"Wondrous Item (Tattoo)")</f>
        <v>Wondrous Item (Tattoo)</v>
      </c>
      <c r="E208" s="10" t="str">
        <f>IFERROR(__xludf.DUMMYFUNCTION("""COMPUTED_VALUE"""),"requires attunement")</f>
        <v>requires attunement</v>
      </c>
      <c r="F208" s="10"/>
      <c r="G208" s="10"/>
      <c r="H208" s="10"/>
      <c r="I208" s="10" t="str">
        <f>IFERROR(__xludf.DUMMYFUNCTION("""COMPUTED_VALUE"""),"Produced by a special needle, this magic tattoo features designs that emphasize one color (gold).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radiant damage. Damage Absorption. When you take radiant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(gold).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radiant damage. Damage Absorption. When you take radiant damage, you can use your reaction to gain immunity against that instance of the damage, and you regain a number of hit points equal to half the damage you would have taken. Once this reaction is used, it can't be used again until the next dawn.</v>
      </c>
      <c r="L208" s="10">
        <f>IFERROR(__xludf.DUMMYFUNCTION("""COMPUTED_VALUE"""),900.0)</f>
        <v>900</v>
      </c>
    </row>
    <row r="209">
      <c r="A209" s="8" t="str">
        <f>IFERROR(__xludf.DUMMYFUNCTION("""COMPUTED_VALUE"""),"Thunder Absorbing Tattoo")</f>
        <v>Thunder Absorbing Tattoo</v>
      </c>
      <c r="B209" s="8" t="str">
        <f>IFERROR(__xludf.DUMMYFUNCTION("""COMPUTED_VALUE"""),"TCE")</f>
        <v>TCE</v>
      </c>
      <c r="C209" s="8" t="str">
        <f>IFERROR(__xludf.DUMMYFUNCTION("""COMPUTED_VALUE"""),"very rare")</f>
        <v>very rare</v>
      </c>
      <c r="D209" s="8" t="str">
        <f>IFERROR(__xludf.DUMMYFUNCTION("""COMPUTED_VALUE"""),"Wondrous Item (Tattoo)")</f>
        <v>Wondrous Item (Tattoo)</v>
      </c>
      <c r="E209" s="8" t="str">
        <f>IFERROR(__xludf.DUMMYFUNCTION("""COMPUTED_VALUE"""),"requires attunement")</f>
        <v>requires attunement</v>
      </c>
      <c r="F209" s="8"/>
      <c r="G209" s="8"/>
      <c r="H209" s="8"/>
      <c r="I209" s="8" t="str">
        <f>IFERROR(__xludf.DUMMYFUNCTION("""COMPUTED_VALUE"""),"Produced by a special needle, this magic tattoo features designs that emphasize one color (orange).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thunder damage. Damage Absorption. When you take thunder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(orange).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thunder damage. Damage Absorption. When you take thunder damage, you can use your reaction to gain immunity against that instance of the damage, and you regain a number of hit points equal to half the damage you would have taken. Once this reaction is used, it can't be used again until the next dawn.</v>
      </c>
      <c r="L209" s="8">
        <f>IFERROR(__xludf.DUMMYFUNCTION("""COMPUTED_VALUE"""),900.0)</f>
        <v>900</v>
      </c>
    </row>
    <row r="210">
      <c r="A210" s="10" t="str">
        <f>IFERROR(__xludf.DUMMYFUNCTION("""COMPUTED_VALUE"""),"Ring of Acid Resistance")</f>
        <v>Ring of Acid Resistance</v>
      </c>
      <c r="B210" s="10" t="str">
        <f>IFERROR(__xludf.DUMMYFUNCTION("""COMPUTED_VALUE"""),"DMG'24")</f>
        <v>DMG'24</v>
      </c>
      <c r="C210" s="10" t="str">
        <f>IFERROR(__xludf.DUMMYFUNCTION("""COMPUTED_VALUE"""),"rare")</f>
        <v>rare</v>
      </c>
      <c r="D210" s="10" t="str">
        <f>IFERROR(__xludf.DUMMYFUNCTION("""COMPUTED_VALUE"""),"Ring")</f>
        <v>Ring</v>
      </c>
      <c r="E210" s="10"/>
      <c r="F210" s="10"/>
      <c r="G210" s="10"/>
      <c r="H210" s="10"/>
      <c r="I210" s="10" t="str">
        <f>IFERROR(__xludf.DUMMYFUNCTION("""COMPUTED_VALUE"""),"You have Resistance to Acid damage while wearing this ring. The ring is set with pearl.")</f>
        <v>You have Resistance to Acid damage while wearing this ring. The ring is set with pearl.</v>
      </c>
      <c r="L210" s="10">
        <f>IFERROR(__xludf.DUMMYFUNCTION("""COMPUTED_VALUE"""),1000.0)</f>
        <v>1000</v>
      </c>
    </row>
    <row r="211">
      <c r="A211" s="8" t="str">
        <f>IFERROR(__xludf.DUMMYFUNCTION("""COMPUTED_VALUE"""),"Ring of Cold Resistance")</f>
        <v>Ring of Cold Resistance</v>
      </c>
      <c r="B211" s="8" t="str">
        <f>IFERROR(__xludf.DUMMYFUNCTION("""COMPUTED_VALUE"""),"DMG'24")</f>
        <v>DMG'24</v>
      </c>
      <c r="C211" s="8" t="str">
        <f>IFERROR(__xludf.DUMMYFUNCTION("""COMPUTED_VALUE"""),"rare")</f>
        <v>rare</v>
      </c>
      <c r="D211" s="8" t="str">
        <f>IFERROR(__xludf.DUMMYFUNCTION("""COMPUTED_VALUE"""),"Ring")</f>
        <v>Ring</v>
      </c>
      <c r="E211" s="8"/>
      <c r="F211" s="8"/>
      <c r="G211" s="8"/>
      <c r="H211" s="8"/>
      <c r="I211" s="8" t="str">
        <f>IFERROR(__xludf.DUMMYFUNCTION("""COMPUTED_VALUE"""),"You have Resistance to Cold damage while wearing this ring. The ring is set with tourmaline.")</f>
        <v>You have Resistance to Cold damage while wearing this ring. The ring is set with tourmaline.</v>
      </c>
      <c r="L211" s="8">
        <f>IFERROR(__xludf.DUMMYFUNCTION("""COMPUTED_VALUE"""),1000.0)</f>
        <v>1000</v>
      </c>
    </row>
    <row r="212">
      <c r="A212" s="10" t="str">
        <f>IFERROR(__xludf.DUMMYFUNCTION("""COMPUTED_VALUE"""),"Ring of Fire Resistance")</f>
        <v>Ring of Fire Resistance</v>
      </c>
      <c r="B212" s="10" t="str">
        <f>IFERROR(__xludf.DUMMYFUNCTION("""COMPUTED_VALUE"""),"DMG'24")</f>
        <v>DMG'24</v>
      </c>
      <c r="C212" s="10" t="str">
        <f>IFERROR(__xludf.DUMMYFUNCTION("""COMPUTED_VALUE"""),"rare")</f>
        <v>rare</v>
      </c>
      <c r="D212" s="10" t="str">
        <f>IFERROR(__xludf.DUMMYFUNCTION("""COMPUTED_VALUE"""),"Ring")</f>
        <v>Ring</v>
      </c>
      <c r="E212" s="10"/>
      <c r="F212" s="10"/>
      <c r="G212" s="10"/>
      <c r="H212" s="10"/>
      <c r="I212" s="10" t="str">
        <f>IFERROR(__xludf.DUMMYFUNCTION("""COMPUTED_VALUE"""),"You have Resistance to Fire damage while wearing this ring. The ring is set with garnet.")</f>
        <v>You have Resistance to Fire damage while wearing this ring. The ring is set with garnet.</v>
      </c>
      <c r="L212" s="10">
        <f>IFERROR(__xludf.DUMMYFUNCTION("""COMPUTED_VALUE"""),1000.0)</f>
        <v>1000</v>
      </c>
    </row>
    <row r="213">
      <c r="A213" s="8" t="str">
        <f>IFERROR(__xludf.DUMMYFUNCTION("""COMPUTED_VALUE"""),"Ring of Lightning Resistance")</f>
        <v>Ring of Lightning Resistance</v>
      </c>
      <c r="B213" s="8" t="str">
        <f>IFERROR(__xludf.DUMMYFUNCTION("""COMPUTED_VALUE"""),"DMG'24")</f>
        <v>DMG'24</v>
      </c>
      <c r="C213" s="8" t="str">
        <f>IFERROR(__xludf.DUMMYFUNCTION("""COMPUTED_VALUE"""),"rare")</f>
        <v>rare</v>
      </c>
      <c r="D213" s="8" t="str">
        <f>IFERROR(__xludf.DUMMYFUNCTION("""COMPUTED_VALUE"""),"Ring")</f>
        <v>Ring</v>
      </c>
      <c r="E213" s="8"/>
      <c r="F213" s="8"/>
      <c r="G213" s="8"/>
      <c r="H213" s="8"/>
      <c r="I213" s="8" t="str">
        <f>IFERROR(__xludf.DUMMYFUNCTION("""COMPUTED_VALUE"""),"You have Resistance to Lightning damage while wearing this ring. The ring is set with citrine.")</f>
        <v>You have Resistance to Lightning damage while wearing this ring. The ring is set with citrine.</v>
      </c>
      <c r="L213" s="8">
        <f>IFERROR(__xludf.DUMMYFUNCTION("""COMPUTED_VALUE"""),1000.0)</f>
        <v>1000</v>
      </c>
    </row>
    <row r="214">
      <c r="A214" s="10" t="str">
        <f>IFERROR(__xludf.DUMMYFUNCTION("""COMPUTED_VALUE"""),"Ring of Necrotic Resistance")</f>
        <v>Ring of Necrotic Resistance</v>
      </c>
      <c r="B214" s="10" t="str">
        <f>IFERROR(__xludf.DUMMYFUNCTION("""COMPUTED_VALUE"""),"DMG'24")</f>
        <v>DMG'24</v>
      </c>
      <c r="C214" s="10" t="str">
        <f>IFERROR(__xludf.DUMMYFUNCTION("""COMPUTED_VALUE"""),"rare")</f>
        <v>rare</v>
      </c>
      <c r="D214" s="10" t="str">
        <f>IFERROR(__xludf.DUMMYFUNCTION("""COMPUTED_VALUE"""),"Ring")</f>
        <v>Ring</v>
      </c>
      <c r="E214" s="10"/>
      <c r="F214" s="10"/>
      <c r="G214" s="10"/>
      <c r="H214" s="10"/>
      <c r="I214" s="10" t="str">
        <f>IFERROR(__xludf.DUMMYFUNCTION("""COMPUTED_VALUE"""),"You have Resistance to Necrotic damage while wearing this ring. The ring is set with jet.")</f>
        <v>You have Resistance to Necrotic damage while wearing this ring. The ring is set with jet.</v>
      </c>
      <c r="L214" s="10">
        <f>IFERROR(__xludf.DUMMYFUNCTION("""COMPUTED_VALUE"""),1000.0)</f>
        <v>1000</v>
      </c>
    </row>
    <row r="215">
      <c r="A215" s="8" t="str">
        <f>IFERROR(__xludf.DUMMYFUNCTION("""COMPUTED_VALUE"""),"Ring of Psychic Resistance")</f>
        <v>Ring of Psychic Resistance</v>
      </c>
      <c r="B215" s="8" t="str">
        <f>IFERROR(__xludf.DUMMYFUNCTION("""COMPUTED_VALUE"""),"DMG'24")</f>
        <v>DMG'24</v>
      </c>
      <c r="C215" s="8" t="str">
        <f>IFERROR(__xludf.DUMMYFUNCTION("""COMPUTED_VALUE"""),"rare")</f>
        <v>rare</v>
      </c>
      <c r="D215" s="8" t="str">
        <f>IFERROR(__xludf.DUMMYFUNCTION("""COMPUTED_VALUE"""),"Ring")</f>
        <v>Ring</v>
      </c>
      <c r="E215" s="8"/>
      <c r="F215" s="8"/>
      <c r="G215" s="8"/>
      <c r="H215" s="8"/>
      <c r="I215" s="8" t="str">
        <f>IFERROR(__xludf.DUMMYFUNCTION("""COMPUTED_VALUE"""),"You have Resistance to Psychic damage while wearing this ring. The ring is set with jade.")</f>
        <v>You have Resistance to Psychic damage while wearing this ring. The ring is set with jade.</v>
      </c>
      <c r="L215" s="8">
        <f>IFERROR(__xludf.DUMMYFUNCTION("""COMPUTED_VALUE"""),1000.0)</f>
        <v>1000</v>
      </c>
    </row>
    <row r="216">
      <c r="A216" s="10" t="str">
        <f>IFERROR(__xludf.DUMMYFUNCTION("""COMPUTED_VALUE"""),"Ring of Radiant Resistance")</f>
        <v>Ring of Radiant Resistance</v>
      </c>
      <c r="B216" s="10" t="str">
        <f>IFERROR(__xludf.DUMMYFUNCTION("""COMPUTED_VALUE"""),"DMG'24")</f>
        <v>DMG'24</v>
      </c>
      <c r="C216" s="10" t="str">
        <f>IFERROR(__xludf.DUMMYFUNCTION("""COMPUTED_VALUE"""),"rare")</f>
        <v>rare</v>
      </c>
      <c r="D216" s="10" t="str">
        <f>IFERROR(__xludf.DUMMYFUNCTION("""COMPUTED_VALUE"""),"Ring")</f>
        <v>Ring</v>
      </c>
      <c r="E216" s="10"/>
      <c r="F216" s="10"/>
      <c r="G216" s="10"/>
      <c r="H216" s="10"/>
      <c r="I216" s="10" t="str">
        <f>IFERROR(__xludf.DUMMYFUNCTION("""COMPUTED_VALUE"""),"You have Resistance to Radiant damage while wearing this ring. The ring is set with topaz.")</f>
        <v>You have Resistance to Radiant damage while wearing this ring. The ring is set with topaz.</v>
      </c>
      <c r="L216" s="10">
        <f>IFERROR(__xludf.DUMMYFUNCTION("""COMPUTED_VALUE"""),1000.0)</f>
        <v>1000</v>
      </c>
    </row>
    <row r="217">
      <c r="A217" s="8" t="str">
        <f>IFERROR(__xludf.DUMMYFUNCTION("""COMPUTED_VALUE"""),"Ring of Thunder Resistance")</f>
        <v>Ring of Thunder Resistance</v>
      </c>
      <c r="B217" s="8" t="str">
        <f>IFERROR(__xludf.DUMMYFUNCTION("""COMPUTED_VALUE"""),"DMG'24")</f>
        <v>DMG'24</v>
      </c>
      <c r="C217" s="8" t="str">
        <f>IFERROR(__xludf.DUMMYFUNCTION("""COMPUTED_VALUE"""),"rare")</f>
        <v>rare</v>
      </c>
      <c r="D217" s="8" t="str">
        <f>IFERROR(__xludf.DUMMYFUNCTION("""COMPUTED_VALUE"""),"Ring")</f>
        <v>Ring</v>
      </c>
      <c r="E217" s="8"/>
      <c r="F217" s="8"/>
      <c r="G217" s="8"/>
      <c r="H217" s="8"/>
      <c r="I217" s="8" t="str">
        <f>IFERROR(__xludf.DUMMYFUNCTION("""COMPUTED_VALUE"""),"You have Resistance to Thunder damage while wearing this ring. The ring is set with spinel.")</f>
        <v>You have Resistance to Thunder damage while wearing this ring. The ring is set with spinel.</v>
      </c>
      <c r="L217" s="8">
        <f>IFERROR(__xludf.DUMMYFUNCTION("""COMPUTED_VALUE"""),1000.0)</f>
        <v>1000</v>
      </c>
    </row>
    <row r="218">
      <c r="A218" s="10" t="str">
        <f>IFERROR(__xludf.DUMMYFUNCTION("""COMPUTED_VALUE"""),"Force Absorbing Tattoo")</f>
        <v>Force Absorbing Tattoo</v>
      </c>
      <c r="B218" s="10" t="str">
        <f>IFERROR(__xludf.DUMMYFUNCTION("""COMPUTED_VALUE"""),"TCE")</f>
        <v>TCE</v>
      </c>
      <c r="C218" s="10" t="str">
        <f>IFERROR(__xludf.DUMMYFUNCTION("""COMPUTED_VALUE"""),"very rare")</f>
        <v>very rare</v>
      </c>
      <c r="D218" s="10" t="str">
        <f>IFERROR(__xludf.DUMMYFUNCTION("""COMPUTED_VALUE"""),"Wondrous Item (Tattoo)")</f>
        <v>Wondrous Item (Tattoo)</v>
      </c>
      <c r="E218" s="10" t="str">
        <f>IFERROR(__xludf.DUMMYFUNCTION("""COMPUTED_VALUE"""),"requires attunement")</f>
        <v>requires attunement</v>
      </c>
      <c r="F218" s="10"/>
      <c r="G218" s="10"/>
      <c r="H218" s="10"/>
      <c r="I218" s="10" t="str">
        <f>IFERROR(__xludf.DUMMYFUNCTION("""COMPUTED_VALUE"""),"Produced by a special needle, this magic tattoo features designs that emphasize one color (white).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force damage. Damage Absorption. When you take force damage, you can use your reaction to gain immunity against that instance of the damage, and you regain a number of hit points equal to half the damag"&amp;"e you would have taken. Once this reaction is used, it can't be used again until the next dawn.")</f>
        <v>Produced by a special needle, this magic tattoo features designs that emphasize one color (white).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force damage. Damage Absorption. When you take force damage, you can use your reaction to gain immunity against that instance of the damage, and you regain a number of hit points equal to half the damage you would have taken. Once this reaction is used, it can't be used again until the next dawn.</v>
      </c>
      <c r="L218" s="10">
        <f>IFERROR(__xludf.DUMMYFUNCTION("""COMPUTED_VALUE"""),1000.0)</f>
        <v>1000</v>
      </c>
    </row>
    <row r="219">
      <c r="A219" s="8" t="str">
        <f>IFERROR(__xludf.DUMMYFUNCTION("""COMPUTED_VALUE"""),"Elemental Essence Shard (Earth)")</f>
        <v>Elemental Essence Shard (Earth)</v>
      </c>
      <c r="B219" s="8" t="str">
        <f>IFERROR(__xludf.DUMMYFUNCTION("""COMPUTED_VALUE"""),"TCE")</f>
        <v>TCE</v>
      </c>
      <c r="C219" s="8" t="str">
        <f>IFERROR(__xludf.DUMMYFUNCTION("""COMPUTED_VALUE"""),"rare")</f>
        <v>rare</v>
      </c>
      <c r="D219" s="8" t="str">
        <f>IFERROR(__xludf.DUMMYFUNCTION("""COMPUTED_VALUE"""),"Wondrous Item, Spellcasting Focus")</f>
        <v>Wondrous Item, Spellcasting Focus</v>
      </c>
      <c r="E219" s="8" t="str">
        <f>IFERROR(__xludf.DUMMYFUNCTION("""COMPUTED_VALUE"""),"requires attunement by a sorcerer")</f>
        <v>requires attunement by a sorcerer</v>
      </c>
      <c r="F219" s="8"/>
      <c r="G219" s="8"/>
      <c r="H219" s="8"/>
      <c r="I219"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gain resistance to a damage type of your choice until the start of your next tu"&amp;"rn.")</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gain resistance to a damage type of your choice until the start of your next turn.</v>
      </c>
      <c r="L219" s="8">
        <f>IFERROR(__xludf.DUMMYFUNCTION("""COMPUTED_VALUE"""),1200.0)</f>
        <v>1200</v>
      </c>
    </row>
    <row r="220">
      <c r="A220" s="10" t="str">
        <f>IFERROR(__xludf.DUMMYFUNCTION("""COMPUTED_VALUE"""),"Glimmering Moonbow")</f>
        <v>Glimmering Moonbow</v>
      </c>
      <c r="B220" s="10" t="str">
        <f>IFERROR(__xludf.DUMMYFUNCTION("""COMPUTED_VALUE"""),"BMT")</f>
        <v>BMT</v>
      </c>
      <c r="C220" s="10" t="str">
        <f>IFERROR(__xludf.DUMMYFUNCTION("""COMPUTED_VALUE"""),"rare")</f>
        <v>rare</v>
      </c>
      <c r="D220" s="10" t="str">
        <f>IFERROR(__xludf.DUMMYFUNCTION("""COMPUTED_VALUE"""),"Generic Variant")</f>
        <v>Generic Variant</v>
      </c>
      <c r="E220" s="10" t="str">
        <f>IFERROR(__xludf.DUMMYFUNCTION("""COMPUTED_VALUE"""),"requires attunement")</f>
        <v>requires attunement</v>
      </c>
      <c r="F220" s="10"/>
      <c r="G220" s="10"/>
      <c r="H220" s="10"/>
      <c r="I220" s="10" t="str">
        <f>IFERROR(__xludf.DUMMYFUNCTION("""COMPUTED_VALUE"""),"This silver-and-black bow is engraved with the phases of the moon. When you hit with a ranged attack roll using this magic bow, the target takes an extra 1d6 radiant damage. If you load no ammunition in the weapon, it produces its own, automatically creat"&amp;"ing one piece of magic ammunition when you make a ranged attack with it. The ammunition created by the bow vanishes the instant after it hits or misses a target. While wielding this magic bow, you can use a bonus action to enter a semi-incorporeal state u"&amp;"ntil the start of your next turn. While semi-incorporeal, you have resistance to bludgeoning, piercing, and slashing damage. Once this bonus action is used, it can't be used again until the next dawn. 
Applied to non-magical Base Equipment.")</f>
        <v>This silver-and-black bow is engraved with the phases of the moon.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 
Applied to non-magical Base Equipment.</v>
      </c>
      <c r="L220" s="10">
        <f>IFERROR(__xludf.DUMMYFUNCTION("""COMPUTED_VALUE"""),1200.0)</f>
        <v>1200</v>
      </c>
    </row>
    <row r="221">
      <c r="A221" s="8" t="str">
        <f>IFERROR(__xludf.DUMMYFUNCTION("""COMPUTED_VALUE"""),"Ring of Force Resistance")</f>
        <v>Ring of Force Resistance</v>
      </c>
      <c r="B221" s="8" t="str">
        <f>IFERROR(__xludf.DUMMYFUNCTION("""COMPUTED_VALUE"""),"DMG'24")</f>
        <v>DMG'24</v>
      </c>
      <c r="C221" s="8" t="str">
        <f>IFERROR(__xludf.DUMMYFUNCTION("""COMPUTED_VALUE"""),"rare")</f>
        <v>rare</v>
      </c>
      <c r="D221" s="8" t="str">
        <f>IFERROR(__xludf.DUMMYFUNCTION("""COMPUTED_VALUE"""),"Ring")</f>
        <v>Ring</v>
      </c>
      <c r="E221" s="8"/>
      <c r="F221" s="8"/>
      <c r="G221" s="8"/>
      <c r="H221" s="8"/>
      <c r="I221" s="8" t="str">
        <f>IFERROR(__xludf.DUMMYFUNCTION("""COMPUTED_VALUE"""),"You have Resistance to Force damage while wearing this ring. The ring is set with sapphire.")</f>
        <v>You have Resistance to Force damage while wearing this ring. The ring is set with sapphire.</v>
      </c>
      <c r="L221" s="8">
        <f>IFERROR(__xludf.DUMMYFUNCTION("""COMPUTED_VALUE"""),1200.0)</f>
        <v>1200</v>
      </c>
    </row>
    <row r="222">
      <c r="A222" s="10" t="str">
        <f>IFERROR(__xludf.DUMMYFUNCTION("""COMPUTED_VALUE"""),"Nimbus Coronet")</f>
        <v>Nimbus Coronet</v>
      </c>
      <c r="B222" s="10" t="str">
        <f>IFERROR(__xludf.DUMMYFUNCTION("""COMPUTED_VALUE"""),"BGG")</f>
        <v>BGG</v>
      </c>
      <c r="C222" s="10" t="str">
        <f>IFERROR(__xludf.DUMMYFUNCTION("""COMPUTED_VALUE"""),"very rare")</f>
        <v>very rare</v>
      </c>
      <c r="D222" s="10" t="str">
        <f>IFERROR(__xludf.DUMMYFUNCTION("""COMPUTED_VALUE"""),"Wondrous Item")</f>
        <v>Wondrous Item</v>
      </c>
      <c r="E222" s="10" t="str">
        <f>IFERROR(__xludf.DUMMYFUNCTION("""COMPUTED_VALUE"""),"requires attunement")</f>
        <v>requires attunement</v>
      </c>
      <c r="F222" s="10"/>
      <c r="G222" s="10"/>
      <c r="H222" s="10"/>
      <c r="I222" s="10" t="str">
        <f>IFERROR(__xludf.DUMMYFUNCTION("""COMPUTED_VALUE"""),"The design of this bronze circlet resembles swirling clouds. At its center is set a deep-blue stone, upon which is inscribed the cloud rune.While wearing this circlet, you take no damage from falling. Additionally, as a bonus action, you and everything yo"&amp;"u are wearing or carrying can teleport to an unoccupied space you can see within 15 feet of yourself, reappearing in a puff of shimmering clouds. Invoking the Rune. As an action, you can invoke the circlet's rune to assume a cloudlike form. The form lasts"&amp;" for 1 minute, until you are incapacitated, or until you dismiss it (no action required).While in cloud form, you have a flying speed of 60 feet and resistance to bludgeoning, piercing, and slashing damage. Once the rune has been invoked, it can't be invo"&amp;"ked again until the next dawn.")</f>
        <v>The design of this bronze circlet resembles swirling clouds. At its center is set a deep-blue stone, upon which is inscribed the cloud rune.While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required).While in cloud form, you have a flying speed of 60 feet and resistance to bludgeoning, piercing, and slashing damage. Once the rune has been invoked, it can't be invoked again until the next dawn.</v>
      </c>
      <c r="L222" s="10">
        <f>IFERROR(__xludf.DUMMYFUNCTION("""COMPUTED_VALUE"""),1200.0)</f>
        <v>1200</v>
      </c>
    </row>
    <row r="223">
      <c r="A223" s="8" t="str">
        <f>IFERROR(__xludf.DUMMYFUNCTION("""COMPUTED_VALUE"""),"Molten Bronze Skin")</f>
        <v>Molten Bronze Skin</v>
      </c>
      <c r="B223" s="8" t="str">
        <f>IFERROR(__xludf.DUMMYFUNCTION("""COMPUTED_VALUE"""),"MOT")</f>
        <v>MOT</v>
      </c>
      <c r="C223" s="8" t="str">
        <f>IFERROR(__xludf.DUMMYFUNCTION("""COMPUTED_VALUE"""),"rare")</f>
        <v>rare</v>
      </c>
      <c r="D223" s="8" t="str">
        <f>IFERROR(__xludf.DUMMYFUNCTION("""COMPUTED_VALUE"""),"Generic Variant")</f>
        <v>Generic Variant</v>
      </c>
      <c r="E223" s="8" t="str">
        <f>IFERROR(__xludf.DUMMYFUNCTION("""COMPUTED_VALUE"""),"requires attunement")</f>
        <v>requires attunement</v>
      </c>
      <c r="F223" s="8"/>
      <c r="G223" s="8"/>
      <c r="H223" s="8"/>
      <c r="I223" s="8" t="str">
        <f>IFERROR(__xludf.DUMMYFUNCTION("""COMPUTED_VALUE"""),"This magical armor appears as a jug of molten bronze. When you attune to it, the bronze adheres and contours to your skin. The armor can be worn under normal clothes, but it doesn't impede bodily functions. Once you put it on, it can't be removed unless y"&amp;"ou choose to do so.While wearing the armor, you have resistance to fire damage. The armor also doesn't impose disadvantage on Dexterity (Stealth) checks.
Applied to non-magical Base Equipment.")</f>
        <v>This magical armor appears as a jug of molten bronze. When you attune to it, the bronze adheres and contours to your skin. The armor can be worn under normal clothes, but it doesn't impede bodily functions. Once you put it on, it can't be removed unless you choose to do so.While wearing the armor, you have resistance to fire damage. The armor also doesn't impose disadvantage on Dexterity (Stealth) checks.
Applied to non-magical Base Equipment.</v>
      </c>
      <c r="L223" s="8">
        <f>IFERROR(__xludf.DUMMYFUNCTION("""COMPUTED_VALUE"""),1350.0)</f>
        <v>1350</v>
      </c>
    </row>
    <row r="224">
      <c r="A224" s="10" t="str">
        <f>IFERROR(__xludf.DUMMYFUNCTION("""COMPUTED_VALUE"""),"Mindguard Crown")</f>
        <v>Mindguard Crown</v>
      </c>
      <c r="B224" s="10" t="str">
        <f>IFERROR(__xludf.DUMMYFUNCTION("""COMPUTED_VALUE"""),"PaBTSO")</f>
        <v>PaBTSO</v>
      </c>
      <c r="C224" s="10" t="str">
        <f>IFERROR(__xludf.DUMMYFUNCTION("""COMPUTED_VALUE"""),"very rare")</f>
        <v>very rare</v>
      </c>
      <c r="D224" s="10" t="str">
        <f>IFERROR(__xludf.DUMMYFUNCTION("""COMPUTED_VALUE"""),"Wondrous Item")</f>
        <v>Wondrous Item</v>
      </c>
      <c r="E224" s="10" t="str">
        <f>IFERROR(__xludf.DUMMYFUNCTION("""COMPUTED_VALUE"""),"requires attunement")</f>
        <v>requires attunement</v>
      </c>
      <c r="F224" s="10"/>
      <c r="G224" s="10"/>
      <c r="H224" s="10"/>
      <c r="I224" s="10" t="str">
        <f>IFERROR(__xludf.DUMMYFUNCTION("""COMPUTED_VALUE"""),"While you wear this adamantine crown, you have advantage on Intelligence, Wisdom, and Charisma saving throws, and you have resistance to psychic damage.")</f>
        <v>While you wear this adamantine crown, you have advantage on Intelligence, Wisdom, and Charisma saving throws, and you have resistance to psychic damage.</v>
      </c>
      <c r="L224" s="10">
        <f>IFERROR(__xludf.DUMMYFUNCTION("""COMPUTED_VALUE"""),1400.0)</f>
        <v>1400</v>
      </c>
    </row>
    <row r="225">
      <c r="A225" s="8" t="str">
        <f>IFERROR(__xludf.DUMMYFUNCTION("""COMPUTED_VALUE"""),"Frost Brand")</f>
        <v>Frost Brand</v>
      </c>
      <c r="B225" s="8" t="str">
        <f>IFERROR(__xludf.DUMMYFUNCTION("""COMPUTED_VALUE"""),"DMG'24")</f>
        <v>DMG'24</v>
      </c>
      <c r="C225" s="8" t="str">
        <f>IFERROR(__xludf.DUMMYFUNCTION("""COMPUTED_VALUE"""),"very rare")</f>
        <v>very rare</v>
      </c>
      <c r="D225" s="8" t="str">
        <f>IFERROR(__xludf.DUMMYFUNCTION("""COMPUTED_VALUE"""),"Generic Variant")</f>
        <v>Generic Variant</v>
      </c>
      <c r="E225" s="8" t="str">
        <f>IFERROR(__xludf.DUMMYFUNCTION("""COMPUTED_VALUE"""),"requires attunement")</f>
        <v>requires attunement</v>
      </c>
      <c r="F225" s="8"/>
      <c r="G225" s="8"/>
      <c r="H225" s="8"/>
      <c r="I225" s="8" t="str">
        <f>IFERROR(__xludf.DUMMYFUNCTION("""COMPUTED_VALUE"""),"When you hit with an attack roll using this magic weapon, the target takes an extra 1d6 Cold damage. In addition, while you hold the weapon, you have Resistance to Fire damage.In freezing temperatures, the weapon sheds Bright Light in a 10-foot radius and"&amp;" Dim Light for an additional 10 feet.When you draw this weapon, you can extinguish all nonmagical flames within 30 feet of yourself. Once used, this property can't be used again for 1 hour. 
Applied to non-magical Base Equipment.")</f>
        <v>When you hit with an attack roll using this magic weapon, the target takes an extra 1d6 Cold damage. In addition, while you hold the weapon, you have Resistance to Fire damage.In freezing temperatures, the weapon sheds Bright Light in a 10-foot radius and Dim Light for an additional 10 feet.When you draw this weapon, you can extinguish all nonmagical flames within 30 feet of yourself. Once used, this property can't be used again for 1 hour. 
Applied to non-magical Base Equipment.</v>
      </c>
      <c r="L225" s="8">
        <f>IFERROR(__xludf.DUMMYFUNCTION("""COMPUTED_VALUE"""),1500.0)</f>
        <v>1500</v>
      </c>
    </row>
    <row r="226">
      <c r="A226" s="10" t="str">
        <f>IFERROR(__xludf.DUMMYFUNCTION("""COMPUTED_VALUE"""),"Cloak of Arachnida")</f>
        <v>Cloak of Arachnida</v>
      </c>
      <c r="B226" s="10" t="str">
        <f>IFERROR(__xludf.DUMMYFUNCTION("""COMPUTED_VALUE"""),"DMG'24")</f>
        <v>DMG'24</v>
      </c>
      <c r="C226" s="10" t="str">
        <f>IFERROR(__xludf.DUMMYFUNCTION("""COMPUTED_VALUE"""),"very rare")</f>
        <v>very rare</v>
      </c>
      <c r="D226" s="10" t="str">
        <f>IFERROR(__xludf.DUMMYFUNCTION("""COMPUTED_VALUE"""),"Wondrous Item")</f>
        <v>Wondrous Item</v>
      </c>
      <c r="E226" s="10" t="str">
        <f>IFERROR(__xludf.DUMMYFUNCTION("""COMPUTED_VALUE"""),"requires attunement")</f>
        <v>requires attunement</v>
      </c>
      <c r="F226" s="10"/>
      <c r="G226" s="10"/>
      <c r="H226" s="10"/>
      <c r="I226" s="10" t="str">
        <f>IFERROR(__xludf.DUMMYFUNCTION("""COMPUTED_VALUE"""),"This fine garment is made of black silk interwoven with faint, silvery threads. While wearing it, you gain the following benefits. Poison Resistance. You have Resistance to Poison damage. Spider Climb. You have a Climb Speed equal to your Speed and can mo"&amp;"ve up, down, and across vertical surfaces and along ceilings, while leaving your hands free. Spider Walk. You can't be caught in webs of any sort and can move through webs as if they were Difficult Terrain. Web. You can cast Web (save DC 13). The web crea"&amp;"ted by the spell fills twice its normal area. Once used, this property can't be used again until the next dawn.")</f>
        <v>This fine garment is made of black silk interwoven with faint, silvery threads. While wearing it, you gain the following benefits. Poison Resistance. You have Resistance to Poison damage. Spider Climb. You have a Climb Speed equal to your Speed and can move up, down, and across vertical surfaces and along ceilings, while leaving your hands free. Spider Walk. You can't be caught in webs of any sort and can move through webs as if they were Difficult Terrain. Web. You can cast Web (save DC 13). The web created by the spell fills twice its normal area. Once used, this property can't be used again until the next dawn.</v>
      </c>
      <c r="L226" s="10">
        <f>IFERROR(__xludf.DUMMYFUNCTION("""COMPUTED_VALUE"""),1600.0)</f>
        <v>1600</v>
      </c>
    </row>
    <row r="227">
      <c r="A227" s="8" t="str">
        <f>IFERROR(__xludf.DUMMYFUNCTION("""COMPUTED_VALUE"""),"Mistral Mantle")</f>
        <v>Mistral Mantle</v>
      </c>
      <c r="B227" s="8" t="str">
        <f>IFERROR(__xludf.DUMMYFUNCTION("""COMPUTED_VALUE"""),"BGG")</f>
        <v>BGG</v>
      </c>
      <c r="C227" s="8" t="str">
        <f>IFERROR(__xludf.DUMMYFUNCTION("""COMPUTED_VALUE"""),"very rare")</f>
        <v>very rare</v>
      </c>
      <c r="D227" s="8" t="str">
        <f>IFERROR(__xludf.DUMMYFUNCTION("""COMPUTED_VALUE"""),"Wondrous Item")</f>
        <v>Wondrous Item</v>
      </c>
      <c r="E227" s="8" t="str">
        <f>IFERROR(__xludf.DUMMYFUNCTION("""COMPUTED_VALUE"""),"requires attunement")</f>
        <v>requires attunement</v>
      </c>
      <c r="F227" s="8"/>
      <c r="G227" s="8"/>
      <c r="H227" s="8"/>
      <c r="I227" s="8" t="str">
        <f>IFERROR(__xludf.DUMMYFUNCTION("""COMPUTED_VALUE"""),"This thick, fur-lined cloak has the frost rune stitched on the hem in silvery blue thread. Frigid wind swirls around the cloak, regardless of the weather.While wearing this cloak, you have resistance to cold damage. Additionally, when you move within 5 fe"&amp;"et of a creature, you can cause the cloak's cold wind to buffet the creature. The creature must succeed on a DC 14 Dexterity saving throw or take 1d6 cold damage and have the prone condition. A creature can be affected by the mantle only once during a tur"&amp;"n. Invoking the Rune. As an action, you can invoke the mantle's rune to cast the sleet storm spell (save DC 14) with it. When you use the mantle to cast the spell, the area of the spell isn't difficult terrain for you, and you can see through the storm, i"&amp;"gnoring the normal penalties of a heavily obscured area.Once the rune has been invoked, it can't be invoked again until the next dawn.")</f>
        <v>This thick, fur-lined cloak has the frost rune stitched on the hem in silvery blue thread. Frigid wind swirls around the cloak, regardless of the weather.While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area.Once the rune has been invoked, it can't be invoked again until the next dawn.</v>
      </c>
      <c r="L227" s="8">
        <f>IFERROR(__xludf.DUMMYFUNCTION("""COMPUTED_VALUE"""),1600.0)</f>
        <v>1600</v>
      </c>
    </row>
    <row r="228">
      <c r="A228" s="10" t="str">
        <f>IFERROR(__xludf.DUMMYFUNCTION("""COMPUTED_VALUE"""),"Sanctum Amulet")</f>
        <v>Sanctum Amulet</v>
      </c>
      <c r="B228" s="10" t="str">
        <f>IFERROR(__xludf.DUMMYFUNCTION("""COMPUTED_VALUE"""),"BGG")</f>
        <v>BGG</v>
      </c>
      <c r="C228" s="10" t="str">
        <f>IFERROR(__xludf.DUMMYFUNCTION("""COMPUTED_VALUE"""),"very rare")</f>
        <v>very rare</v>
      </c>
      <c r="D228" s="10" t="str">
        <f>IFERROR(__xludf.DUMMYFUNCTION("""COMPUTED_VALUE"""),"Wondrous Item")</f>
        <v>Wondrous Item</v>
      </c>
      <c r="E228" s="10" t="str">
        <f>IFERROR(__xludf.DUMMYFUNCTION("""COMPUTED_VALUE"""),"requires attunement")</f>
        <v>requires attunement</v>
      </c>
      <c r="F228" s="10"/>
      <c r="G228" s="10"/>
      <c r="H228" s="10"/>
      <c r="I228" s="10" t="str">
        <f>IFERROR(__xludf.DUMMYFUNCTION("""COMPUTED_VALUE"""),"A black opal pendant hangs at the base of this pearlescent chain. The sacred rune is inscribed on the back of the pendant. While wearing this item, you have resistance to necrotic damage. Additionally, you can cast the spare the dying cantrip using either"&amp;" an action or a bonus action. Invoking the Rune. When a creature you can see within 60 feet of you is reduced to 0 hit points as a result of taking damage, you can use your reaction to invoke the item's rune, causing the pendant to flash with pale light. "&amp;"The creature then instead drops to 1 hit point. Once the rune has been invoked, it can't be invoked again until the next dawn.")</f>
        <v>A black opal pendant hangs at the base of this pearlescent chain. The sacred rune is inscribed on the back of the pendant. While wearing this item, you have resistance to necrotic damage. Additionally, you can cast the spare the dying cantrip using either an action or a bonus action. Invoking the Rune.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v>
      </c>
      <c r="L228" s="10">
        <f>IFERROR(__xludf.DUMMYFUNCTION("""COMPUTED_VALUE"""),1600.0)</f>
        <v>1600</v>
      </c>
    </row>
    <row r="229">
      <c r="A229" s="8" t="str">
        <f>IFERROR(__xludf.DUMMYFUNCTION("""COMPUTED_VALUE"""),"Lost Crown of Besilmer")</f>
        <v>Lost Crown of Besilmer</v>
      </c>
      <c r="B229" s="8" t="str">
        <f>IFERROR(__xludf.DUMMYFUNCTION("""COMPUTED_VALUE"""),"PotA")</f>
        <v>PotA</v>
      </c>
      <c r="C229" s="8" t="str">
        <f>IFERROR(__xludf.DUMMYFUNCTION("""COMPUTED_VALUE"""),"legendary")</f>
        <v>legendary</v>
      </c>
      <c r="D229" s="8" t="str">
        <f>IFERROR(__xludf.DUMMYFUNCTION("""COMPUTED_VALUE"""),"Wondrous Item")</f>
        <v>Wondrous Item</v>
      </c>
      <c r="E229" s="8" t="str">
        <f>IFERROR(__xludf.DUMMYFUNCTION("""COMPUTED_VALUE"""),"requires attunement")</f>
        <v>requires attunement</v>
      </c>
      <c r="F229" s="8"/>
      <c r="G229" s="8"/>
      <c r="H229" s="8"/>
      <c r="I229" s="8" t="str">
        <f>IFERROR(__xludf.DUMMYFUNCTION("""COMPUTED_VALUE"""),"This dwarven battle-helm consists of a sturdy open-faced steel helmet, decorated with a golden circlet above the brow from which seven small gold spikes project upward. You gain the following benefits while wearing the crown:You have resistance to psychic"&amp;" damage.You have advantage on saving throws against effects that would charm you.You can use a bonus action to inspire one creature you can see that is within 60 feet of you and that can see or hear you. Once before the end of your next turn, the inspired"&amp;" creature can roll a d6 and add the number rolled to one ability check, attack roll, or saving throw it makes. This uses 1 charge from the crown. It has 3 charges, and it regains 1d3 expended charges daily at dawn.")</f>
        <v>This dwarven battle-helm consists of a sturdy open-faced steel helmet, decorated with a golden circlet above the brow from which seven small gold spikes project upward. You gain the following benefits while wearing the crown:You have resistance to psychic damage.You have advantage on saving throws against effects that would charm you.You can use a bonus action to inspire one creature you can see that is within 60 feet of you and that can see or hear you. Once before the end of your next turn, the inspired creature can roll a d6 and add the number rolled to one ability check, attack roll, or saving throw it makes. This uses 1 charge from the crown. It has 3 charges, and it regains 1d3 expended charges daily at dawn.</v>
      </c>
      <c r="L229" s="8">
        <f>IFERROR(__xludf.DUMMYFUNCTION("""COMPUTED_VALUE"""),1800.0)</f>
        <v>1800</v>
      </c>
    </row>
    <row r="230">
      <c r="A230" s="10" t="str">
        <f>IFERROR(__xludf.DUMMYFUNCTION("""COMPUTED_VALUE"""),"Belt of Dwarvenkind")</f>
        <v>Belt of Dwarvenkind</v>
      </c>
      <c r="B230" s="10" t="str">
        <f>IFERROR(__xludf.DUMMYFUNCTION("""COMPUTED_VALUE"""),"DMG'24")</f>
        <v>DMG'24</v>
      </c>
      <c r="C230" s="10" t="str">
        <f>IFERROR(__xludf.DUMMYFUNCTION("""COMPUTED_VALUE"""),"rare")</f>
        <v>rare</v>
      </c>
      <c r="D230" s="10" t="str">
        <f>IFERROR(__xludf.DUMMYFUNCTION("""COMPUTED_VALUE"""),"Wondrous Item")</f>
        <v>Wondrous Item</v>
      </c>
      <c r="E230" s="10" t="str">
        <f>IFERROR(__xludf.DUMMYFUNCTION("""COMPUTED_VALUE"""),"requires attunement")</f>
        <v>requires attunement</v>
      </c>
      <c r="F230" s="10"/>
      <c r="G230" s="10"/>
      <c r="H230" s="10"/>
      <c r="I230" s="10" t="str">
        <f>IFERROR(__xludf.DUMMYFUNCTION("""COMPUTED_VALUE"""),"While wearing this belt, you gain the following benefits:Dwarvish. You know Dwarvish.Friend of Dwarvenkind. You have Advantage on Charisma (Persuasion) checks made to interact with dwarves and duergar.Toughness. Your Constitution increases by 2, to a maxi"&amp;"mum of 20.In addition, while attuned to the belt, you have a 50 percent chance each day at dawn of growing a full beard if you can grow one, or a thicker beard if you already have one.If you aren't a dwarf or duergar, you gain the following additional ben"&amp;"efits while wearing the belt:Darkvision. You have Darkvision with a range of 60 feet.Resilience. You have Resistance to Poison damage. You also have Advantage on saving throws you make to avoid or end the Poisoned condition.")</f>
        <v>While wearing this belt, you gain the following benefits:Dwarvish. You know Dwarvish.Friend of Dwarvenkind. You have Advantage on Charisma (Persuasion) checks made to interact with dwarves and duergar.Toughness. Your Constitution increases by 2, to a maximum of 20.In addition, while attuned to the belt, you have a 50 percent chance each day at dawn of growing a full beard if you can grow one, or a thicker beard if you already have one.If you aren't a dwarf or duergar, you gain the following additional benefits while wearing the belt:Darkvision. You have Darkvision with a range of 60 feet.Resilience. You have Resistance to Poison damage. You also have Advantage on saving throws you make to avoid or end the Poisoned condition.</v>
      </c>
      <c r="L230" s="10">
        <f>IFERROR(__xludf.DUMMYFUNCTION("""COMPUTED_VALUE"""),2100.0)</f>
        <v>2100</v>
      </c>
    </row>
    <row r="231">
      <c r="A231" s="8" t="str">
        <f>IFERROR(__xludf.DUMMYFUNCTION("""COMPUTED_VALUE"""),"Sapphire Buckler")</f>
        <v>Sapphire Buckler</v>
      </c>
      <c r="B231" s="8" t="str">
        <f>IFERROR(__xludf.DUMMYFUNCTION("""COMPUTED_VALUE"""),"FTD")</f>
        <v>FTD</v>
      </c>
      <c r="C231" s="8" t="str">
        <f>IFERROR(__xludf.DUMMYFUNCTION("""COMPUTED_VALUE"""),"very rare")</f>
        <v>very rare</v>
      </c>
      <c r="D231" s="8" t="str">
        <f>IFERROR(__xludf.DUMMYFUNCTION("""COMPUTED_VALUE"""),"Shield")</f>
        <v>Shield</v>
      </c>
      <c r="E231" s="8" t="str">
        <f>IFERROR(__xludf.DUMMYFUNCTION("""COMPUTED_VALUE"""),"requires attunement")</f>
        <v>requires attunement</v>
      </c>
      <c r="F231" s="8" t="str">
        <f>IFERROR(__xludf.DUMMYFUNCTION("""COMPUTED_VALUE"""),"AC +2")</f>
        <v>AC +2</v>
      </c>
      <c r="G231" s="8"/>
      <c r="H231" s="8"/>
      <c r="I231" s="8" t="str">
        <f>IFERROR(__xludf.DUMMYFUNCTION("""COMPUTED_VALUE"""),"This crystalline blue shield is fashioned from a sapphire dragon's scale and is created to aid in rooting out the influence of Aberrations. While wielding the shield, you have resistance to psychic and thunder damage. Also, when you take damage from a cre"&amp;"ature that is within 5 feet of you, you can use your reaction to deal 2d6 thunder damage to that creature. As an action, you can use the shield to help you locate Aberrations until the end of your next turn. If any Aberrations are within 1 mile of you, th"&amp;"e shield emits a low humming tone for a moment, and you know the direction of all Aberrations within that range. Once this property is used, it can't be used again until the next dawn.")</f>
        <v>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v>
      </c>
      <c r="L231" s="8">
        <f>IFERROR(__xludf.DUMMYFUNCTION("""COMPUTED_VALUE"""),2150.0)</f>
        <v>2150</v>
      </c>
    </row>
    <row r="232">
      <c r="A232" s="10" t="str">
        <f>IFERROR(__xludf.DUMMYFUNCTION("""COMPUTED_VALUE"""),"Wyrmreaver Gauntlets")</f>
        <v>Wyrmreaver Gauntlets</v>
      </c>
      <c r="B232" s="10" t="str">
        <f>IFERROR(__xludf.DUMMYFUNCTION("""COMPUTED_VALUE"""),"BGG")</f>
        <v>BGG</v>
      </c>
      <c r="C232" s="10" t="str">
        <f>IFERROR(__xludf.DUMMYFUNCTION("""COMPUTED_VALUE"""),"very rare")</f>
        <v>very rare</v>
      </c>
      <c r="D232" s="10" t="str">
        <f>IFERROR(__xludf.DUMMYFUNCTION("""COMPUTED_VALUE"""),"Wondrous Item")</f>
        <v>Wondrous Item</v>
      </c>
      <c r="E232" s="10" t="str">
        <f>IFERROR(__xludf.DUMMYFUNCTION("""COMPUTED_VALUE"""),"requires attunement")</f>
        <v>requires attunement</v>
      </c>
      <c r="F232" s="10"/>
      <c r="G232" s="10"/>
      <c r="H232" s="10"/>
      <c r="I232" s="10" t="str">
        <f>IFERROR(__xludf.DUMMYFUNCTION("""COMPUTED_VALUE"""),"Originally crafted for ground-bound giant brawlers to fight against dragons and other enormous predators of the sky, these studded gauntlets are engraved with the dragon rune. While you are wearing these gauntlets, your unarmed strike deals an additional "&amp;"1d6 force damage on a hit. Additionally, whenever you finish a long rest, choose one of the following damage types: acid, cold, fire, lightning, or poison. You have resistance to the chosen damage type until you finish another long rest. Invoking the Rune"&amp;"s. As a bonus action, you can invoke the gauntlets' runes and summon two enormous spectral fists that envelop the gauntlets and mimic your hand motions. The fists can also launch themselves to strike distant opponents, returning immediately to your space "&amp;"after they hit or miss.The fists last for 1 minute or until you are incapacitated. While the spectral fists are active, unarmed strikes you make on your turn have a reach of 30 feet, and when you hit a creature with an opportunity attack made with your un"&amp;"armed strike, the creature must succeed on a Strength saving throw (DC equals 8 + your proficiency bonus + your Strength modifier) or have the prone condition. Once the runes have been invoked, they can't be invoked again until the next dawn.")</f>
        <v>Originally crafted for ground-bound giant brawlers to fight against dragons and other enormous predators of the sky, these studded gauntlets are engraved with the dragon rune. While you are wearing these gauntlets, your unarmed strike deals an additional 1d6 force damage on a hit. Additionally, whenever you finish a long rest, choose one of the following damage types: acid, cold, fire, lightning, or poison. You have resistance to the chosen damage type until you finish another long rest. Invoking the Runes. As a bonus action, you can invoke the gauntlets' runes and summon two enormous spectral fists that envelop the gauntlets and mimic your hand motions. The fists can also launch themselves to strike distant opponents, returning immediately to your space after they hit or miss.The fists last for 1 minute or until you are incapacitated. While the spectral fists are active, unarmed strikes you make on your turn have a reach of 30 feet, and when you hit a creature with an opportunity attack made with your unarmed strike, the creature must succeed on a Strength saving throw (DC equals 8 + your proficiency bonus + your Strength modifier) or have the prone condition. Once the runes have been invoked, they can't be invoked again until the next dawn.</v>
      </c>
      <c r="L232" s="10">
        <f>IFERROR(__xludf.DUMMYFUNCTION("""COMPUTED_VALUE"""),2150.0)</f>
        <v>2150</v>
      </c>
    </row>
    <row r="233">
      <c r="A233" s="12"/>
      <c r="B233" s="12"/>
      <c r="C233" s="12"/>
      <c r="D233" s="12"/>
      <c r="E233" s="12"/>
      <c r="F233" s="12"/>
      <c r="G233" s="12"/>
      <c r="H233" s="12"/>
      <c r="I233" s="12"/>
      <c r="L233" s="12"/>
    </row>
    <row r="234">
      <c r="A234" s="6" t="s">
        <v>51</v>
      </c>
      <c r="L234" s="13"/>
    </row>
    <row r="235">
      <c r="A235" s="8" t="str">
        <f>IFERROR(__xludf.DUMMYFUNCTION("FILTER(MasterList_Hidden!A:I,Search(Left(A234,find("" "",A234)-1),MasterList_Hidden!K:K),MasterList_Hidden!J:J&lt;&gt;""Free to Guild Adventurers with Item Proficiency"",MasterList_Hidden!J:J&lt;&gt;""Free to Guild Adventurers in Good Standing"",MasterList_Hidden!J:J"&amp;"&lt;&gt;""Artificer Replicate Magic Item Only"")"),"Emerald Pen")</f>
        <v>Emerald Pen</v>
      </c>
      <c r="B235" s="8" t="str">
        <f>IFERROR(__xludf.DUMMYFUNCTION("""COMPUTED_VALUE"""),"FTD")</f>
        <v>FTD</v>
      </c>
      <c r="C235" s="8" t="str">
        <f>IFERROR(__xludf.DUMMYFUNCTION("""COMPUTED_VALUE"""),"uncommon")</f>
        <v>uncommon</v>
      </c>
      <c r="D235" s="8" t="str">
        <f>IFERROR(__xludf.DUMMYFUNCTION("""COMPUTED_VALUE"""),"Wondrous Item")</f>
        <v>Wondrous Item</v>
      </c>
      <c r="E235" s="8"/>
      <c r="F235" s="8"/>
      <c r="G235" s="8"/>
      <c r="H235" s="8"/>
      <c r="I235" s="8" t="str">
        <f>IFERROR(__xludf.DUMMYFUNCTION("""COMPUTED_VALUE"""),"This pen is tipped with an emerald nib and requires no ink to write. While holding this pen, you can cast illusory script at will, requiring no material components.")</f>
        <v>This pen is tipped with an emerald nib and requires no ink to write. While holding this pen, you can cast illusory script at will, requiring no material components.</v>
      </c>
      <c r="L235" s="8">
        <f>IFERROR(__xludf.DUMMYFUNCTION("FILTER(MasterList_Hidden!J:J,Search(Left(A234,find("" "",A234)-1),MasterList_Hidden!K:K),MasterList_Hidden!J:J&lt;&gt;""Free to Guild Adventurers with Item Proficiency"",MasterList_Hidden!J:J&lt;&gt;""Free to Guild Adventurers in Good Standing"",MasterList_Hidden!J:J"&amp;"&lt;&gt;""Artificer Replicate Magic Item Only"")"),150.0)</f>
        <v>150</v>
      </c>
    </row>
    <row r="236">
      <c r="A236" s="10" t="str">
        <f>IFERROR(__xludf.DUMMYFUNCTION("""COMPUTED_VALUE"""),"Trident of Fish Command")</f>
        <v>Trident of Fish Command</v>
      </c>
      <c r="B236" s="10" t="str">
        <f>IFERROR(__xludf.DUMMYFUNCTION("""COMPUTED_VALUE"""),"DMG'24")</f>
        <v>DMG'24</v>
      </c>
      <c r="C236" s="10" t="str">
        <f>IFERROR(__xludf.DUMMYFUNCTION("""COMPUTED_VALUE"""),"uncommon")</f>
        <v>uncommon</v>
      </c>
      <c r="D236" s="10" t="str">
        <f>IFERROR(__xludf.DUMMYFUNCTION("""COMPUTED_VALUE"""),"Martial Weapon, Melee Weapon")</f>
        <v>Martial Weapon, Melee Weapon</v>
      </c>
      <c r="E236" s="10" t="str">
        <f>IFERROR(__xludf.DUMMYFUNCTION("""COMPUTED_VALUE"""),"requires attunement")</f>
        <v>requires attunement</v>
      </c>
      <c r="F236" s="10" t="str">
        <f>IFERROR(__xludf.DUMMYFUNCTION("""COMPUTED_VALUE"""),"1d8 Piercing")</f>
        <v>1d8 Piercing</v>
      </c>
      <c r="G236" s="10" t="str">
        <f>IFERROR(__xludf.DUMMYFUNCTION("""COMPUTED_VALUE"""),"Thrown (20/60 ft.), Versatile (1d10)")</f>
        <v>Thrown (20/60 ft.), Versatile (1d10)</v>
      </c>
      <c r="H236" s="10" t="str">
        <f>IFERROR(__xludf.DUMMYFUNCTION("""COMPUTED_VALUE"""),"Mastery: Topple")</f>
        <v>Mastery: Topple</v>
      </c>
      <c r="I236" s="10" t="str">
        <f>IFERROR(__xludf.DUMMYFUNCTION("""COMPUTED_VALUE"""),"This magic weapon has 3 charges, and it regains 1d3 expended charges daily at dawn. While you carry it, you can expend 1 charge to cast Dominate Beast (save DC 15) from it on a Beast that has a Swim Speed. Thrown. If a weapon has the Thrown property, you "&amp;"can throw the weapon to make a ranged attack, and you can draw that weapon as part of the attack. If the weapon is a Melee weapon, use the same ability modifier for the attack and damage rolls that you use for a melee attack with that weapon. Versatile. A"&amp;" Versatile weapon can be used with one or two hands. A damage value in parentheses appears with the property. The weapon deals that damage when used with two hands to make a melee attack. Mastery: Topple. If you hit a creature with this weapon, you can fo"&amp;"rce the creature to make a Constitution saving throw (DC 8 plus the ability modifier used to make the attack roll and your Proficiency Bonus). On a failed save, the creature has the Prone condition.")</f>
        <v>This magic weapon has 3 charges, and it regains 1d3 expended charges daily at dawn. While you carry it, you can expend 1 charge to cast Dominate Beast (save DC 15) from it on a Beast that has a Swim Speed.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36" s="10">
        <f>IFERROR(__xludf.DUMMYFUNCTION("""COMPUTED_VALUE"""),350.0)</f>
        <v>350</v>
      </c>
    </row>
    <row r="237">
      <c r="A237" s="8" t="str">
        <f>IFERROR(__xludf.DUMMYFUNCTION("""COMPUTED_VALUE"""),"Armor of Weightlessness")</f>
        <v>Armor of Weightlessness</v>
      </c>
      <c r="B237" s="8" t="str">
        <f>IFERROR(__xludf.DUMMYFUNCTION("""COMPUTED_VALUE"""),"BMT")</f>
        <v>BMT</v>
      </c>
      <c r="C237" s="8" t="str">
        <f>IFERROR(__xludf.DUMMYFUNCTION("""COMPUTED_VALUE"""),"uncommon")</f>
        <v>uncommon</v>
      </c>
      <c r="D237" s="8" t="str">
        <f>IFERROR(__xludf.DUMMYFUNCTION("""COMPUTED_VALUE"""),"Generic Variant")</f>
        <v>Generic Variant</v>
      </c>
      <c r="E237" s="8" t="str">
        <f>IFERROR(__xludf.DUMMYFUNCTION("""COMPUTED_VALUE"""),"requires attunement")</f>
        <v>requires attunement</v>
      </c>
      <c r="F237" s="8"/>
      <c r="G237" s="8"/>
      <c r="H237" s="8"/>
      <c r="I237" s="8" t="str">
        <f>IFERROR(__xludf.DUMMYFUNCTION("""COMPUTED_VALUE"""),"This armor has 5 charges. While you wear it, you can use a bonus action to expend 1 or more charges to cast one of the following spells from the armor, targeting yourself: Jump (1 charge) or Levitate (2 charges).This armor regains 1d4 + 1 expended charges"&amp;" daily at dawn. 
Applied to non-magical Base Equipment.")</f>
        <v>This armor has 5 charges. While you wear it, you can use a bonus action to expend 1 or more charges to cast one of the following spells from the armor, targeting yourself: Jump (1 charge) or Levitate (2 charges).This armor regains 1d4 + 1 expended charges daily at dawn. 
Applied to non-magical Base Equipment.</v>
      </c>
      <c r="L237" s="8">
        <f>IFERROR(__xludf.DUMMYFUNCTION("""COMPUTED_VALUE"""),400.0)</f>
        <v>400</v>
      </c>
    </row>
    <row r="238">
      <c r="A238" s="10" t="str">
        <f>IFERROR(__xludf.DUMMYFUNCTION("""COMPUTED_VALUE"""),"Ring of Jumping")</f>
        <v>Ring of Jumping</v>
      </c>
      <c r="B238" s="10" t="str">
        <f>IFERROR(__xludf.DUMMYFUNCTION("""COMPUTED_VALUE"""),"DMG'24")</f>
        <v>DMG'24</v>
      </c>
      <c r="C238" s="10" t="str">
        <f>IFERROR(__xludf.DUMMYFUNCTION("""COMPUTED_VALUE"""),"uncommon")</f>
        <v>uncommon</v>
      </c>
      <c r="D238" s="10" t="str">
        <f>IFERROR(__xludf.DUMMYFUNCTION("""COMPUTED_VALUE"""),"Ring")</f>
        <v>Ring</v>
      </c>
      <c r="E238" s="10" t="str">
        <f>IFERROR(__xludf.DUMMYFUNCTION("""COMPUTED_VALUE"""),"requires attunement")</f>
        <v>requires attunement</v>
      </c>
      <c r="F238" s="10"/>
      <c r="G238" s="10"/>
      <c r="H238" s="10"/>
      <c r="I238" s="10" t="str">
        <f>IFERROR(__xludf.DUMMYFUNCTION("""COMPUTED_VALUE"""),"While wearing this ring, you can cast Jump from it, but can target only yourself when you do so.")</f>
        <v>While wearing this ring, you can cast Jump from it, but can target only yourself when you do so.</v>
      </c>
      <c r="L238" s="10">
        <f>IFERROR(__xludf.DUMMYFUNCTION("""COMPUTED_VALUE"""),400.0)</f>
        <v>400</v>
      </c>
    </row>
    <row r="239">
      <c r="A239" s="8" t="str">
        <f>IFERROR(__xludf.DUMMYFUNCTION("""COMPUTED_VALUE"""),"Wand of Magic Detection")</f>
        <v>Wand of Magic Detection</v>
      </c>
      <c r="B239" s="8" t="str">
        <f>IFERROR(__xludf.DUMMYFUNCTION("""COMPUTED_VALUE"""),"DMG'24")</f>
        <v>DMG'24</v>
      </c>
      <c r="C239" s="8" t="str">
        <f>IFERROR(__xludf.DUMMYFUNCTION("""COMPUTED_VALUE"""),"uncommon")</f>
        <v>uncommon</v>
      </c>
      <c r="D239" s="8" t="str">
        <f>IFERROR(__xludf.DUMMYFUNCTION("""COMPUTED_VALUE"""),"Wand")</f>
        <v>Wand</v>
      </c>
      <c r="E239" s="8"/>
      <c r="F239" s="8"/>
      <c r="G239" s="8"/>
      <c r="H239" s="8"/>
      <c r="I239" s="8" t="str">
        <f>IFERROR(__xludf.DUMMYFUNCTION("""COMPUTED_VALUE"""),"This wand has 3 charges. While holding it, you can expend 1 charge to cast Detect Magic from it. The wand regains 1d3 expended charges daily at dawn.")</f>
        <v>This wand has 3 charges. While holding it, you can expend 1 charge to cast Detect Magic from it. The wand regains 1d3 expended charges daily at dawn.</v>
      </c>
      <c r="L239" s="8">
        <f>IFERROR(__xludf.DUMMYFUNCTION("""COMPUTED_VALUE"""),400.0)</f>
        <v>400</v>
      </c>
    </row>
    <row r="240">
      <c r="A240" s="10" t="str">
        <f>IFERROR(__xludf.DUMMYFUNCTION("""COMPUTED_VALUE"""),"Helm of Comprehending Languages")</f>
        <v>Helm of Comprehending Languages</v>
      </c>
      <c r="B240" s="10" t="str">
        <f>IFERROR(__xludf.DUMMYFUNCTION("""COMPUTED_VALUE"""),"DMG'24")</f>
        <v>DMG'24</v>
      </c>
      <c r="C240" s="10" t="str">
        <f>IFERROR(__xludf.DUMMYFUNCTION("""COMPUTED_VALUE"""),"uncommon")</f>
        <v>uncommon</v>
      </c>
      <c r="D240" s="10" t="str">
        <f>IFERROR(__xludf.DUMMYFUNCTION("""COMPUTED_VALUE"""),"Wondrous Item")</f>
        <v>Wondrous Item</v>
      </c>
      <c r="E240" s="10"/>
      <c r="F240" s="10"/>
      <c r="G240" s="10"/>
      <c r="H240" s="10"/>
      <c r="I240" s="10" t="str">
        <f>IFERROR(__xludf.DUMMYFUNCTION("""COMPUTED_VALUE"""),"While wearing this helm, you can cast Comprehend Languages from it.")</f>
        <v>While wearing this helm, you can cast Comprehend Languages from it.</v>
      </c>
      <c r="L240" s="10">
        <f>IFERROR(__xludf.DUMMYFUNCTION("""COMPUTED_VALUE"""),500.0)</f>
        <v>500</v>
      </c>
    </row>
    <row r="241">
      <c r="A241" s="8" t="str">
        <f>IFERROR(__xludf.DUMMYFUNCTION("""COMPUTED_VALUE"""),"Card Sharp's Deck")</f>
        <v>Card Sharp's Deck</v>
      </c>
      <c r="B241" s="8" t="str">
        <f>IFERROR(__xludf.DUMMYFUNCTION("""COMPUTED_VALUE"""),"BMT")</f>
        <v>BMT</v>
      </c>
      <c r="C241" s="8" t="str">
        <f>IFERROR(__xludf.DUMMYFUNCTION("""COMPUTED_VALUE"""),"uncommon")</f>
        <v>uncommon</v>
      </c>
      <c r="D241" s="8" t="str">
        <f>IFERROR(__xludf.DUMMYFUNCTION("""COMPUTED_VALUE"""),"Wondrous Item")</f>
        <v>Wondrous Item</v>
      </c>
      <c r="E241" s="8"/>
      <c r="F241" s="8"/>
      <c r="G241" s="8"/>
      <c r="H241" s="8"/>
      <c r="I241" s="8" t="str">
        <f>IFERROR(__xludf.DUMMYFUNCTION("""COMPUTED_VALUE"""),"The cards of this deck shimmer around the edges. While holding this deck, you can use the following properties:Deadly Deal. As an action, you can use this deck to make a ranged spell attack by throwing a spectral card and using Dexterity for the attack ro"&amp;"ll. The card has a range of 120 feet and deals 1d8 force damage on a hit. Spray of Cards. As an action, you can shuffle the deck and cast the Spray of Cards spell at 3rd level from the deck (spell save DC 15). Once the deck has cast the spell, it can't ca"&amp;"st the spell again until the next dawn.")</f>
        <v>The cards of this deck shimmer around the edges. While holding this deck, you can use the following properties:Deadly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v>
      </c>
      <c r="L241" s="8">
        <f>IFERROR(__xludf.DUMMYFUNCTION("""COMPUTED_VALUE"""),550.0)</f>
        <v>550</v>
      </c>
    </row>
    <row r="242">
      <c r="A242" s="10" t="str">
        <f>IFERROR(__xludf.DUMMYFUNCTION("""COMPUTED_VALUE"""),"Enspelled Armor (Cantrip)")</f>
        <v>Enspelled Armor (Cantrip)</v>
      </c>
      <c r="B242" s="10" t="str">
        <f>IFERROR(__xludf.DUMMYFUNCTION("""COMPUTED_VALUE"""),"DMG'24")</f>
        <v>DMG'24</v>
      </c>
      <c r="C242" s="10" t="str">
        <f>IFERROR(__xludf.DUMMYFUNCTION("""COMPUTED_VALUE"""),"uncommon")</f>
        <v>uncommon</v>
      </c>
      <c r="D242" s="10" t="str">
        <f>IFERROR(__xludf.DUMMYFUNCTION("""COMPUTED_VALUE"""),"Generic Variant")</f>
        <v>Generic Variant</v>
      </c>
      <c r="E242" s="10" t="str">
        <f>IFERROR(__xludf.DUMMYFUNCTION("""COMPUTED_VALUE"""),"requires attunement")</f>
        <v>requires attunement</v>
      </c>
      <c r="F242" s="10"/>
      <c r="G242" s="10"/>
      <c r="H242" s="10"/>
      <c r="I242" s="10" t="str">
        <f>IFERROR(__xludf.DUMMYFUNCTION("""COMPUTED_VALUE"""),"Bound into this armor is a cantrip. The cantrip is determined when the armor is created and must belong to the Abjuration or Illusion school of magic. The armor has 6 charges and regains 1d6 expended charges daily at dawn. While wearing the armor, you can"&amp;" expend 1 charge to cast its spell.The spell's saving throw DC is 13, and its attack bonus is +5. 
Applied to non-magical Base Equipment.")</f>
        <v>Bound into this armor is a cantrip. The cantrip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242" s="10">
        <f>IFERROR(__xludf.DUMMYFUNCTION("""COMPUTED_VALUE"""),750.0)</f>
        <v>750</v>
      </c>
    </row>
    <row r="243">
      <c r="A243" s="8" t="str">
        <f>IFERROR(__xludf.DUMMYFUNCTION("""COMPUTED_VALUE"""),"Enspelled Staff (Cantrip)")</f>
        <v>Enspelled Staff (Cantrip)</v>
      </c>
      <c r="B243" s="8" t="str">
        <f>IFERROR(__xludf.DUMMYFUNCTION("""COMPUTED_VALUE"""),"DMG'24")</f>
        <v>DMG'24</v>
      </c>
      <c r="C243" s="8" t="str">
        <f>IFERROR(__xludf.DUMMYFUNCTION("""COMPUTED_VALUE"""),"uncommon")</f>
        <v>uncommon</v>
      </c>
      <c r="D243" s="8" t="str">
        <f>IFERROR(__xludf.DUMMYFUNCTION("""COMPUTED_VALUE"""),"Simple Weapon, Melee Weapon")</f>
        <v>Simple Weapon, Melee Weapon</v>
      </c>
      <c r="E243" s="8" t="str">
        <f>IFERROR(__xludf.DUMMYFUNCTION("""COMPUTED_VALUE"""),"requires attunement by a Spellcaster")</f>
        <v>requires attunement by a Spellcaster</v>
      </c>
      <c r="F243" s="8" t="str">
        <f>IFERROR(__xludf.DUMMYFUNCTION("""COMPUTED_VALUE"""),"1d6 Bludgeoning")</f>
        <v>1d6 Bludgeoning</v>
      </c>
      <c r="G243" s="8" t="str">
        <f>IFERROR(__xludf.DUMMYFUNCTION("""COMPUTED_VALUE"""),"Versatile (1d8)")</f>
        <v>Versatile (1d8)</v>
      </c>
      <c r="H243" s="8" t="str">
        <f>IFERROR(__xludf.DUMMYFUNCTION("""COMPUTED_VALUE"""),"Mastery: Topple")</f>
        <v>Mastery: Topple</v>
      </c>
      <c r="I243" s="8" t="str">
        <f>IFERROR(__xludf.DUMMYFUNCTION("""COMPUTED_VALUE"""),"Bound into this staff is a cantrip. The cantrip is determined when the staff is created and can be of any school of magic. The staff has 6 charges and regains 1d6 expended charges daily at dawn. While holding the staff, you can expend 1 charge to cast its"&amp;" spell. If you expend the staff's last charge, roll 1d20. On a 1, the staff loses its properties and becomes a nonmagical Quarterstaff.The spell's saving throw DC is 13, and its attack bonus is +5. Versatile. A Versatile weapon can be used with one or two"&amp;" hands. A damage value in parentheses appears with the property. The weapon deals that damage when used with two hands to make a melee attack. Mastery: Topple. If you hit a creature with this weapon, you can force the creature to make a Constitution savin"&amp;"g throw (DC 8 plus the ability modifier used to make the attack roll and your Proficiency Bonus). On a failed save, the creature has the Prone condition.")</f>
        <v>Bound into this staff is a cantrip. The cantrip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43" s="8">
        <f>IFERROR(__xludf.DUMMYFUNCTION("""COMPUTED_VALUE"""),750.0)</f>
        <v>750</v>
      </c>
    </row>
    <row r="244">
      <c r="A244" s="10" t="str">
        <f>IFERROR(__xludf.DUMMYFUNCTION("""COMPUTED_VALUE"""),"Enspelled Weapon (Cantrip)")</f>
        <v>Enspelled Weapon (Cantrip)</v>
      </c>
      <c r="B244" s="10" t="str">
        <f>IFERROR(__xludf.DUMMYFUNCTION("""COMPUTED_VALUE"""),"DMG'24")</f>
        <v>DMG'24</v>
      </c>
      <c r="C244" s="10" t="str">
        <f>IFERROR(__xludf.DUMMYFUNCTION("""COMPUTED_VALUE"""),"uncommon")</f>
        <v>uncommon</v>
      </c>
      <c r="D244" s="10" t="str">
        <f>IFERROR(__xludf.DUMMYFUNCTION("""COMPUTED_VALUE"""),"Generic Variant")</f>
        <v>Generic Variant</v>
      </c>
      <c r="E244" s="10" t="str">
        <f>IFERROR(__xludf.DUMMYFUNCTION("""COMPUTED_VALUE"""),"requires attunement")</f>
        <v>requires attunement</v>
      </c>
      <c r="F244" s="10"/>
      <c r="G244" s="10"/>
      <c r="H244" s="10"/>
      <c r="I244" s="10" t="str">
        <f>IFERROR(__xludf.DUMMYFUNCTION("""COMPUTED_VALUE"""),"Bound into this weapon is a cantrip. The cantrip is determined when the weapon is created and must belong to the Conjuration, Divination, Evocation, Necromancy, or Transmutation school of magic. The weapon has 6 charges and regains 1d6 expended charges da"&amp;"ily at dawn. While holding the weapon, you can expend 1 charge to cast its spell.The spell's saving throw DC is 13, and its attack bonus is +5. 
Applied to non-magical Base Equipment.")</f>
        <v>Bound into this weapon is a cantrip. The cantrip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244" s="10">
        <f>IFERROR(__xludf.DUMMYFUNCTION("""COMPUTED_VALUE"""),750.0)</f>
        <v>750</v>
      </c>
    </row>
    <row r="245">
      <c r="A245" s="8" t="str">
        <f>IFERROR(__xludf.DUMMYFUNCTION("""COMPUTED_VALUE"""),"Hat of Disguise")</f>
        <v>Hat of Disguise</v>
      </c>
      <c r="B245" s="8" t="str">
        <f>IFERROR(__xludf.DUMMYFUNCTION("""COMPUTED_VALUE"""),"DMG'24")</f>
        <v>DMG'24</v>
      </c>
      <c r="C245" s="8" t="str">
        <f>IFERROR(__xludf.DUMMYFUNCTION("""COMPUTED_VALUE"""),"uncommon")</f>
        <v>uncommon</v>
      </c>
      <c r="D245" s="8" t="str">
        <f>IFERROR(__xludf.DUMMYFUNCTION("""COMPUTED_VALUE"""),"Wondrous Item")</f>
        <v>Wondrous Item</v>
      </c>
      <c r="E245" s="8" t="str">
        <f>IFERROR(__xludf.DUMMYFUNCTION("""COMPUTED_VALUE"""),"requires attunement")</f>
        <v>requires attunement</v>
      </c>
      <c r="F245" s="8"/>
      <c r="G245" s="8"/>
      <c r="H245" s="8"/>
      <c r="I245" s="8" t="str">
        <f>IFERROR(__xludf.DUMMYFUNCTION("""COMPUTED_VALUE"""),"While wearing this hat, you can cast the Disguise Self spell. The spell ends if the hat is removed.")</f>
        <v>While wearing this hat, you can cast the Disguise Self spell. The spell ends if the hat is removed.</v>
      </c>
      <c r="L245" s="8">
        <f>IFERROR(__xludf.DUMMYFUNCTION("""COMPUTED_VALUE"""),750.0)</f>
        <v>750</v>
      </c>
    </row>
    <row r="246">
      <c r="A246" s="10" t="str">
        <f>IFERROR(__xludf.DUMMYFUNCTION("""COMPUTED_VALUE"""),"Cape of the Mountebank")</f>
        <v>Cape of the Mountebank</v>
      </c>
      <c r="B246" s="10" t="str">
        <f>IFERROR(__xludf.DUMMYFUNCTION("""COMPUTED_VALUE"""),"DMG'24")</f>
        <v>DMG'24</v>
      </c>
      <c r="C246" s="10" t="str">
        <f>IFERROR(__xludf.DUMMYFUNCTION("""COMPUTED_VALUE"""),"rare")</f>
        <v>rare</v>
      </c>
      <c r="D246" s="10" t="str">
        <f>IFERROR(__xludf.DUMMYFUNCTION("""COMPUTED_VALUE"""),"Wondrous Item")</f>
        <v>Wondrous Item</v>
      </c>
      <c r="E246" s="10"/>
      <c r="F246" s="10"/>
      <c r="G246" s="10"/>
      <c r="H246" s="10"/>
      <c r="I246" s="10" t="str">
        <f>IFERROR(__xludf.DUMMYFUNCTION("""COMPUTED_VALUE"""),"This cape smells faintly of brimstone. While wearing it, you can use it to cast Dimension Door as a Magic action. This property can't be used again until the next dawn.When you teleport with that spell, you leave behind a cloud of smoke. The space you lef"&amp;"t is Lightly Obscured by that smoke until the end of your next turn.")</f>
        <v>This cape smells faintly of brimstone. While wearing it, you can use it to cast Dimension Door as a Magic action. This property can't be used again until the next dawn.When you teleport with that spell, you leave behind a cloud of smoke. The space you left is Lightly Obscured by that smoke until the end of your next turn.</v>
      </c>
      <c r="L246" s="10">
        <f>IFERROR(__xludf.DUMMYFUNCTION("""COMPUTED_VALUE"""),750.0)</f>
        <v>750</v>
      </c>
    </row>
    <row r="247">
      <c r="A247" s="8" t="str">
        <f>IFERROR(__xludf.DUMMYFUNCTION("""COMPUTED_VALUE"""),"Armor of Safeguarding")</f>
        <v>Armor of Safeguarding</v>
      </c>
      <c r="B247" s="8" t="str">
        <f>IFERROR(__xludf.DUMMYFUNCTION("""COMPUTED_VALUE"""),"BGG")</f>
        <v>BGG</v>
      </c>
      <c r="C247" s="8" t="str">
        <f>IFERROR(__xludf.DUMMYFUNCTION("""COMPUTED_VALUE"""),"very rare")</f>
        <v>very rare</v>
      </c>
      <c r="D247" s="8" t="str">
        <f>IFERROR(__xludf.DUMMYFUNCTION("""COMPUTED_VALUE"""),"Generic Variant")</f>
        <v>Generic Variant</v>
      </c>
      <c r="E247" s="8" t="str">
        <f>IFERROR(__xludf.DUMMYFUNCTION("""COMPUTED_VALUE"""),"requires attunement")</f>
        <v>requires attunement</v>
      </c>
      <c r="F247" s="8"/>
      <c r="G247" s="8"/>
      <c r="H247" s="8"/>
      <c r="I247" s="8" t="str">
        <f>IFERROR(__xludf.DUMMYFUNCTION("""COMPUTED_VALUE"""),"Set in the center of this armor's chest is a citrine engraved with the shield rune.While wearing this armor, your hit point maximum increases by an amount equal to 10 + your level. Invoking the Rune. As an action, you can invoke the armor's rune to cast t"&amp;"he beacon of hope spell with it; the spell has a duration of 1 minute and doesn't require concentration. Once the rune has been invoked, it can't be invoked again until the next dawn. 
Applied to non-magical Base Equipment.")</f>
        <v>Set in the center of this armor's chest is a citrine engraved with the shield rune.While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 
Applied to non-magical Base Equipment.</v>
      </c>
      <c r="L247" s="8">
        <f>IFERROR(__xludf.DUMMYFUNCTION("""COMPUTED_VALUE"""),750.0)</f>
        <v>750</v>
      </c>
    </row>
    <row r="248">
      <c r="A248" s="10" t="str">
        <f>IFERROR(__xludf.DUMMYFUNCTION("""COMPUTED_VALUE"""),"Wand of Entangle")</f>
        <v>Wand of Entangle</v>
      </c>
      <c r="B248" s="10" t="str">
        <f>IFERROR(__xludf.DUMMYFUNCTION("""COMPUTED_VALUE"""),"TftYP")</f>
        <v>TftYP</v>
      </c>
      <c r="C248" s="10" t="str">
        <f>IFERROR(__xludf.DUMMYFUNCTION("""COMPUTED_VALUE"""),"uncommon")</f>
        <v>uncommon</v>
      </c>
      <c r="D248" s="10" t="str">
        <f>IFERROR(__xludf.DUMMYFUNCTION("""COMPUTED_VALUE"""),"Wand")</f>
        <v>Wand</v>
      </c>
      <c r="E248" s="10" t="str">
        <f>IFERROR(__xludf.DUMMYFUNCTION("""COMPUTED_VALUE"""),"requires attunement by a spellcaster")</f>
        <v>requires attunement by a spellcaster</v>
      </c>
      <c r="F248" s="10"/>
      <c r="G248" s="10"/>
      <c r="H248" s="10"/>
      <c r="I248" s="10" t="str">
        <f>IFERROR(__xludf.DUMMYFUNCTION("""COMPUTED_VALUE"""),"This wand has 7 charges. While holding it, you can use an action to expend 1 of its charges to cast the entangle spell (save DC 13) from it.The wand regains 1d6 + 1 expended charges daily at dawn. If you expend the wand's last charge, roll a d20. On a 1, "&amp;"the wand crumbles into ashes and is destroyed.")</f>
        <v>This wand has 7 charges. While holding it, you can use an action to expend 1 of its charges to cast the entangle spell (save DC 13) from it.The wand regains 1d6 + 1 expended charges daily at dawn. If you expend the wand's last charge, roll a d20. On a 1, the wand crumbles into ashes and is destroyed.</v>
      </c>
      <c r="L248" s="10">
        <f>IFERROR(__xludf.DUMMYFUNCTION("""COMPUTED_VALUE"""),800.0)</f>
        <v>800</v>
      </c>
    </row>
    <row r="249">
      <c r="A249" s="8" t="str">
        <f>IFERROR(__xludf.DUMMYFUNCTION("""COMPUTED_VALUE"""),"Cloak of the Bat")</f>
        <v>Cloak of the Bat</v>
      </c>
      <c r="B249" s="8" t="str">
        <f>IFERROR(__xludf.DUMMYFUNCTION("""COMPUTED_VALUE"""),"DMG'24")</f>
        <v>DMG'24</v>
      </c>
      <c r="C249" s="8" t="str">
        <f>IFERROR(__xludf.DUMMYFUNCTION("""COMPUTED_VALUE"""),"rare")</f>
        <v>rare</v>
      </c>
      <c r="D249" s="8" t="str">
        <f>IFERROR(__xludf.DUMMYFUNCTION("""COMPUTED_VALUE"""),"Wondrous Item")</f>
        <v>Wondrous Item</v>
      </c>
      <c r="E249" s="8" t="str">
        <f>IFERROR(__xludf.DUMMYFUNCTION("""COMPUTED_VALUE"""),"requires attunement")</f>
        <v>requires attunement</v>
      </c>
      <c r="F249" s="8"/>
      <c r="G249" s="8"/>
      <c r="H249" s="8"/>
      <c r="I249" s="8" t="str">
        <f>IFERROR(__xludf.DUMMYFUNCTION("""COMPUTED_VALUE"""),"While wearing this cloak, you have Advantage on Dexterity (Stealth) checks. In an area of Dim Light or Darkness, you can grip the edges of the cloak and use it to gain a Fly Speed of 40 feet. If you ever fail to grip the cloak's edges while flying in this"&amp;" way, or if you are no longer in Dim Light or Darkness, you lose this Fly Speed.While wearing the cloak in an area of Dim Light or Darkness, you can cast Polymorph on yourself, shape-shifting into a Bat. While in that form, you retain your Intelligence, W"&amp;"isdom, and Charisma scores. The cloak can't be used this way again until the next dawn.")</f>
        <v>While wearing this cloak, you have Advantage on Dexterity (Stealth) checks. In an area of Dim Light or Darkness, you can grip the edges of the cloak and use it to gain a Fly Speed of 40 feet. If you ever fail to grip the cloak's edges while flying in this way, or if you are no longer in Dim Light or Darkness, you lose this Fly Speed.While wearing the cloak in an area of Dim Light or Darkness, you can cast Polymorph on yourself, shape-shifting into a Bat. While in that form, you retain your Intelligence, Wisdom, and Charisma scores. The cloak can't be used this way again until the next dawn.</v>
      </c>
      <c r="L249" s="8">
        <f>IFERROR(__xludf.DUMMYFUNCTION("""COMPUTED_VALUE"""),850.0)</f>
        <v>850</v>
      </c>
    </row>
    <row r="250">
      <c r="A250" s="10" t="str">
        <f>IFERROR(__xludf.DUMMYFUNCTION("""COMPUTED_VALUE"""),"Rogue's Mantle")</f>
        <v>Rogue's Mantle</v>
      </c>
      <c r="B250" s="10" t="str">
        <f>IFERROR(__xludf.DUMMYFUNCTION("""COMPUTED_VALUE"""),"BMT")</f>
        <v>BMT</v>
      </c>
      <c r="C250" s="10" t="str">
        <f>IFERROR(__xludf.DUMMYFUNCTION("""COMPUTED_VALUE"""),"rare")</f>
        <v>rare</v>
      </c>
      <c r="D250" s="10" t="str">
        <f>IFERROR(__xludf.DUMMYFUNCTION("""COMPUTED_VALUE"""),"Wondrous Item")</f>
        <v>Wondrous Item</v>
      </c>
      <c r="E250" s="10" t="str">
        <f>IFERROR(__xludf.DUMMYFUNCTION("""COMPUTED_VALUE"""),"requires attunement")</f>
        <v>requires attunement</v>
      </c>
      <c r="F250" s="10"/>
      <c r="G250" s="10"/>
      <c r="H250" s="10"/>
      <c r="I250" s="10" t="str">
        <f>IFERROR(__xludf.DUMMYFUNCTION("""COMPUTED_VALUE"""),"This dark, hooded mantle of thick cloth is infused with secretive and deceptive magic. While wearing it, you gain the following benefits:Darkvision. You gain darkvision within a range of 60 feet. If you already have darkvision, the mantle increases your d"&amp;"arkvision's range by 60 feet instead. Move in Shadows. While you are in dim light or darkness, you can use a bonus action to teleport, along with anything you are wearing or carrying, up to 30 feet to an unoccupied space you can see that is also in dim li"&amp;"ght or darkness. You then have advantage on the first melee attack you make before the end of the turn. Willful Enmity. You can cast the Antagonize spell (save DC 15) from the mantle. Once the mantle has cast the spell, it can't cast the spell again until"&amp;" the next dawn.")</f>
        <v>This dark, hooded mantle of thick cloth is infused with secretive and deceptive magic. While wearing it, you gain the following benefits:Darkvision.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v>
      </c>
      <c r="L250" s="10">
        <f>IFERROR(__xludf.DUMMYFUNCTION("""COMPUTED_VALUE"""),850.0)</f>
        <v>850</v>
      </c>
    </row>
    <row r="251">
      <c r="A251" s="8" t="str">
        <f>IFERROR(__xludf.DUMMYFUNCTION("""COMPUTED_VALUE"""),"Enspelled Armor (Level 1)")</f>
        <v>Enspelled Armor (Level 1)</v>
      </c>
      <c r="B251" s="8" t="str">
        <f>IFERROR(__xludf.DUMMYFUNCTION("""COMPUTED_VALUE"""),"DMG'24")</f>
        <v>DMG'24</v>
      </c>
      <c r="C251" s="8" t="str">
        <f>IFERROR(__xludf.DUMMYFUNCTION("""COMPUTED_VALUE"""),"uncommon")</f>
        <v>uncommon</v>
      </c>
      <c r="D251" s="8" t="str">
        <f>IFERROR(__xludf.DUMMYFUNCTION("""COMPUTED_VALUE"""),"Generic Variant")</f>
        <v>Generic Variant</v>
      </c>
      <c r="E251" s="8" t="str">
        <f>IFERROR(__xludf.DUMMYFUNCTION("""COMPUTED_VALUE"""),"requires attunement")</f>
        <v>requires attunement</v>
      </c>
      <c r="F251" s="8"/>
      <c r="G251" s="8"/>
      <c r="H251" s="8"/>
      <c r="I251" s="8" t="str">
        <f>IFERROR(__xludf.DUMMYFUNCTION("""COMPUTED_VALUE"""),"Bound into this armor is a level 1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1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251" s="8">
        <f>IFERROR(__xludf.DUMMYFUNCTION("""COMPUTED_VALUE"""),900.0)</f>
        <v>900</v>
      </c>
    </row>
    <row r="252">
      <c r="A252" s="10" t="str">
        <f>IFERROR(__xludf.DUMMYFUNCTION("""COMPUTED_VALUE"""),"Enspelled Staff (Level 1)")</f>
        <v>Enspelled Staff (Level 1)</v>
      </c>
      <c r="B252" s="10" t="str">
        <f>IFERROR(__xludf.DUMMYFUNCTION("""COMPUTED_VALUE"""),"DMG'24")</f>
        <v>DMG'24</v>
      </c>
      <c r="C252" s="10" t="str">
        <f>IFERROR(__xludf.DUMMYFUNCTION("""COMPUTED_VALUE"""),"uncommon")</f>
        <v>uncommon</v>
      </c>
      <c r="D252" s="10" t="str">
        <f>IFERROR(__xludf.DUMMYFUNCTION("""COMPUTED_VALUE"""),"Simple Weapon, Melee Weapon")</f>
        <v>Simple Weapon, Melee Weapon</v>
      </c>
      <c r="E252" s="10" t="str">
        <f>IFERROR(__xludf.DUMMYFUNCTION("""COMPUTED_VALUE"""),"requires attunement by a Spellcaster")</f>
        <v>requires attunement by a Spellcaster</v>
      </c>
      <c r="F252" s="10" t="str">
        <f>IFERROR(__xludf.DUMMYFUNCTION("""COMPUTED_VALUE"""),"1d6 Bludgeoning")</f>
        <v>1d6 Bludgeoning</v>
      </c>
      <c r="G252" s="10" t="str">
        <f>IFERROR(__xludf.DUMMYFUNCTION("""COMPUTED_VALUE"""),"Versatile (1d8)")</f>
        <v>Versatile (1d8)</v>
      </c>
      <c r="H252" s="10" t="str">
        <f>IFERROR(__xludf.DUMMYFUNCTION("""COMPUTED_VALUE"""),"Mastery: Topple")</f>
        <v>Mastery: Topple</v>
      </c>
      <c r="I252" s="10" t="str">
        <f>IFERROR(__xludf.DUMMYFUNCTION("""COMPUTED_VALUE"""),"Bound into this staff is a level 1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1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52" s="10">
        <f>IFERROR(__xludf.DUMMYFUNCTION("""COMPUTED_VALUE"""),900.0)</f>
        <v>900</v>
      </c>
    </row>
    <row r="253">
      <c r="A253" s="8" t="str">
        <f>IFERROR(__xludf.DUMMYFUNCTION("""COMPUTED_VALUE"""),"Enspelled Weapon (Level 1)")</f>
        <v>Enspelled Weapon (Level 1)</v>
      </c>
      <c r="B253" s="8" t="str">
        <f>IFERROR(__xludf.DUMMYFUNCTION("""COMPUTED_VALUE"""),"DMG'24")</f>
        <v>DMG'24</v>
      </c>
      <c r="C253" s="8" t="str">
        <f>IFERROR(__xludf.DUMMYFUNCTION("""COMPUTED_VALUE"""),"uncommon")</f>
        <v>uncommon</v>
      </c>
      <c r="D253" s="8" t="str">
        <f>IFERROR(__xludf.DUMMYFUNCTION("""COMPUTED_VALUE"""),"Generic Variant")</f>
        <v>Generic Variant</v>
      </c>
      <c r="E253" s="8" t="str">
        <f>IFERROR(__xludf.DUMMYFUNCTION("""COMPUTED_VALUE"""),"requires attunement")</f>
        <v>requires attunement</v>
      </c>
      <c r="F253" s="8"/>
      <c r="G253" s="8"/>
      <c r="H253" s="8"/>
      <c r="I253" s="8" t="str">
        <f>IFERROR(__xludf.DUMMYFUNCTION("""COMPUTED_VALUE"""),"Bound into this weapon is a level 1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1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253" s="8">
        <f>IFERROR(__xludf.DUMMYFUNCTION("""COMPUTED_VALUE"""),900.0)</f>
        <v>900</v>
      </c>
    </row>
    <row r="254">
      <c r="A254" s="10" t="str">
        <f>IFERROR(__xludf.DUMMYFUNCTION("""COMPUTED_VALUE"""),"Wayfarer's Boots")</f>
        <v>Wayfarer's Boots</v>
      </c>
      <c r="B254" s="10" t="str">
        <f>IFERROR(__xludf.DUMMYFUNCTION("""COMPUTED_VALUE"""),"BGG")</f>
        <v>BGG</v>
      </c>
      <c r="C254" s="10" t="str">
        <f>IFERROR(__xludf.DUMMYFUNCTION("""COMPUTED_VALUE"""),"rare")</f>
        <v>rare</v>
      </c>
      <c r="D254" s="10" t="str">
        <f>IFERROR(__xludf.DUMMYFUNCTION("""COMPUTED_VALUE"""),"Wondrous Item")</f>
        <v>Wondrous Item</v>
      </c>
      <c r="E254" s="10" t="str">
        <f>IFERROR(__xludf.DUMMYFUNCTION("""COMPUTED_VALUE"""),"requires attunement")</f>
        <v>requires attunement</v>
      </c>
      <c r="F254" s="10"/>
      <c r="G254" s="10"/>
      <c r="H254" s="10"/>
      <c r="I254" s="10" t="str">
        <f>IFERROR(__xludf.DUMMYFUNCTION("""COMPUTED_VALUE"""),"This pair of boots is made of durable cloth, with the journey rune stitched in golden thread above each heel. While you are wearing this item, your walking speed increases by 10 feet, and you have advantage on Wisdom (Survival) checks. Invoking the Runes."&amp;" As a bonus action, you can invoke the boots' runes to cast the expeditious retreat spell with them. Once the runes have been invoked, they can't be invoked again until the next dawn.")</f>
        <v>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v>
      </c>
      <c r="L254" s="10">
        <f>IFERROR(__xludf.DUMMYFUNCTION("""COMPUTED_VALUE"""),900.0)</f>
        <v>900</v>
      </c>
    </row>
    <row r="255">
      <c r="A255" s="8" t="str">
        <f>IFERROR(__xludf.DUMMYFUNCTION("""COMPUTED_VALUE"""),"Crown of the Wrath Bringer")</f>
        <v>Crown of the Wrath Bringer</v>
      </c>
      <c r="B255" s="8" t="str">
        <f>IFERROR(__xludf.DUMMYFUNCTION("""COMPUTED_VALUE"""),"BGG")</f>
        <v>BGG</v>
      </c>
      <c r="C255" s="8" t="str">
        <f>IFERROR(__xludf.DUMMYFUNCTION("""COMPUTED_VALUE"""),"rare")</f>
        <v>rare</v>
      </c>
      <c r="D255" s="8" t="str">
        <f>IFERROR(__xludf.DUMMYFUNCTION("""COMPUTED_VALUE"""),"Wondrous Item")</f>
        <v>Wondrous Item</v>
      </c>
      <c r="E255" s="8" t="str">
        <f>IFERROR(__xludf.DUMMYFUNCTION("""COMPUTED_VALUE"""),"requires attunement")</f>
        <v>requires attunement</v>
      </c>
      <c r="F255" s="8"/>
      <c r="G255" s="8"/>
      <c r="H255" s="8"/>
      <c r="I255" s="8" t="str">
        <f>IFERROR(__xludf.DUMMYFUNCTION("""COMPUTED_VALUE"""),"This jagged iron circlet bears ornaments in the shape of the enemy rune. When worn, the crown glows with pale light as it draws upon the wearer's fury to strike opponents with vicious terror.When you make an attack roll against a creature and hit it while"&amp;" wearing this crown, you can spend and roll one of your unspent Hit Dice. The creature takes extra psychic damage equal to the number rolled. Invoking the Rune. As an action, you can invoke the crown's rune to cast the fear spell (save DC 15) with it; the"&amp;" spell has a duration of 1 minute and doesn't require concentration. Once the rune has been invoked, it can't be invoked again until the next dawn.")</f>
        <v>This jagged iron circlet bears ornaments in the shape of the enemy rune. When worn, the crown glows with pale light as it draws upon the wearer's fury to strike opponents with vicious terror.When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v>
      </c>
      <c r="L255" s="8">
        <f>IFERROR(__xludf.DUMMYFUNCTION("""COMPUTED_VALUE"""),1000.0)</f>
        <v>1000</v>
      </c>
    </row>
    <row r="256">
      <c r="A256" s="10" t="str">
        <f>IFERROR(__xludf.DUMMYFUNCTION("""COMPUTED_VALUE"""),"Wand of Magic Missiles")</f>
        <v>Wand of Magic Missiles</v>
      </c>
      <c r="B256" s="10" t="str">
        <f>IFERROR(__xludf.DUMMYFUNCTION("""COMPUTED_VALUE"""),"DMG'24")</f>
        <v>DMG'24</v>
      </c>
      <c r="C256" s="10" t="str">
        <f>IFERROR(__xludf.DUMMYFUNCTION("""COMPUTED_VALUE"""),"uncommon")</f>
        <v>uncommon</v>
      </c>
      <c r="D256" s="10" t="str">
        <f>IFERROR(__xludf.DUMMYFUNCTION("""COMPUTED_VALUE"""),"Wand")</f>
        <v>Wand</v>
      </c>
      <c r="E256" s="10"/>
      <c r="F256" s="10"/>
      <c r="G256" s="10"/>
      <c r="H256" s="10"/>
      <c r="I256" s="10" t="str">
        <f>IFERROR(__xludf.DUMMYFUNCTION("""COMPUTED_VALUE"""),"This wand has 7 charges. While holding it, you can expend no more than 3 charges to cast Magic Missile from it. For 1 charge, you cast the level 1 version of the spell. You can increase the spell's level by 1 for each additional charge you expend. Regaini"&amp;"ng Charges. The wand regains 1d6 + 1 expended charges daily at dawn. If you expend the wand's last charge, roll 1d20. On a 1, the wand crumbles into ashes and is destroyed.")</f>
        <v>This wand has 7 charges. While holding it, you can expend no more than 3 charges to cast Magic Missile from it. For 1 charge, you cast the level 1 version of the spell. You can increase the spell's level by 1 for each additional charge you expend. Regaining Charges. The wand regains 1d6 + 1 expended charges daily at dawn. If you expend the wand's last charge, roll 1d20. On a 1, the wand crumbles into ashes and is destroyed.</v>
      </c>
      <c r="L256" s="10">
        <f>IFERROR(__xludf.DUMMYFUNCTION("""COMPUTED_VALUE"""),1200.0)</f>
        <v>1200</v>
      </c>
    </row>
    <row r="257">
      <c r="A257" s="8" t="str">
        <f>IFERROR(__xludf.DUMMYFUNCTION("""COMPUTED_VALUE"""),"Enspelled Armor (Level 2)")</f>
        <v>Enspelled Armor (Level 2)</v>
      </c>
      <c r="B257" s="8" t="str">
        <f>IFERROR(__xludf.DUMMYFUNCTION("""COMPUTED_VALUE"""),"DMG'24")</f>
        <v>DMG'24</v>
      </c>
      <c r="C257" s="8" t="str">
        <f>IFERROR(__xludf.DUMMYFUNCTION("""COMPUTED_VALUE"""),"rare")</f>
        <v>rare</v>
      </c>
      <c r="D257" s="8" t="str">
        <f>IFERROR(__xludf.DUMMYFUNCTION("""COMPUTED_VALUE"""),"Generic Variant")</f>
        <v>Generic Variant</v>
      </c>
      <c r="E257" s="8" t="str">
        <f>IFERROR(__xludf.DUMMYFUNCTION("""COMPUTED_VALUE"""),"requires attunement")</f>
        <v>requires attunement</v>
      </c>
      <c r="F257" s="8"/>
      <c r="G257" s="8"/>
      <c r="H257" s="8"/>
      <c r="I257" s="8" t="str">
        <f>IFERROR(__xludf.DUMMYFUNCTION("""COMPUTED_VALUE"""),"Bound into this armor is a level 2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13, and its attack bonus is +5. 
Applied to non-magical Base Equipment.")</f>
        <v>Bound into this armor is a level 2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13, and its attack bonus is +5. 
Applied to non-magical Base Equipment.</v>
      </c>
      <c r="L257" s="8">
        <f>IFERROR(__xludf.DUMMYFUNCTION("""COMPUTED_VALUE"""),1500.0)</f>
        <v>1500</v>
      </c>
    </row>
    <row r="258">
      <c r="A258" s="10" t="str">
        <f>IFERROR(__xludf.DUMMYFUNCTION("""COMPUTED_VALUE"""),"Enspelled Staff (Level 2)")</f>
        <v>Enspelled Staff (Level 2)</v>
      </c>
      <c r="B258" s="10" t="str">
        <f>IFERROR(__xludf.DUMMYFUNCTION("""COMPUTED_VALUE"""),"DMG'24")</f>
        <v>DMG'24</v>
      </c>
      <c r="C258" s="10" t="str">
        <f>IFERROR(__xludf.DUMMYFUNCTION("""COMPUTED_VALUE"""),"rare")</f>
        <v>rare</v>
      </c>
      <c r="D258" s="10" t="str">
        <f>IFERROR(__xludf.DUMMYFUNCTION("""COMPUTED_VALUE"""),"Simple Weapon, Melee Weapon")</f>
        <v>Simple Weapon, Melee Weapon</v>
      </c>
      <c r="E258" s="10" t="str">
        <f>IFERROR(__xludf.DUMMYFUNCTION("""COMPUTED_VALUE"""),"requires attunement by a Spellcaster")</f>
        <v>requires attunement by a Spellcaster</v>
      </c>
      <c r="F258" s="10" t="str">
        <f>IFERROR(__xludf.DUMMYFUNCTION("""COMPUTED_VALUE"""),"1d6 Bludgeoning")</f>
        <v>1d6 Bludgeoning</v>
      </c>
      <c r="G258" s="10" t="str">
        <f>IFERROR(__xludf.DUMMYFUNCTION("""COMPUTED_VALUE"""),"Versatile (1d8)")</f>
        <v>Versatile (1d8)</v>
      </c>
      <c r="H258" s="10" t="str">
        <f>IFERROR(__xludf.DUMMYFUNCTION("""COMPUTED_VALUE"""),"Mastery: Topple")</f>
        <v>Mastery: Topple</v>
      </c>
      <c r="I258" s="10" t="str">
        <f>IFERROR(__xludf.DUMMYFUNCTION("""COMPUTED_VALUE"""),"Bound into this staff is a level 2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2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58" s="10">
        <f>IFERROR(__xludf.DUMMYFUNCTION("""COMPUTED_VALUE"""),1500.0)</f>
        <v>1500</v>
      </c>
    </row>
    <row r="259">
      <c r="A259" s="8" t="str">
        <f>IFERROR(__xludf.DUMMYFUNCTION("""COMPUTED_VALUE"""),"Enspelled Weapon (Level 2)")</f>
        <v>Enspelled Weapon (Level 2)</v>
      </c>
      <c r="B259" s="8" t="str">
        <f>IFERROR(__xludf.DUMMYFUNCTION("""COMPUTED_VALUE"""),"DMG'24")</f>
        <v>DMG'24</v>
      </c>
      <c r="C259" s="8" t="str">
        <f>IFERROR(__xludf.DUMMYFUNCTION("""COMPUTED_VALUE"""),"rare")</f>
        <v>rare</v>
      </c>
      <c r="D259" s="8" t="str">
        <f>IFERROR(__xludf.DUMMYFUNCTION("""COMPUTED_VALUE"""),"Generic Variant")</f>
        <v>Generic Variant</v>
      </c>
      <c r="E259" s="8" t="str">
        <f>IFERROR(__xludf.DUMMYFUNCTION("""COMPUTED_VALUE"""),"requires attunement")</f>
        <v>requires attunement</v>
      </c>
      <c r="F259" s="8"/>
      <c r="G259" s="8"/>
      <c r="H259" s="8"/>
      <c r="I259" s="8" t="str">
        <f>IFERROR(__xludf.DUMMYFUNCTION("""COMPUTED_VALUE"""),"Bound into this weapon is a level 2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13, and its attack bonus is +5. 
Applied to non-magical Base Equipment.")</f>
        <v>Bound into this weapon is a level 2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13, and its attack bonus is +5. 
Applied to non-magical Base Equipment.</v>
      </c>
      <c r="L259" s="8">
        <f>IFERROR(__xludf.DUMMYFUNCTION("""COMPUTED_VALUE"""),1500.0)</f>
        <v>1500</v>
      </c>
    </row>
    <row r="260">
      <c r="A260" s="10" t="str">
        <f>IFERROR(__xludf.DUMMYFUNCTION("""COMPUTED_VALUE"""),"Cloak of Arachnida")</f>
        <v>Cloak of Arachnida</v>
      </c>
      <c r="B260" s="10" t="str">
        <f>IFERROR(__xludf.DUMMYFUNCTION("""COMPUTED_VALUE"""),"DMG'24")</f>
        <v>DMG'24</v>
      </c>
      <c r="C260" s="10" t="str">
        <f>IFERROR(__xludf.DUMMYFUNCTION("""COMPUTED_VALUE"""),"very rare")</f>
        <v>very rare</v>
      </c>
      <c r="D260" s="10" t="str">
        <f>IFERROR(__xludf.DUMMYFUNCTION("""COMPUTED_VALUE"""),"Wondrous Item")</f>
        <v>Wondrous Item</v>
      </c>
      <c r="E260" s="10" t="str">
        <f>IFERROR(__xludf.DUMMYFUNCTION("""COMPUTED_VALUE"""),"requires attunement")</f>
        <v>requires attunement</v>
      </c>
      <c r="F260" s="10"/>
      <c r="G260" s="10"/>
      <c r="H260" s="10"/>
      <c r="I260" s="10" t="str">
        <f>IFERROR(__xludf.DUMMYFUNCTION("""COMPUTED_VALUE"""),"This fine garment is made of black silk interwoven with faint, silvery threads. While wearing it, you gain the following benefits. Poison Resistance. You have Resistance to Poison damage. Spider Climb. You have a Climb Speed equal to your Speed and can mo"&amp;"ve up, down, and across vertical surfaces and along ceilings, while leaving your hands free. Spider Walk. You can't be caught in webs of any sort and can move through webs as if they were Difficult Terrain. Web. You can cast Web (save DC 13). The web crea"&amp;"ted by the spell fills twice its normal area. Once used, this property can't be used again until the next dawn.")</f>
        <v>This fine garment is made of black silk interwoven with faint, silvery threads. While wearing it, you gain the following benefits. Poison Resistance. You have Resistance to Poison damage. Spider Climb. You have a Climb Speed equal to your Speed and can move up, down, and across vertical surfaces and along ceilings, while leaving your hands free. Spider Walk. You can't be caught in webs of any sort and can move through webs as if they were Difficult Terrain. Web. You can cast Web (save DC 13). The web created by the spell fills twice its normal area. Once used, this property can't be used again until the next dawn.</v>
      </c>
      <c r="L260" s="10">
        <f>IFERROR(__xludf.DUMMYFUNCTION("""COMPUTED_VALUE"""),1600.0)</f>
        <v>1600</v>
      </c>
    </row>
    <row r="261">
      <c r="A261" s="8" t="str">
        <f>IFERROR(__xludf.DUMMYFUNCTION("""COMPUTED_VALUE"""),"Mistral Mantle")</f>
        <v>Mistral Mantle</v>
      </c>
      <c r="B261" s="8" t="str">
        <f>IFERROR(__xludf.DUMMYFUNCTION("""COMPUTED_VALUE"""),"BGG")</f>
        <v>BGG</v>
      </c>
      <c r="C261" s="8" t="str">
        <f>IFERROR(__xludf.DUMMYFUNCTION("""COMPUTED_VALUE"""),"very rare")</f>
        <v>very rare</v>
      </c>
      <c r="D261" s="8" t="str">
        <f>IFERROR(__xludf.DUMMYFUNCTION("""COMPUTED_VALUE"""),"Wondrous Item")</f>
        <v>Wondrous Item</v>
      </c>
      <c r="E261" s="8" t="str">
        <f>IFERROR(__xludf.DUMMYFUNCTION("""COMPUTED_VALUE"""),"requires attunement")</f>
        <v>requires attunement</v>
      </c>
      <c r="F261" s="8"/>
      <c r="G261" s="8"/>
      <c r="H261" s="8"/>
      <c r="I261" s="8" t="str">
        <f>IFERROR(__xludf.DUMMYFUNCTION("""COMPUTED_VALUE"""),"This thick, fur-lined cloak has the frost rune stitched on the hem in silvery blue thread. Frigid wind swirls around the cloak, regardless of the weather.While wearing this cloak, you have resistance to cold damage. Additionally, when you move within 5 fe"&amp;"et of a creature, you can cause the cloak's cold wind to buffet the creature. The creature must succeed on a DC 14 Dexterity saving throw or take 1d6 cold damage and have the prone condition. A creature can be affected by the mantle only once during a tur"&amp;"n. Invoking the Rune. As an action, you can invoke the mantle's rune to cast the sleet storm spell (save DC 14) with it. When you use the mantle to cast the spell, the area of the spell isn't difficult terrain for you, and you can see through the storm, i"&amp;"gnoring the normal penalties of a heavily obscured area.Once the rune has been invoked, it can't be invoked again until the next dawn.")</f>
        <v>This thick, fur-lined cloak has the frost rune stitched on the hem in silvery blue thread. Frigid wind swirls around the cloak, regardless of the weather.While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area.Once the rune has been invoked, it can't be invoked again until the next dawn.</v>
      </c>
      <c r="L261" s="8">
        <f>IFERROR(__xludf.DUMMYFUNCTION("""COMPUTED_VALUE"""),1600.0)</f>
        <v>1600</v>
      </c>
    </row>
    <row r="262">
      <c r="A262" s="10" t="str">
        <f>IFERROR(__xludf.DUMMYFUNCTION("""COMPUTED_VALUE"""),"Sanctum Amulet")</f>
        <v>Sanctum Amulet</v>
      </c>
      <c r="B262" s="10" t="str">
        <f>IFERROR(__xludf.DUMMYFUNCTION("""COMPUTED_VALUE"""),"BGG")</f>
        <v>BGG</v>
      </c>
      <c r="C262" s="10" t="str">
        <f>IFERROR(__xludf.DUMMYFUNCTION("""COMPUTED_VALUE"""),"very rare")</f>
        <v>very rare</v>
      </c>
      <c r="D262" s="10" t="str">
        <f>IFERROR(__xludf.DUMMYFUNCTION("""COMPUTED_VALUE"""),"Wondrous Item")</f>
        <v>Wondrous Item</v>
      </c>
      <c r="E262" s="10" t="str">
        <f>IFERROR(__xludf.DUMMYFUNCTION("""COMPUTED_VALUE"""),"requires attunement")</f>
        <v>requires attunement</v>
      </c>
      <c r="F262" s="10"/>
      <c r="G262" s="10"/>
      <c r="H262" s="10"/>
      <c r="I262" s="10" t="str">
        <f>IFERROR(__xludf.DUMMYFUNCTION("""COMPUTED_VALUE"""),"A black opal pendant hangs at the base of this pearlescent chain. The sacred rune is inscribed on the back of the pendant. While wearing this item, you have resistance to necrotic damage. Additionally, you can cast the spare the dying cantrip using either"&amp;" an action or a bonus action. Invoking the Rune. When a creature you can see within 60 feet of you is reduced to 0 hit points as a result of taking damage, you can use your reaction to invoke the item's rune, causing the pendant to flash with pale light. "&amp;"The creature then instead drops to 1 hit point. Once the rune has been invoked, it can't be invoked again until the next dawn.")</f>
        <v>A black opal pendant hangs at the base of this pearlescent chain. The sacred rune is inscribed on the back of the pendant. While wearing this item, you have resistance to necrotic damage. Additionally, you can cast the spare the dying cantrip using either an action or a bonus action. Invoking the Rune.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v>
      </c>
      <c r="L262" s="10">
        <f>IFERROR(__xludf.DUMMYFUNCTION("""COMPUTED_VALUE"""),1600.0)</f>
        <v>1600</v>
      </c>
    </row>
    <row r="263">
      <c r="A263" s="8" t="str">
        <f>IFERROR(__xludf.DUMMYFUNCTION("""COMPUTED_VALUE"""),"Rod of Alertness")</f>
        <v>Rod of Alertness</v>
      </c>
      <c r="B263" s="8" t="str">
        <f>IFERROR(__xludf.DUMMYFUNCTION("""COMPUTED_VALUE"""),"DMG'24")</f>
        <v>DMG'24</v>
      </c>
      <c r="C263" s="8" t="str">
        <f>IFERROR(__xludf.DUMMYFUNCTION("""COMPUTED_VALUE"""),"very rare")</f>
        <v>very rare</v>
      </c>
      <c r="D263" s="8" t="str">
        <f>IFERROR(__xludf.DUMMYFUNCTION("""COMPUTED_VALUE"""),"Rod")</f>
        <v>Rod</v>
      </c>
      <c r="E263" s="8" t="str">
        <f>IFERROR(__xludf.DUMMYFUNCTION("""COMPUTED_VALUE"""),"requires attunement")</f>
        <v>requires attunement</v>
      </c>
      <c r="F263" s="8"/>
      <c r="G263" s="8"/>
      <c r="H263" s="8"/>
      <c r="I263" s="8" t="str">
        <f>IFERROR(__xludf.DUMMYFUNCTION("""COMPUTED_VALUE"""),"This rod has the following properties. Alertness. While holding the rod, you have Advantage on Wisdom (Perception) checks and on Initiative rolls. Spells. While holding the rod, you can cast the following spells from it:Detect Evil and Good Detect Magic D"&amp;"etect Poison and Disease See Invisibility Protective Aura. As a Magic action, you can plant the haft end of the rod in the ground, whereupon the rod's head sheds Bright Light in a 60-foot radius and Dim Light for an additional 60 feet. While in that Brigh"&amp;"t Light, you and your allies gain a +1 bonus to Armor Class and saving throws and can sense the location of any Invisible creature that is also in the Bright Light. The rod's head stops glowing and the effect ends after 10 minutes or when a creature takes"&amp;" a Magic action to pull the rod from the ground. Once used, this property can't be used again until the next dawn.")</f>
        <v>This rod has the following properties. Alertness. While holding the rod, you have Advantage on Wisdom (Perception) checks and on Initiative rolls. Spells. While holding the rod, you can cast the following spells from it:Detect Evil and Good Detect Magic Detect Poison and Disease See Invisibility Protective Aura. As a Magic action, you can plant the haft end of the rod in the ground, whereupon the rod's head sheds Bright Light in a 60-foot radius and Dim Light for an additional 60 feet. While in that Bright Light, you and your allies gain a +1 bonus to Armor Class and saving throws and can sense the location of any Invisible creature that is also in the Bright Light. The rod's head stops glowing and the effect ends after 10 minutes or when a creature takes a Magic action to pull the rod from the ground. Once used, this property can't be used again until the next dawn.</v>
      </c>
      <c r="L263" s="8">
        <f>IFERROR(__xludf.DUMMYFUNCTION("""COMPUTED_VALUE"""),1800.0)</f>
        <v>1800</v>
      </c>
    </row>
    <row r="264">
      <c r="A264" s="10" t="str">
        <f>IFERROR(__xludf.DUMMYFUNCTION("""COMPUTED_VALUE"""),"Watchful Helm")</f>
        <v>Watchful Helm</v>
      </c>
      <c r="B264" s="10" t="str">
        <f>IFERROR(__xludf.DUMMYFUNCTION("""COMPUTED_VALUE"""),"CM")</f>
        <v>CM</v>
      </c>
      <c r="C264" s="10" t="str">
        <f>IFERROR(__xludf.DUMMYFUNCTION("""COMPUTED_VALUE"""),"very rare")</f>
        <v>very rare</v>
      </c>
      <c r="D264" s="10" t="str">
        <f>IFERROR(__xludf.DUMMYFUNCTION("""COMPUTED_VALUE"""),"Wondrous Item")</f>
        <v>Wondrous Item</v>
      </c>
      <c r="E264" s="10" t="str">
        <f>IFERROR(__xludf.DUMMYFUNCTION("""COMPUTED_VALUE"""),"requires attunement")</f>
        <v>requires attunement</v>
      </c>
      <c r="F264" s="10"/>
      <c r="G264" s="10"/>
      <c r="H264" s="10"/>
      <c r="I264" s="10" t="str">
        <f>IFERROR(__xludf.DUMMYFUNCTION("""COMPUTED_VALUE"""),"While you wear this helm, you gain a +1 bonus to AC and remain aware of your surroundings even while you're asleep, and you have advantage on Wisdom (Perception) checks that rely on sight.As a bonus action, you can cast the see invisibility spell from the"&amp;" helm. Once this property of the helm is used, it can't be used again until the next dawn.")</f>
        <v>While you wear this helm, you gain a +1 bonus to AC and remain aware of your surroundings even while you're asleep, and you have advantage on Wisdom (Perception) checks that rely on sight.As a bonus action, you can cast the see invisibility spell from the helm. Once this property of the helm is used, it can't be used again until the next dawn.</v>
      </c>
      <c r="L264" s="10">
        <f>IFERROR(__xludf.DUMMYFUNCTION("""COMPUTED_VALUE"""),2000.0)</f>
        <v>2000</v>
      </c>
    </row>
    <row r="265">
      <c r="A265" s="8" t="str">
        <f>IFERROR(__xludf.DUMMYFUNCTION("""COMPUTED_VALUE"""),"Wand of Web")</f>
        <v>Wand of Web</v>
      </c>
      <c r="B265" s="8" t="str">
        <f>IFERROR(__xludf.DUMMYFUNCTION("""COMPUTED_VALUE"""),"DMG'24")</f>
        <v>DMG'24</v>
      </c>
      <c r="C265" s="8" t="str">
        <f>IFERROR(__xludf.DUMMYFUNCTION("""COMPUTED_VALUE"""),"uncommon")</f>
        <v>uncommon</v>
      </c>
      <c r="D265" s="8" t="str">
        <f>IFERROR(__xludf.DUMMYFUNCTION("""COMPUTED_VALUE"""),"Wand")</f>
        <v>Wand</v>
      </c>
      <c r="E265" s="8" t="str">
        <f>IFERROR(__xludf.DUMMYFUNCTION("""COMPUTED_VALUE"""),"requires attunement by a spellcaster")</f>
        <v>requires attunement by a spellcaster</v>
      </c>
      <c r="F265" s="8"/>
      <c r="G265" s="8"/>
      <c r="H265" s="8"/>
      <c r="I265" s="8" t="str">
        <f>IFERROR(__xludf.DUMMYFUNCTION("""COMPUTED_VALUE"""),"This wand has 7 charges. While holding it, you can expend 1 charge to cast Web (save DC 13) from it. Regaining Charges. The wand regains 1d6 + 1 expended charges daily at dawn. If you expend the wand's last charge, roll 1d20. On a 1, the wand crumbles int"&amp;"o ashes and is destroyed.")</f>
        <v>This wand has 7 charges. While holding it, you can expend 1 charge to cast Web (save DC 13) from it. Regaining Charges. The wand regains 1d6 + 1 expended charges daily at dawn. If you expend the wand's last charge, roll 1d20. On a 1, the wand crumbles into ashes and is destroyed.</v>
      </c>
      <c r="L265" s="8">
        <f>IFERROR(__xludf.DUMMYFUNCTION("""COMPUTED_VALUE"""),2150.0)</f>
        <v>2150</v>
      </c>
    </row>
    <row r="266">
      <c r="A266" s="10" t="str">
        <f>IFERROR(__xludf.DUMMYFUNCTION("""COMPUTED_VALUE"""),"Enspelled Armor (Level 3)")</f>
        <v>Enspelled Armor (Level 3)</v>
      </c>
      <c r="B266" s="10" t="str">
        <f>IFERROR(__xludf.DUMMYFUNCTION("""COMPUTED_VALUE"""),"DMG'24")</f>
        <v>DMG'24</v>
      </c>
      <c r="C266" s="10" t="str">
        <f>IFERROR(__xludf.DUMMYFUNCTION("""COMPUTED_VALUE"""),"rare")</f>
        <v>rare</v>
      </c>
      <c r="D266" s="10" t="str">
        <f>IFERROR(__xludf.DUMMYFUNCTION("""COMPUTED_VALUE"""),"Generic Variant")</f>
        <v>Generic Variant</v>
      </c>
      <c r="E266" s="10" t="str">
        <f>IFERROR(__xludf.DUMMYFUNCTION("""COMPUTED_VALUE"""),"requires attunement")</f>
        <v>requires attunement</v>
      </c>
      <c r="F266" s="10"/>
      <c r="G266" s="10"/>
      <c r="H266" s="10"/>
      <c r="I266" s="10" t="str">
        <f>IFERROR(__xludf.DUMMYFUNCTION("""COMPUTED_VALUE"""),"Bound into this armor is a level 3 spell. The spell is determined when the armor is created and must belong to the Abjuration or Illusion school of magic. The armor has 6 charges and regains 1d6 expended charges daily at dawn. While wearing the armor, you"&amp;" can expend 1 charge to cast its spell.The spell's saving throw DC is 15, and its attack bonus is +7. 
Applied to non-magical Base Equipment.")</f>
        <v>Bound into this armor is a level 3 spell. The spell is determined when the armor is created and must belong to the Abjuration or Illusion school of magic. The armor has 6 charges and regains 1d6 expended charges daily at dawn. While wearing the armor, you can expend 1 charge to cast its spell.The spell's saving throw DC is 15, and its attack bonus is +7. 
Applied to non-magical Base Equipment.</v>
      </c>
      <c r="L266" s="10">
        <f>IFERROR(__xludf.DUMMYFUNCTION("""COMPUTED_VALUE"""),2150.0)</f>
        <v>2150</v>
      </c>
    </row>
    <row r="267">
      <c r="A267" s="8" t="str">
        <f>IFERROR(__xludf.DUMMYFUNCTION("""COMPUTED_VALUE"""),"Enspelled Staff (Level 3)")</f>
        <v>Enspelled Staff (Level 3)</v>
      </c>
      <c r="B267" s="8" t="str">
        <f>IFERROR(__xludf.DUMMYFUNCTION("""COMPUTED_VALUE"""),"DMG'24")</f>
        <v>DMG'24</v>
      </c>
      <c r="C267" s="8" t="str">
        <f>IFERROR(__xludf.DUMMYFUNCTION("""COMPUTED_VALUE"""),"rare")</f>
        <v>rare</v>
      </c>
      <c r="D267" s="8" t="str">
        <f>IFERROR(__xludf.DUMMYFUNCTION("""COMPUTED_VALUE"""),"Simple Weapon, Melee Weapon")</f>
        <v>Simple Weapon, Melee Weapon</v>
      </c>
      <c r="E267" s="8" t="str">
        <f>IFERROR(__xludf.DUMMYFUNCTION("""COMPUTED_VALUE"""),"requires attunement by a Spellcaster")</f>
        <v>requires attunement by a Spellcaster</v>
      </c>
      <c r="F267" s="8" t="str">
        <f>IFERROR(__xludf.DUMMYFUNCTION("""COMPUTED_VALUE"""),"1d6 Bludgeoning")</f>
        <v>1d6 Bludgeoning</v>
      </c>
      <c r="G267" s="8" t="str">
        <f>IFERROR(__xludf.DUMMYFUNCTION("""COMPUTED_VALUE"""),"Versatile (1d8)")</f>
        <v>Versatile (1d8)</v>
      </c>
      <c r="H267" s="8" t="str">
        <f>IFERROR(__xludf.DUMMYFUNCTION("""COMPUTED_VALUE"""),"Mastery: Topple")</f>
        <v>Mastery: Topple</v>
      </c>
      <c r="I267" s="8" t="str">
        <f>IFERROR(__xludf.DUMMYFUNCTION("""COMPUTED_VALUE"""),"Bound into this staff is a level 3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15, and its attack bonus is +7.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3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15, and its attack bonus is +7.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L267" s="8">
        <f>IFERROR(__xludf.DUMMYFUNCTION("""COMPUTED_VALUE"""),2150.0)</f>
        <v>2150</v>
      </c>
    </row>
    <row r="268">
      <c r="A268" s="10" t="str">
        <f>IFERROR(__xludf.DUMMYFUNCTION("""COMPUTED_VALUE"""),"Enspelled Weapon (Level 3)")</f>
        <v>Enspelled Weapon (Level 3)</v>
      </c>
      <c r="B268" s="10" t="str">
        <f>IFERROR(__xludf.DUMMYFUNCTION("""COMPUTED_VALUE"""),"DMG'24")</f>
        <v>DMG'24</v>
      </c>
      <c r="C268" s="10" t="str">
        <f>IFERROR(__xludf.DUMMYFUNCTION("""COMPUTED_VALUE"""),"rare")</f>
        <v>rare</v>
      </c>
      <c r="D268" s="10" t="str">
        <f>IFERROR(__xludf.DUMMYFUNCTION("""COMPUTED_VALUE"""),"Generic Variant")</f>
        <v>Generic Variant</v>
      </c>
      <c r="E268" s="10" t="str">
        <f>IFERROR(__xludf.DUMMYFUNCTION("""COMPUTED_VALUE"""),"requires attunement")</f>
        <v>requires attunement</v>
      </c>
      <c r="F268" s="10"/>
      <c r="G268" s="10"/>
      <c r="H268" s="10"/>
      <c r="I268" s="10" t="str">
        <f>IFERROR(__xludf.DUMMYFUNCTION("""COMPUTED_VALUE"""),"Bound into this weapon is a level 3 spell. The spell is determined when the weapon is created and must belong to the Conjuration, Divination, Evocation, Necromancy, or Transmutation school of magic. The weapon has 6 charges and regains 1d6 expended charge"&amp;"s daily at dawn. While holding the weapon, you can expend 1 charge to cast its spell.The spell's saving throw DC is 15, and its attack bonus is +7. 
Applied to non-magical Base Equipment.")</f>
        <v>Bound into this weapon is a level 3 spell. The spell is determined when the weapon is created and must belong to the Conjuration, Divination, Evocation, Necromancy, or Transmutation school of magic. The weapon has 6 charges and regains 1d6 expended charges daily at dawn. While holding the weapon, you can expend 1 charge to cast its spell.The spell's saving throw DC is 15, and its attack bonus is +7. 
Applied to non-magical Base Equipment.</v>
      </c>
      <c r="L268" s="10">
        <f>IFERROR(__xludf.DUMMYFUNCTION("""COMPUTED_VALUE"""),2150.0)</f>
        <v>2150</v>
      </c>
    </row>
    <row r="269">
      <c r="A269" s="12"/>
      <c r="B269" s="12"/>
      <c r="C269" s="12"/>
      <c r="D269" s="12"/>
      <c r="E269" s="12"/>
      <c r="F269" s="12"/>
      <c r="G269" s="12"/>
      <c r="H269" s="12"/>
      <c r="I269" s="12"/>
      <c r="L269" s="12"/>
    </row>
    <row r="270">
      <c r="A270" s="6" t="s">
        <v>55</v>
      </c>
      <c r="L270" s="13"/>
    </row>
    <row r="271">
      <c r="A271" s="8" t="str">
        <f>IFERROR(__xludf.DUMMYFUNCTION("FILTER(MasterList_Hidden!A:K,Search(A270,MasterList_Hidden!K:K),MasterList_Hidden!J:J&lt;&gt;""Free to Guild Adventurers with Item Proficiency"",MasterList_Hidden!J:J&lt;&gt;""Free to Guild Adventurers in Good Standing"",MasterList_Hidden!J:J&lt;&gt;""Artificer Replicate M"&amp;"agic Item Only"")"),"Coiling Grasp Tattoo")</f>
        <v>Coiling Grasp Tattoo</v>
      </c>
      <c r="B271" s="8" t="str">
        <f>IFERROR(__xludf.DUMMYFUNCTION("""COMPUTED_VALUE"""),"TCE")</f>
        <v>TCE</v>
      </c>
      <c r="C271" s="8" t="str">
        <f>IFERROR(__xludf.DUMMYFUNCTION("""COMPUTED_VALUE"""),"uncommon")</f>
        <v>uncommon</v>
      </c>
      <c r="D271" s="8" t="str">
        <f>IFERROR(__xludf.DUMMYFUNCTION("""COMPUTED_VALUE"""),"Wondrous Item (Tattoo)")</f>
        <v>Wondrous Item (Tattoo)</v>
      </c>
      <c r="E271" s="8" t="str">
        <f>IFERROR(__xludf.DUMMYFUNCTION("""COMPUTED_VALUE"""),"requires attunement")</f>
        <v>requires attunement</v>
      </c>
      <c r="F271" s="8"/>
      <c r="G271" s="8"/>
      <c r="H271" s="8"/>
      <c r="I271" s="8" t="str">
        <f>IFERROR(__xludf.DUMMYFUNCTION("""COMPUTED_VALUE"""),"Produced by a special needle, this magic tattoo has long intertwining designs. Tattoo Attunement. To attune to this item, you hold the needle to your skin where you want the tattoo to appear, pressing the needle there throughout the attunement process. Wh"&amp;"en the attunement is complete, the needle turns into the ink that becomes the tattoo, which appears on the skin.If your attunement to the tattoo ends, the tattoo vanishes, and the needle reappears in your space. Grasping Tendrils. While the tattoo is on y"&amp;"our skin, you can, as an action, cause the tattoo to extrude into inky tendrils, which reach for a creature you can see within 15 feet of you. The creature must succeed on a DC 14 Strength saving throw or take 3d6 force damage and be grappled by you. As a"&amp;"n action, the creature can escape the grapple by succeeding on a DC 14 Strength (Athletics) or Dexterity (Acrobatics) check. The grapple also ends if you halt it (no action required), if the creature is ever more than 15 feet away from you, or if you use "&amp;"this tattoo on a different creature.")</f>
        <v>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v>
      </c>
      <c r="L271" s="8">
        <f>IFERROR(__xludf.DUMMYFUNCTION("FILTER(MasterList_Hidden!J:J,Search(A270,MasterList_Hidden!K:K),MasterList_Hidden!J:J&lt;&gt;""Free to Guild Adventurers with Item Proficiency"",MasterList_Hidden!J:J&lt;&gt;""Free to Guild Adventurers in Good Standing"",MasterList_Hidden!J:J&lt;&gt;""Artificer Replicate M"&amp;"agic Item Only"")"),600.0)</f>
        <v>600</v>
      </c>
    </row>
    <row r="272">
      <c r="A272" s="10" t="str">
        <f>IFERROR(__xludf.DUMMYFUNCTION("""COMPUTED_VALUE"""),"Eldritch Claw Tattoo")</f>
        <v>Eldritch Claw Tattoo</v>
      </c>
      <c r="B272" s="10" t="str">
        <f>IFERROR(__xludf.DUMMYFUNCTION("""COMPUTED_VALUE"""),"TCE")</f>
        <v>TCE</v>
      </c>
      <c r="C272" s="10" t="str">
        <f>IFERROR(__xludf.DUMMYFUNCTION("""COMPUTED_VALUE"""),"uncommon")</f>
        <v>uncommon</v>
      </c>
      <c r="D272" s="10" t="str">
        <f>IFERROR(__xludf.DUMMYFUNCTION("""COMPUTED_VALUE"""),"Wondrous Item (Tattoo)")</f>
        <v>Wondrous Item (Tattoo)</v>
      </c>
      <c r="E272" s="10" t="str">
        <f>IFERROR(__xludf.DUMMYFUNCTION("""COMPUTED_VALUE"""),"requires attunement")</f>
        <v>requires attunement</v>
      </c>
      <c r="F272" s="10"/>
      <c r="G272" s="10"/>
      <c r="H272" s="10"/>
      <c r="I272" s="10" t="str">
        <f>IFERROR(__xludf.DUMMYFUNCTION("""COMPUTED_VALUE"""),"Produced by a special needle, this magic tattoo depicts claw-like forms and other jagged shapes.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Magical Strikes.  Eldritc"&amp;"h Maul. As a bonus action, you can empower the tattoo for 1 minute. For the duration, each of your melee attacks with a weapon or an unarmed strike can reach a target up to 15 feet away from you, as inky tendrils launch toward the target. In addition, you"&amp;"r melee attacks deal an extra 1d6 force damage on a hit. Once used, this bonus action can't be used again until the next dawn.")</f>
        <v>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Magical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v>
      </c>
      <c r="L272" s="10">
        <f>IFERROR(__xludf.DUMMYFUNCTION("""COMPUTED_VALUE"""),650.0)</f>
        <v>650</v>
      </c>
    </row>
    <row r="273">
      <c r="A273" s="8" t="str">
        <f>IFERROR(__xludf.DUMMYFUNCTION("""COMPUTED_VALUE"""),"Shadowfell Brand Tattoo")</f>
        <v>Shadowfell Brand Tattoo</v>
      </c>
      <c r="B273" s="8" t="str">
        <f>IFERROR(__xludf.DUMMYFUNCTION("""COMPUTED_VALUE"""),"TCE")</f>
        <v>TCE</v>
      </c>
      <c r="C273" s="8" t="str">
        <f>IFERROR(__xludf.DUMMYFUNCTION("""COMPUTED_VALUE"""),"rare")</f>
        <v>rare</v>
      </c>
      <c r="D273" s="8" t="str">
        <f>IFERROR(__xludf.DUMMYFUNCTION("""COMPUTED_VALUE"""),"Wondrous Item (Tattoo)")</f>
        <v>Wondrous Item (Tattoo)</v>
      </c>
      <c r="E273" s="8" t="str">
        <f>IFERROR(__xludf.DUMMYFUNCTION("""COMPUTED_VALUE"""),"requires attunement")</f>
        <v>requires attunement</v>
      </c>
      <c r="F273" s="8"/>
      <c r="G273" s="8"/>
      <c r="H273" s="8"/>
      <c r="I273" s="8" t="str">
        <f>IFERROR(__xludf.DUMMYFUNCTION("""COMPUTED_VALUE"""),"Produced by a special needle, this magic tattoo is dark in color and abstract. Tattoo Attunement. To attune to this item, you hold the needle to your skin where you want the tattoo to appear, pressing the needle there throughout the attunement process. Wh"&amp;"en the attunement is complete, the needle turns into the ink that becomes the tattoo, which appears on the skin.If your attunement to the tattoo ends, the tattoo vanishes, and the needle reappears in your space. Shadow Essence. You gain darkvision with a "&amp;"range of 60 feet, and you have advantage on Dexterity (Stealth) checks. Shadowy Defense. When you take damage, you can use your reaction to become insubstantial for a moment, halving the damage you take. Then the reaction can't be used again until the nex"&amp;"t sunset.")</f>
        <v>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v>
      </c>
      <c r="L273" s="8">
        <f>IFERROR(__xludf.DUMMYFUNCTION("""COMPUTED_VALUE"""),700.0)</f>
        <v>700</v>
      </c>
    </row>
    <row r="274">
      <c r="A274" s="10" t="str">
        <f>IFERROR(__xludf.DUMMYFUNCTION("""COMPUTED_VALUE"""),"Poison Absorbing Tattoo")</f>
        <v>Poison Absorbing Tattoo</v>
      </c>
      <c r="B274" s="10" t="str">
        <f>IFERROR(__xludf.DUMMYFUNCTION("""COMPUTED_VALUE"""),"TCE")</f>
        <v>TCE</v>
      </c>
      <c r="C274" s="10" t="str">
        <f>IFERROR(__xludf.DUMMYFUNCTION("""COMPUTED_VALUE"""),"very rare")</f>
        <v>very rare</v>
      </c>
      <c r="D274" s="10" t="str">
        <f>IFERROR(__xludf.DUMMYFUNCTION("""COMPUTED_VALUE"""),"Wondrous Item (Tattoo)")</f>
        <v>Wondrous Item (Tattoo)</v>
      </c>
      <c r="E274" s="10" t="str">
        <f>IFERROR(__xludf.DUMMYFUNCTION("""COMPUTED_VALUE"""),"requires attunement")</f>
        <v>requires attunement</v>
      </c>
      <c r="F274" s="10"/>
      <c r="G274" s="10"/>
      <c r="H274" s="10"/>
      <c r="I274" s="10" t="str">
        <f>IFERROR(__xludf.DUMMYFUNCTION("""COMPUTED_VALUE"""),"Produced by a special needle, this magic tattoo features designs that emphasize one color (violet).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poison damage. Damage Absorption. When you take poison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(violet).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poison damage. Damage Absorption. When you take poison damage, you can use your reaction to gain immunity against that instance of the damage, and you regain a number of hit points equal to half the damage you would have taken. Once this reaction is used, it can't be used again until the next dawn.</v>
      </c>
      <c r="L274" s="10">
        <f>IFERROR(__xludf.DUMMYFUNCTION("""COMPUTED_VALUE"""),800.0)</f>
        <v>800</v>
      </c>
    </row>
    <row r="275">
      <c r="A275" s="8" t="str">
        <f>IFERROR(__xludf.DUMMYFUNCTION("""COMPUTED_VALUE"""),"Acid Absorbing Tattoo")</f>
        <v>Acid Absorbing Tattoo</v>
      </c>
      <c r="B275" s="8" t="str">
        <f>IFERROR(__xludf.DUMMYFUNCTION("""COMPUTED_VALUE"""),"TCE")</f>
        <v>TCE</v>
      </c>
      <c r="C275" s="8" t="str">
        <f>IFERROR(__xludf.DUMMYFUNCTION("""COMPUTED_VALUE"""),"very rare")</f>
        <v>very rare</v>
      </c>
      <c r="D275" s="8" t="str">
        <f>IFERROR(__xludf.DUMMYFUNCTION("""COMPUTED_VALUE"""),"Wondrous Item (Tattoo)")</f>
        <v>Wondrous Item (Tattoo)</v>
      </c>
      <c r="E275" s="8" t="str">
        <f>IFERROR(__xludf.DUMMYFUNCTION("""COMPUTED_VALUE"""),"requires attunement")</f>
        <v>requires attunement</v>
      </c>
      <c r="F275" s="8"/>
      <c r="G275" s="8"/>
      <c r="H275" s="8"/>
      <c r="I275" s="8" t="str">
        <f>IFERROR(__xludf.DUMMYFUNCTION("""COMPUTED_VALUE"""),"Produced by a special needle, this magic tattoo features designs that emphasize one color (green).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acid damage. Damage Absorption. When you take acid damage, you can use your reaction to gain immunity against that instance of the damage, and you regain a number of hit points equal to half the damage "&amp;"you would have taken. Once this reaction is used, it can't be used again until the next dawn.")</f>
        <v>Produced by a special needle, this magic tattoo features designs that emphasize one color (green).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acid damage. Damage Absorption. When you take acid damage, you can use your reaction to gain immunity against that instance of the damage, and you regain a number of hit points equal to half the damage you would have taken. Once this reaction is used, it can't be used again until the next dawn.</v>
      </c>
      <c r="L275" s="8">
        <f>IFERROR(__xludf.DUMMYFUNCTION("""COMPUTED_VALUE"""),900.0)</f>
        <v>900</v>
      </c>
    </row>
    <row r="276">
      <c r="A276" s="10" t="str">
        <f>IFERROR(__xludf.DUMMYFUNCTION("""COMPUTED_VALUE"""),"Cold Absorbing Tattoo")</f>
        <v>Cold Absorbing Tattoo</v>
      </c>
      <c r="B276" s="10" t="str">
        <f>IFERROR(__xludf.DUMMYFUNCTION("""COMPUTED_VALUE"""),"TCE")</f>
        <v>TCE</v>
      </c>
      <c r="C276" s="10" t="str">
        <f>IFERROR(__xludf.DUMMYFUNCTION("""COMPUTED_VALUE"""),"very rare")</f>
        <v>very rare</v>
      </c>
      <c r="D276" s="10" t="str">
        <f>IFERROR(__xludf.DUMMYFUNCTION("""COMPUTED_VALUE"""),"Wondrous Item (Tattoo)")</f>
        <v>Wondrous Item (Tattoo)</v>
      </c>
      <c r="E276" s="10" t="str">
        <f>IFERROR(__xludf.DUMMYFUNCTION("""COMPUTED_VALUE"""),"requires attunement")</f>
        <v>requires attunement</v>
      </c>
      <c r="F276" s="10"/>
      <c r="G276" s="10"/>
      <c r="H276" s="10"/>
      <c r="I276" s="10" t="str">
        <f>IFERROR(__xludf.DUMMYFUNCTION("""COMPUTED_VALUE"""),"Produced by a special needle, this magic tattoo features designs that emphasize one color (blue).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cold damage. Damage Absorption. When you take cold damage, you can use your reaction to gain immunity against that instance of the damage, and you regain a number of hit points equal to half the damage y"&amp;"ou would have taken. Once this reaction is used, it can't be used again until the next dawn.")</f>
        <v>Produced by a special needle, this magic tattoo features designs that emphasize one color (blue).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cold damage. Damage Absorption. When you take cold damage, you can use your reaction to gain immunity against that instance of the damage, and you regain a number of hit points equal to half the damage you would have taken. Once this reaction is used, it can't be used again until the next dawn.</v>
      </c>
      <c r="L276" s="10">
        <f>IFERROR(__xludf.DUMMYFUNCTION("""COMPUTED_VALUE"""),900.0)</f>
        <v>900</v>
      </c>
    </row>
    <row r="277">
      <c r="A277" s="8" t="str">
        <f>IFERROR(__xludf.DUMMYFUNCTION("""COMPUTED_VALUE"""),"Fire Absorbing Tattoo")</f>
        <v>Fire Absorbing Tattoo</v>
      </c>
      <c r="B277" s="8" t="str">
        <f>IFERROR(__xludf.DUMMYFUNCTION("""COMPUTED_VALUE"""),"TCE")</f>
        <v>TCE</v>
      </c>
      <c r="C277" s="8" t="str">
        <f>IFERROR(__xludf.DUMMYFUNCTION("""COMPUTED_VALUE"""),"very rare")</f>
        <v>very rare</v>
      </c>
      <c r="D277" s="8" t="str">
        <f>IFERROR(__xludf.DUMMYFUNCTION("""COMPUTED_VALUE"""),"Wondrous Item (Tattoo)")</f>
        <v>Wondrous Item (Tattoo)</v>
      </c>
      <c r="E277" s="8" t="str">
        <f>IFERROR(__xludf.DUMMYFUNCTION("""COMPUTED_VALUE"""),"requires attunement")</f>
        <v>requires attunement</v>
      </c>
      <c r="F277" s="8"/>
      <c r="G277" s="8"/>
      <c r="H277" s="8"/>
      <c r="I277" s="8" t="str">
        <f>IFERROR(__xludf.DUMMYFUNCTION("""COMPUTED_VALUE"""),"Produced by a special needle, this magic tattoo features designs that emphasize one color (red). Tattoo Attunement. To attune to this item, you hold the needle to your skin where you want the tattoo to appear, pressing the needle there throughout the attu"&amp;"nement process. When the attunement is complete, the needle turns into the ink that becomes the tattoo, which appears on the skin.If your attunement to the tattoo ends, the tattoo vanishes, and the needle reappears in your space. Damage Resistance. While "&amp;"the tattoo is on your skin, you have resistance to fire damage. Damage Absorption. When you take fire damage, you can use your reaction to gain immunity against that instance of the damage, and you regain a number of hit points equal to half the damage yo"&amp;"u would have taken. Once this reaction is used, it can't be used again until the next dawn.")</f>
        <v>Produced by a special needle, this magic tattoo features designs that emphasize one color (red).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fire damage. Damage Absorption. When you take fire damage, you can use your reaction to gain immunity against that instance of the damage, and you regain a number of hit points equal to half the damage you would have taken. Once this reaction is used, it can't be used again until the next dawn.</v>
      </c>
      <c r="L277" s="8">
        <f>IFERROR(__xludf.DUMMYFUNCTION("""COMPUTED_VALUE"""),900.0)</f>
        <v>900</v>
      </c>
    </row>
    <row r="278">
      <c r="A278" s="10" t="str">
        <f>IFERROR(__xludf.DUMMYFUNCTION("""COMPUTED_VALUE"""),"Lightning Absorbing Tattoo")</f>
        <v>Lightning Absorbing Tattoo</v>
      </c>
      <c r="B278" s="10" t="str">
        <f>IFERROR(__xludf.DUMMYFUNCTION("""COMPUTED_VALUE"""),"TCE")</f>
        <v>TCE</v>
      </c>
      <c r="C278" s="10" t="str">
        <f>IFERROR(__xludf.DUMMYFUNCTION("""COMPUTED_VALUE"""),"very rare")</f>
        <v>very rare</v>
      </c>
      <c r="D278" s="10" t="str">
        <f>IFERROR(__xludf.DUMMYFUNCTION("""COMPUTED_VALUE"""),"Wondrous Item (Tattoo)")</f>
        <v>Wondrous Item (Tattoo)</v>
      </c>
      <c r="E278" s="10" t="str">
        <f>IFERROR(__xludf.DUMMYFUNCTION("""COMPUTED_VALUE"""),"requires attunement")</f>
        <v>requires attunement</v>
      </c>
      <c r="F278" s="10"/>
      <c r="G278" s="10"/>
      <c r="H278" s="10"/>
      <c r="I278" s="10" t="str">
        <f>IFERROR(__xludf.DUMMYFUNCTION("""COMPUTED_VALUE"""),"Produced by a special needle, this magic tattoo features designs that emphasize one color (yellow).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lightning damage. Damage Absorption. When you take lightning damage, you can use your reaction to gain immunity against that instance of the damage, and you regain a number of hit points equal to half "&amp;"the damage you would have taken. Once this reaction is used, it can't be used again until the next dawn.")</f>
        <v>Produced by a special needle, this magic tattoo features designs that emphasize one color (yellow).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lightning damage. Damage Absorption. When you take lightning damage, you can use your reaction to gain immunity against that instance of the damage, and you regain a number of hit points equal to half the damage you would have taken. Once this reaction is used, it can't be used again until the next dawn.</v>
      </c>
      <c r="L278" s="10">
        <f>IFERROR(__xludf.DUMMYFUNCTION("""COMPUTED_VALUE"""),900.0)</f>
        <v>900</v>
      </c>
    </row>
    <row r="279">
      <c r="A279" s="8" t="str">
        <f>IFERROR(__xludf.DUMMYFUNCTION("""COMPUTED_VALUE"""),"Necrotic Absorbing Tattoo")</f>
        <v>Necrotic Absorbing Tattoo</v>
      </c>
      <c r="B279" s="8" t="str">
        <f>IFERROR(__xludf.DUMMYFUNCTION("""COMPUTED_VALUE"""),"TCE")</f>
        <v>TCE</v>
      </c>
      <c r="C279" s="8" t="str">
        <f>IFERROR(__xludf.DUMMYFUNCTION("""COMPUTED_VALUE"""),"very rare")</f>
        <v>very rare</v>
      </c>
      <c r="D279" s="8" t="str">
        <f>IFERROR(__xludf.DUMMYFUNCTION("""COMPUTED_VALUE"""),"Wondrous Item (Tattoo)")</f>
        <v>Wondrous Item (Tattoo)</v>
      </c>
      <c r="E279" s="8" t="str">
        <f>IFERROR(__xludf.DUMMYFUNCTION("""COMPUTED_VALUE"""),"requires attunement")</f>
        <v>requires attunement</v>
      </c>
      <c r="F279" s="8"/>
      <c r="G279" s="8"/>
      <c r="H279" s="8"/>
      <c r="I279" s="8" t="str">
        <f>IFERROR(__xludf.DUMMYFUNCTION("""COMPUTED_VALUE"""),"Produced by a special needle, this magic tattoo features designs that emphasize one color (black).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necrotic damage. Damage Absorption. When you take necrotic damage, you can use your reaction to gain immunity against that instance of the damage, and you regain a number of hit points equal to half the"&amp;" damage you would have taken. Once this reaction is used, it can't be used again until the next dawn.")</f>
        <v>Produced by a special needle, this magic tattoo features designs that emphasize one color (black).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necrotic damage. Damage Absorption. When you take necrotic damage, you can use your reaction to gain immunity against that instance of the damage, and you regain a number of hit points equal to half the damage you would have taken. Once this reaction is used, it can't be used again until the next dawn.</v>
      </c>
      <c r="L279" s="8">
        <f>IFERROR(__xludf.DUMMYFUNCTION("""COMPUTED_VALUE"""),900.0)</f>
        <v>900</v>
      </c>
    </row>
    <row r="280">
      <c r="A280" s="10" t="str">
        <f>IFERROR(__xludf.DUMMYFUNCTION("""COMPUTED_VALUE"""),"Psychic Absorbing Tattoo")</f>
        <v>Psychic Absorbing Tattoo</v>
      </c>
      <c r="B280" s="10" t="str">
        <f>IFERROR(__xludf.DUMMYFUNCTION("""COMPUTED_VALUE"""),"TCE")</f>
        <v>TCE</v>
      </c>
      <c r="C280" s="10" t="str">
        <f>IFERROR(__xludf.DUMMYFUNCTION("""COMPUTED_VALUE"""),"very rare")</f>
        <v>very rare</v>
      </c>
      <c r="D280" s="10" t="str">
        <f>IFERROR(__xludf.DUMMYFUNCTION("""COMPUTED_VALUE"""),"Wondrous Item (Tattoo)")</f>
        <v>Wondrous Item (Tattoo)</v>
      </c>
      <c r="E280" s="10" t="str">
        <f>IFERROR(__xludf.DUMMYFUNCTION("""COMPUTED_VALUE"""),"requires attunement")</f>
        <v>requires attunement</v>
      </c>
      <c r="F280" s="10"/>
      <c r="G280" s="10"/>
      <c r="H280" s="10"/>
      <c r="I280" s="10" t="str">
        <f>IFERROR(__xludf.DUMMYFUNCTION("""COMPUTED_VALUE"""),"Produced by a special needle, this magic tattoo features designs that emphasize one color (silver).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psychic damage. Damage Absorption. When you take psychic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(silver).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psychic damage. Damage Absorption. When you take psychic damage, you can use your reaction to gain immunity against that instance of the damage, and you regain a number of hit points equal to half the damage you would have taken. Once this reaction is used, it can't be used again until the next dawn.</v>
      </c>
      <c r="L280" s="10">
        <f>IFERROR(__xludf.DUMMYFUNCTION("""COMPUTED_VALUE"""),900.0)</f>
        <v>900</v>
      </c>
    </row>
    <row r="281">
      <c r="A281" s="8" t="str">
        <f>IFERROR(__xludf.DUMMYFUNCTION("""COMPUTED_VALUE"""),"Radiant Absorbing Tattoo")</f>
        <v>Radiant Absorbing Tattoo</v>
      </c>
      <c r="B281" s="8" t="str">
        <f>IFERROR(__xludf.DUMMYFUNCTION("""COMPUTED_VALUE"""),"TCE")</f>
        <v>TCE</v>
      </c>
      <c r="C281" s="8" t="str">
        <f>IFERROR(__xludf.DUMMYFUNCTION("""COMPUTED_VALUE"""),"very rare")</f>
        <v>very rare</v>
      </c>
      <c r="D281" s="8" t="str">
        <f>IFERROR(__xludf.DUMMYFUNCTION("""COMPUTED_VALUE"""),"Wondrous Item (Tattoo)")</f>
        <v>Wondrous Item (Tattoo)</v>
      </c>
      <c r="E281" s="8" t="str">
        <f>IFERROR(__xludf.DUMMYFUNCTION("""COMPUTED_VALUE"""),"requires attunement")</f>
        <v>requires attunement</v>
      </c>
      <c r="F281" s="8"/>
      <c r="G281" s="8"/>
      <c r="H281" s="8"/>
      <c r="I281" s="8" t="str">
        <f>IFERROR(__xludf.DUMMYFUNCTION("""COMPUTED_VALUE"""),"Produced by a special needle, this magic tattoo features designs that emphasize one color (gold). Tattoo Attunement. To attune to this item, you hold the needle to your skin where you want the tattoo to appear, pressing the needle there throughout the att"&amp;"unement process. When the attunement is complete, the needle turns into the ink that becomes the tattoo, which appears on the skin.If your attunement to the tattoo ends, the tattoo vanishes, and the needle reappears in your space. Damage Resistance. While"&amp;" the tattoo is on your skin, you have resistance to radiant damage. Damage Absorption. When you take radiant damage, you can use your reaction to gain immunity against that instance of the damage, and you regain a number of hit points equal to half the da"&amp;"mage you would have taken. Once this reaction is used, it can't be used again until the next dawn.")</f>
        <v>Produced by a special needle, this magic tattoo features designs that emphasize one color (gold).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radiant damage. Damage Absorption. When you take radiant damage, you can use your reaction to gain immunity against that instance of the damage, and you regain a number of hit points equal to half the damage you would have taken. Once this reaction is used, it can't be used again until the next dawn.</v>
      </c>
      <c r="L281" s="8">
        <f>IFERROR(__xludf.DUMMYFUNCTION("""COMPUTED_VALUE"""),900.0)</f>
        <v>900</v>
      </c>
    </row>
    <row r="282">
      <c r="A282" s="10" t="str">
        <f>IFERROR(__xludf.DUMMYFUNCTION("""COMPUTED_VALUE"""),"Thunder Absorbing Tattoo")</f>
        <v>Thunder Absorbing Tattoo</v>
      </c>
      <c r="B282" s="10" t="str">
        <f>IFERROR(__xludf.DUMMYFUNCTION("""COMPUTED_VALUE"""),"TCE")</f>
        <v>TCE</v>
      </c>
      <c r="C282" s="10" t="str">
        <f>IFERROR(__xludf.DUMMYFUNCTION("""COMPUTED_VALUE"""),"very rare")</f>
        <v>very rare</v>
      </c>
      <c r="D282" s="10" t="str">
        <f>IFERROR(__xludf.DUMMYFUNCTION("""COMPUTED_VALUE"""),"Wondrous Item (Tattoo)")</f>
        <v>Wondrous Item (Tattoo)</v>
      </c>
      <c r="E282" s="10" t="str">
        <f>IFERROR(__xludf.DUMMYFUNCTION("""COMPUTED_VALUE"""),"requires attunement")</f>
        <v>requires attunement</v>
      </c>
      <c r="F282" s="10"/>
      <c r="G282" s="10"/>
      <c r="H282" s="10"/>
      <c r="I282" s="10" t="str">
        <f>IFERROR(__xludf.DUMMYFUNCTION("""COMPUTED_VALUE"""),"Produced by a special needle, this magic tattoo features designs that emphasize one color (orange). Tattoo Attunement. To attune to this item, you hold the needle to your skin where you want the tattoo to appear, pressing the needle there throughout the a"&amp;"ttunement process. When the attunement is complete, the needle turns into the ink that becomes the tattoo, which appears on the skin.If your attunement to the tattoo ends, the tattoo vanishes, and the needle reappears in your space. Damage Resistance. Whi"&amp;"le the tattoo is on your skin, you have resistance to thunder damage. Damage Absorption. When you take thunder damage, you can use your reaction to gain immunity against that instance of the damage, and you regain a number of hit points equal to half the "&amp;"damage you would have taken. Once this reaction is used, it can't be used again until the next dawn.")</f>
        <v>Produced by a special needle, this magic tattoo features designs that emphasize one color (orange).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thunder damage. Damage Absorption. When you take thunder damage, you can use your reaction to gain immunity against that instance of the damage, and you regain a number of hit points equal to half the damage you would have taken. Once this reaction is used, it can't be used again until the next dawn.</v>
      </c>
      <c r="L282" s="10">
        <f>IFERROR(__xludf.DUMMYFUNCTION("""COMPUTED_VALUE"""),900.0)</f>
        <v>900</v>
      </c>
    </row>
    <row r="283">
      <c r="A283" s="8" t="str">
        <f>IFERROR(__xludf.DUMMYFUNCTION("""COMPUTED_VALUE"""),"Barrier Tattoo (Medium)")</f>
        <v>Barrier Tattoo (Medium)</v>
      </c>
      <c r="B283" s="8" t="str">
        <f>IFERROR(__xludf.DUMMYFUNCTION("""COMPUTED_VALUE"""),"TCE")</f>
        <v>TCE</v>
      </c>
      <c r="C283" s="8" t="str">
        <f>IFERROR(__xludf.DUMMYFUNCTION("""COMPUTED_VALUE"""),"rare")</f>
        <v>rare</v>
      </c>
      <c r="D283" s="8" t="str">
        <f>IFERROR(__xludf.DUMMYFUNCTION("""COMPUTED_VALUE"""),"Wondrous Item (Tattoo)")</f>
        <v>Wondrous Item (Tattoo)</v>
      </c>
      <c r="E283" s="8" t="str">
        <f>IFERROR(__xludf.DUMMYFUNCTION("""COMPUTED_VALUE"""),"requires attunement")</f>
        <v>requires attunement</v>
      </c>
      <c r="F283" s="8"/>
      <c r="G283" s="8"/>
      <c r="H283" s="8"/>
      <c r="I283" s="8" t="str">
        <f>IFERROR(__xludf.DUMMYFUNCTION("""COMPUTED_VALUE"""),"Produced by a special needle, this magic tattoo depicts protective imagery and uses ink that resembles liquid metal. Tattoo Attunement. To attune to this item, you hold the needle to your skin where you want the tattoo to appear, pressing the needle there"&amp;" throughout the attunement process. When the attunement is complete, the needle turns into the ink that becomes the tattoo, which appears on the skin.If your attunement to the tattoo ends, the tattoo vanishes, and the needle reappears in your space. Prote"&amp;"ction. While you aren't wearing armor, the tattoo grants you an Armor Class of 15 + your Dexterity modifier (maximum of +2). You can use a shield and still gain this benefit.")</f>
        <v>Produced by a special needle, this magic tattoo depicts protective imagery and uses ink that resembles liquid metal.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Protection. While you aren't wearing armor, the tattoo grants you an Armor Class of 15 + your Dexterity modifier (maximum of +2). You can use a shield and still gain this benefit.</v>
      </c>
      <c r="L283" s="8">
        <f>IFERROR(__xludf.DUMMYFUNCTION("""COMPUTED_VALUE"""),950.0)</f>
        <v>950</v>
      </c>
    </row>
    <row r="284">
      <c r="A284" s="10" t="str">
        <f>IFERROR(__xludf.DUMMYFUNCTION("""COMPUTED_VALUE"""),"Force Absorbing Tattoo")</f>
        <v>Force Absorbing Tattoo</v>
      </c>
      <c r="B284" s="10" t="str">
        <f>IFERROR(__xludf.DUMMYFUNCTION("""COMPUTED_VALUE"""),"TCE")</f>
        <v>TCE</v>
      </c>
      <c r="C284" s="10" t="str">
        <f>IFERROR(__xludf.DUMMYFUNCTION("""COMPUTED_VALUE"""),"very rare")</f>
        <v>very rare</v>
      </c>
      <c r="D284" s="10" t="str">
        <f>IFERROR(__xludf.DUMMYFUNCTION("""COMPUTED_VALUE"""),"Wondrous Item (Tattoo)")</f>
        <v>Wondrous Item (Tattoo)</v>
      </c>
      <c r="E284" s="10" t="str">
        <f>IFERROR(__xludf.DUMMYFUNCTION("""COMPUTED_VALUE"""),"requires attunement")</f>
        <v>requires attunement</v>
      </c>
      <c r="F284" s="10"/>
      <c r="G284" s="10"/>
      <c r="H284" s="10"/>
      <c r="I284" s="10" t="str">
        <f>IFERROR(__xludf.DUMMYFUNCTION("""COMPUTED_VALUE"""),"Produced by a special needle, this magic tattoo features designs that emphasize one color (white). Tattoo Attunement. To attune to this item, you hold the needle to your skin where you want the tattoo to appear, pressing the needle there throughout the at"&amp;"tunement process. When the attunement is complete, the needle turns into the ink that becomes the tattoo, which appears on the skin.If your attunement to the tattoo ends, the tattoo vanishes, and the needle reappears in your space. Damage Resistance. Whil"&amp;"e the tattoo is on your skin, you have resistance to force damage. Damage Absorption. When you take force damage, you can use your reaction to gain immunity against that instance of the damage, and you regain a number of hit points equal to half the damag"&amp;"e you would have taken. Once this reaction is used, it can't be used again until the next dawn.")</f>
        <v>Produced by a special needle, this magic tattoo features designs that emphasize one color (white).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skin.If your attunement to the tattoo ends, the tattoo vanishes, and the needle reappears in your space. Damage Resistance. While the tattoo is on your skin, you have resistance to force damage. Damage Absorption. When you take force damage, you can use your reaction to gain immunity against that instance of the damage, and you regain a number of hit points equal to half the damage you would have taken. Once this reaction is used, it can't be used again until the next dawn.</v>
      </c>
      <c r="L284" s="10">
        <f>IFERROR(__xludf.DUMMYFUNCTION("""COMPUTED_VALUE"""),1000.0)</f>
        <v>1000</v>
      </c>
    </row>
    <row r="285">
      <c r="A285" s="12"/>
      <c r="B285" s="12"/>
      <c r="C285" s="12"/>
      <c r="D285" s="12"/>
      <c r="E285" s="12"/>
      <c r="F285" s="12"/>
      <c r="G285" s="12"/>
      <c r="H285" s="12"/>
      <c r="I285" s="12"/>
      <c r="L285" s="12"/>
    </row>
    <row r="286">
      <c r="A286" s="6" t="s">
        <v>53</v>
      </c>
      <c r="L286" s="13"/>
    </row>
    <row r="287">
      <c r="A287" s="8" t="str">
        <f>IFERROR(__xludf.DUMMYFUNCTION("FILTER(MasterList_Hidden!A:K,Search(A286,MasterList_Hidden!K:K),MasterList_Hidden!J:J&lt;&gt;""Free to Guild Adventurers with Item Proficiency"",MasterList_Hidden!J:J&lt;&gt;""Free to Guild Adventurers in Good Standing"",MasterList_Hidden!J:J&lt;&gt;""Artificer Replicate M"&amp;"agic Item Only"")"),"Ioun Stone, Protection")</f>
        <v>Ioun Stone, Protection</v>
      </c>
      <c r="B287" s="8" t="str">
        <f>IFERROR(__xludf.DUMMYFUNCTION("""COMPUTED_VALUE"""),"DMG'24")</f>
        <v>DMG'24</v>
      </c>
      <c r="C287" s="8" t="str">
        <f>IFERROR(__xludf.DUMMYFUNCTION("""COMPUTED_VALUE"""),"rare")</f>
        <v>rare</v>
      </c>
      <c r="D287" s="8" t="str">
        <f>IFERROR(__xludf.DUMMYFUNCTION("""COMPUTED_VALUE"""),"Wondrous Item")</f>
        <v>Wondrous Item</v>
      </c>
      <c r="E287" s="8" t="str">
        <f>IFERROR(__xludf.DUMMYFUNCTION("""COMPUTED_VALUE"""),"requires attunement")</f>
        <v>requires attunement</v>
      </c>
      <c r="F287" s="8"/>
      <c r="G287" s="8"/>
      <c r="H287" s="8"/>
      <c r="I287"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 gain a +1 bonus to Armor Class while this dusty-rose prism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 gain a +1 bonus to Armor Class while this dusty-rose prism orbits your head.</v>
      </c>
      <c r="L287" s="8">
        <f>IFERROR(__xludf.DUMMYFUNCTION("FILTER(MasterList_Hidden!J:J,Search(A286,MasterList_Hidden!K:K),MasterList_Hidden!J:J&lt;&gt;""Free to Guild Adventurers with Item Proficiency"",MasterList_Hidden!J:J&lt;&gt;""Free to Guild Adventurers in Good Standing"",MasterList_Hidden!J:J&lt;&gt;""Artificer Replicate M"&amp;"agic Item Only"")"),600.0)</f>
        <v>600</v>
      </c>
    </row>
    <row r="288">
      <c r="A288" s="10" t="str">
        <f>IFERROR(__xludf.DUMMYFUNCTION("""COMPUTED_VALUE"""),"Ioun Stone, Awareness")</f>
        <v>Ioun Stone, Awareness</v>
      </c>
      <c r="B288" s="10" t="str">
        <f>IFERROR(__xludf.DUMMYFUNCTION("""COMPUTED_VALUE"""),"DMG'24")</f>
        <v>DMG'24</v>
      </c>
      <c r="C288" s="10" t="str">
        <f>IFERROR(__xludf.DUMMYFUNCTION("""COMPUTED_VALUE"""),"rare")</f>
        <v>rare</v>
      </c>
      <c r="D288" s="10" t="str">
        <f>IFERROR(__xludf.DUMMYFUNCTION("""COMPUTED_VALUE"""),"Wondrous Item")</f>
        <v>Wondrous Item</v>
      </c>
      <c r="E288" s="10" t="str">
        <f>IFERROR(__xludf.DUMMYFUNCTION("""COMPUTED_VALUE"""),"requires attunement")</f>
        <v>requires attunement</v>
      </c>
      <c r="F288" s="10"/>
      <c r="G288" s="10"/>
      <c r="H288" s="10"/>
      <c r="I288" s="10"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it.While this dark-blue rhomboid orbits your head, you have Advantage on Initiative rolls and Wisdom (Perception) checks.")</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it.While this dark-blue rhomboid orbits your head, you have Advantage on Initiative rolls and Wisdom (Perception) checks.</v>
      </c>
      <c r="L288" s="10">
        <f>IFERROR(__xludf.DUMMYFUNCTION("""COMPUTED_VALUE"""),1100.0)</f>
        <v>1100</v>
      </c>
    </row>
    <row r="289">
      <c r="A289" s="8" t="str">
        <f>IFERROR(__xludf.DUMMYFUNCTION("""COMPUTED_VALUE"""),"Ioun Stone, Agility")</f>
        <v>Ioun Stone, Agility</v>
      </c>
      <c r="B289" s="8" t="str">
        <f>IFERROR(__xludf.DUMMYFUNCTION("""COMPUTED_VALUE"""),"DMG'24")</f>
        <v>DMG'24</v>
      </c>
      <c r="C289" s="8" t="str">
        <f>IFERROR(__xludf.DUMMYFUNCTION("""COMPUTED_VALUE"""),"very rare")</f>
        <v>very rare</v>
      </c>
      <c r="D289" s="8" t="str">
        <f>IFERROR(__xludf.DUMMYFUNCTION("""COMPUTED_VALUE"""),"Wondrous Item")</f>
        <v>Wondrous Item</v>
      </c>
      <c r="E289" s="8" t="str">
        <f>IFERROR(__xludf.DUMMYFUNCTION("""COMPUTED_VALUE"""),"requires attunement")</f>
        <v>requires attunement</v>
      </c>
      <c r="F289" s="8"/>
      <c r="G289" s="8"/>
      <c r="H289" s="8"/>
      <c r="I289"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Dexterity increases by 2, to a maximum of 20, while this deep-red sphere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Dexterity increases by 2, to a maximum of 20, while this deep-red sphere orbits your head.</v>
      </c>
      <c r="L289" s="8">
        <f>IFERROR(__xludf.DUMMYFUNCTION("""COMPUTED_VALUE"""),1800.0)</f>
        <v>1800</v>
      </c>
    </row>
    <row r="290">
      <c r="A290" s="10" t="str">
        <f>IFERROR(__xludf.DUMMYFUNCTION("""COMPUTED_VALUE"""),"Ioun Stone, Fortitude")</f>
        <v>Ioun Stone, Fortitude</v>
      </c>
      <c r="B290" s="10" t="str">
        <f>IFERROR(__xludf.DUMMYFUNCTION("""COMPUTED_VALUE"""),"DMG'24")</f>
        <v>DMG'24</v>
      </c>
      <c r="C290" s="10" t="str">
        <f>IFERROR(__xludf.DUMMYFUNCTION("""COMPUTED_VALUE"""),"very rare")</f>
        <v>very rare</v>
      </c>
      <c r="D290" s="10" t="str">
        <f>IFERROR(__xludf.DUMMYFUNCTION("""COMPUTED_VALUE"""),"Wondrous Item")</f>
        <v>Wondrous Item</v>
      </c>
      <c r="E290" s="10" t="str">
        <f>IFERROR(__xludf.DUMMYFUNCTION("""COMPUTED_VALUE"""),"requires attunement")</f>
        <v>requires attunement</v>
      </c>
      <c r="F290" s="10"/>
      <c r="G290" s="10"/>
      <c r="H290" s="10"/>
      <c r="I290" s="10"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Constitution increases by 2, to a maximum of 20, while this pink rhomboid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Constitution increases by 2, to a maximum of 20, while this pink rhomboid orbits your head.</v>
      </c>
      <c r="L290" s="10">
        <f>IFERROR(__xludf.DUMMYFUNCTION("""COMPUTED_VALUE"""),1800.0)</f>
        <v>1800</v>
      </c>
    </row>
    <row r="291">
      <c r="A291" s="8" t="str">
        <f>IFERROR(__xludf.DUMMYFUNCTION("""COMPUTED_VALUE"""),"Ioun Stone, Insight")</f>
        <v>Ioun Stone, Insight</v>
      </c>
      <c r="B291" s="8" t="str">
        <f>IFERROR(__xludf.DUMMYFUNCTION("""COMPUTED_VALUE"""),"DMG'24")</f>
        <v>DMG'24</v>
      </c>
      <c r="C291" s="8" t="str">
        <f>IFERROR(__xludf.DUMMYFUNCTION("""COMPUTED_VALUE"""),"very rare")</f>
        <v>very rare</v>
      </c>
      <c r="D291" s="8" t="str">
        <f>IFERROR(__xludf.DUMMYFUNCTION("""COMPUTED_VALUE"""),"Wondrous Item")</f>
        <v>Wondrous Item</v>
      </c>
      <c r="E291" s="8" t="str">
        <f>IFERROR(__xludf.DUMMYFUNCTION("""COMPUTED_VALUE"""),"requires attunement")</f>
        <v>requires attunement</v>
      </c>
      <c r="F291" s="8"/>
      <c r="G291" s="8"/>
      <c r="H291" s="8"/>
      <c r="I291"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Wisdom increases by 2, to a maximum of 20, while this incandescent blue sphere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Wisdom increases by 2, to a maximum of 20, while this incandescent blue sphere orbits your head.</v>
      </c>
      <c r="L291" s="8">
        <f>IFERROR(__xludf.DUMMYFUNCTION("""COMPUTED_VALUE"""),1800.0)</f>
        <v>1800</v>
      </c>
    </row>
    <row r="292">
      <c r="A292" s="10" t="str">
        <f>IFERROR(__xludf.DUMMYFUNCTION("""COMPUTED_VALUE"""),"Ioun Stone, Intellect")</f>
        <v>Ioun Stone, Intellect</v>
      </c>
      <c r="B292" s="10" t="str">
        <f>IFERROR(__xludf.DUMMYFUNCTION("""COMPUTED_VALUE"""),"DMG'24")</f>
        <v>DMG'24</v>
      </c>
      <c r="C292" s="10" t="str">
        <f>IFERROR(__xludf.DUMMYFUNCTION("""COMPUTED_VALUE"""),"very rare")</f>
        <v>very rare</v>
      </c>
      <c r="D292" s="10" t="str">
        <f>IFERROR(__xludf.DUMMYFUNCTION("""COMPUTED_VALUE"""),"Wondrous Item")</f>
        <v>Wondrous Item</v>
      </c>
      <c r="E292" s="10" t="str">
        <f>IFERROR(__xludf.DUMMYFUNCTION("""COMPUTED_VALUE"""),"requires attunement")</f>
        <v>requires attunement</v>
      </c>
      <c r="F292" s="10"/>
      <c r="G292" s="10"/>
      <c r="H292" s="10"/>
      <c r="I292" s="10"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Intelligence increases by 2, to a maximum of 20, while this marbled scarlet and blue sphere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Intelligence increases by 2, to a maximum of 20, while this marbled scarlet and blue sphere orbits your head.</v>
      </c>
      <c r="L292" s="10">
        <f>IFERROR(__xludf.DUMMYFUNCTION("""COMPUTED_VALUE"""),1800.0)</f>
        <v>1800</v>
      </c>
    </row>
    <row r="293">
      <c r="A293" s="8" t="str">
        <f>IFERROR(__xludf.DUMMYFUNCTION("""COMPUTED_VALUE"""),"Ioun Stone, Leadership")</f>
        <v>Ioun Stone, Leadership</v>
      </c>
      <c r="B293" s="8" t="str">
        <f>IFERROR(__xludf.DUMMYFUNCTION("""COMPUTED_VALUE"""),"DMG'24")</f>
        <v>DMG'24</v>
      </c>
      <c r="C293" s="8" t="str">
        <f>IFERROR(__xludf.DUMMYFUNCTION("""COMPUTED_VALUE"""),"very rare")</f>
        <v>very rare</v>
      </c>
      <c r="D293" s="8" t="str">
        <f>IFERROR(__xludf.DUMMYFUNCTION("""COMPUTED_VALUE"""),"Wondrous Item")</f>
        <v>Wondrous Item</v>
      </c>
      <c r="E293" s="8" t="str">
        <f>IFERROR(__xludf.DUMMYFUNCTION("""COMPUTED_VALUE"""),"requires attunement")</f>
        <v>requires attunement</v>
      </c>
      <c r="F293" s="8"/>
      <c r="G293" s="8"/>
      <c r="H293" s="8"/>
      <c r="I293"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Charisma increases by 2, to a maximum of 20, while this marbled pink and green sphere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Charisma increases by 2, to a maximum of 20, while this marbled pink and green sphere orbits your head.</v>
      </c>
      <c r="L293" s="8">
        <f>IFERROR(__xludf.DUMMYFUNCTION("""COMPUTED_VALUE"""),1800.0)</f>
        <v>1800</v>
      </c>
    </row>
    <row r="294">
      <c r="A294" s="10" t="str">
        <f>IFERROR(__xludf.DUMMYFUNCTION("""COMPUTED_VALUE"""),"Ioun Stone, Strength")</f>
        <v>Ioun Stone, Strength</v>
      </c>
      <c r="B294" s="10" t="str">
        <f>IFERROR(__xludf.DUMMYFUNCTION("""COMPUTED_VALUE"""),"DMG'24")</f>
        <v>DMG'24</v>
      </c>
      <c r="C294" s="10" t="str">
        <f>IFERROR(__xludf.DUMMYFUNCTION("""COMPUTED_VALUE"""),"very rare")</f>
        <v>very rare</v>
      </c>
      <c r="D294" s="10" t="str">
        <f>IFERROR(__xludf.DUMMYFUNCTION("""COMPUTED_VALUE"""),"Wondrous Item")</f>
        <v>Wondrous Item</v>
      </c>
      <c r="E294" s="10" t="str">
        <f>IFERROR(__xludf.DUMMYFUNCTION("""COMPUTED_VALUE"""),"requires attunement")</f>
        <v>requires attunement</v>
      </c>
      <c r="F294" s="10"/>
      <c r="G294" s="10"/>
      <c r="H294" s="10"/>
      <c r="I294" s="10"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Strength increases by 2, to a maximum of 20, while this pale blue rhomboid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Strength increases by 2, to a maximum of 20, while this pale blue rhomboid orbits your head.</v>
      </c>
      <c r="L294" s="10">
        <f>IFERROR(__xludf.DUMMYFUNCTION("""COMPUTED_VALUE"""),1800.0)</f>
        <v>1800</v>
      </c>
    </row>
    <row r="295">
      <c r="A295" s="8" t="str">
        <f>IFERROR(__xludf.DUMMYFUNCTION("""COMPUTED_VALUE"""),"Ioun Stone, Mastery")</f>
        <v>Ioun Stone, Mastery</v>
      </c>
      <c r="B295" s="8" t="str">
        <f>IFERROR(__xludf.DUMMYFUNCTION("""COMPUTED_VALUE"""),"DMG'24")</f>
        <v>DMG'24</v>
      </c>
      <c r="C295" s="8" t="str">
        <f>IFERROR(__xludf.DUMMYFUNCTION("""COMPUTED_VALUE"""),"legendary")</f>
        <v>legendary</v>
      </c>
      <c r="D295" s="8" t="str">
        <f>IFERROR(__xludf.DUMMYFUNCTION("""COMPUTED_VALUE"""),"Wondrous Item")</f>
        <v>Wondrous Item</v>
      </c>
      <c r="E295" s="8" t="str">
        <f>IFERROR(__xludf.DUMMYFUNCTION("""COMPUTED_VALUE"""),"requires attunement")</f>
        <v>requires attunement</v>
      </c>
      <c r="F295" s="8"/>
      <c r="G295" s="8"/>
      <c r="H295" s="8"/>
      <c r="I295" s="8" t="str">
        <f>IFERROR(__xludf.DUMMYFUNCTION("""COMPUTED_VALUE"""),"Roughly marble sized, Ioun Stones are named after Ioun, a god of knowledge and prophecy revered on some worlds. Many types of Ioun Stones exist, each type a distinct combination of shape and color.When you take a Magic action to toss an Ioun Stone into th"&amp;"e air, the stone orbits your head at a distance of 1d3 feet, conferring its benefit to you while doing so. You can have up to three Ioun Stones orbiting your head at the same time.Each Ioun Stone orbiting your head is considered to be an object you are we"&amp;"aring. The orbiting stone avoids contact with other creatures and objects, adjusting its orbit to avoid collisions and thwarting all attempts by other creatures to attack or snatch it.As a Utilize action, you can seize and stow any number of Ioun Stones o"&amp;"rbiting your head. If your Attunement to an Ioun Stone ends while it's orbiting your head, the stone falls as though you had dropped it.Your Proficiency Bonus increases by 1 while this pale green prism orbits your head.")</f>
        <v>Roughly marble sized, Ioun Stones are named after Ioun, a god of knowledge and prophecy revered on some worlds. Many types of Ioun Stones exist, each type a distinct combination of shape and color.When you take a Magic action to toss an Ioun Stone into the air, the stone orbits your head at a distance of 1d3 feet, conferring its benefit to you while doing so. You can have up to three Ioun Stones orbiting your head at the same time.Each Ioun Stone orbiting your head is considered to be an object you are wearing. The orbiting stone avoids contact with other creatures and objects, adjusting its orbit to avoid collisions and thwarting all attempts by other creatures to attack or snatch it.As a Utilize action, you can seize and stow any number of Ioun Stones orbiting your head. If your Attunement to an Ioun Stone ends while it's orbiting your head, the stone falls as though you had dropped it.Your Proficiency Bonus increases by 1 while this pale green prism orbits your head.</v>
      </c>
      <c r="L295" s="8">
        <f>IFERROR(__xludf.DUMMYFUNCTION("""COMPUTED_VALUE"""),3350.0)</f>
        <v>3350</v>
      </c>
    </row>
    <row r="296">
      <c r="A296" s="12"/>
      <c r="B296" s="12"/>
      <c r="C296" s="12"/>
      <c r="D296" s="12"/>
      <c r="E296" s="12"/>
      <c r="F296" s="12"/>
      <c r="G296" s="12"/>
      <c r="H296" s="12"/>
      <c r="I296" s="12"/>
      <c r="L296" s="12"/>
    </row>
  </sheetData>
  <mergeCells count="301">
    <mergeCell ref="I1:K1"/>
    <mergeCell ref="A2:B2"/>
    <mergeCell ref="C2:E2"/>
    <mergeCell ref="F2:H2"/>
    <mergeCell ref="A3:B3"/>
    <mergeCell ref="C3:E3"/>
    <mergeCell ref="F3:H3"/>
    <mergeCell ref="A4:B4"/>
    <mergeCell ref="C4:E4"/>
    <mergeCell ref="F4:H4"/>
    <mergeCell ref="A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A44:K44"/>
    <mergeCell ref="I43:K43"/>
    <mergeCell ref="I45:K45"/>
    <mergeCell ref="I46:K46"/>
    <mergeCell ref="I47:K47"/>
    <mergeCell ref="I48:K48"/>
    <mergeCell ref="I49:K49"/>
    <mergeCell ref="I50:K50"/>
    <mergeCell ref="I51:K51"/>
    <mergeCell ref="I52:K52"/>
    <mergeCell ref="I53:K53"/>
    <mergeCell ref="I54:K54"/>
    <mergeCell ref="I55:K55"/>
    <mergeCell ref="A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A77:K77"/>
    <mergeCell ref="I78:K78"/>
    <mergeCell ref="I79:K79"/>
    <mergeCell ref="I80:K80"/>
    <mergeCell ref="I81:K81"/>
    <mergeCell ref="I82:K82"/>
    <mergeCell ref="I83:K83"/>
    <mergeCell ref="I84:K84"/>
    <mergeCell ref="I85:K85"/>
    <mergeCell ref="A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A106:L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85:K185"/>
    <mergeCell ref="I186:K186"/>
    <mergeCell ref="A187:K187"/>
    <mergeCell ref="I188:K188"/>
    <mergeCell ref="I189:K189"/>
    <mergeCell ref="I190:K190"/>
    <mergeCell ref="I191:K191"/>
    <mergeCell ref="I192:K192"/>
    <mergeCell ref="I193:K193"/>
    <mergeCell ref="I194:K194"/>
    <mergeCell ref="I195:K195"/>
    <mergeCell ref="A196:K196"/>
    <mergeCell ref="I197:K197"/>
    <mergeCell ref="I198:K198"/>
    <mergeCell ref="I143:K143"/>
    <mergeCell ref="I144:K144"/>
    <mergeCell ref="I145:K145"/>
    <mergeCell ref="I146:K146"/>
    <mergeCell ref="I147:K147"/>
    <mergeCell ref="I148:K148"/>
    <mergeCell ref="I149:K149"/>
    <mergeCell ref="I150:K150"/>
    <mergeCell ref="I151:K151"/>
    <mergeCell ref="I152:K152"/>
    <mergeCell ref="I153:K153"/>
    <mergeCell ref="I154:K154"/>
    <mergeCell ref="I155:K155"/>
    <mergeCell ref="I156:K156"/>
    <mergeCell ref="I157:K157"/>
    <mergeCell ref="I158:K158"/>
    <mergeCell ref="I159:K159"/>
    <mergeCell ref="I160:K160"/>
    <mergeCell ref="I161:K161"/>
    <mergeCell ref="I162:K162"/>
    <mergeCell ref="I163:K163"/>
    <mergeCell ref="I164:K164"/>
    <mergeCell ref="I165:K165"/>
    <mergeCell ref="I166:K166"/>
    <mergeCell ref="I167:K167"/>
    <mergeCell ref="I168:K168"/>
    <mergeCell ref="I169:K169"/>
    <mergeCell ref="I170:K170"/>
    <mergeCell ref="I171:K171"/>
    <mergeCell ref="I172:K172"/>
    <mergeCell ref="I173:K173"/>
    <mergeCell ref="I174:K174"/>
    <mergeCell ref="I175:K175"/>
    <mergeCell ref="I176:K176"/>
    <mergeCell ref="I177:K177"/>
    <mergeCell ref="I178:K178"/>
    <mergeCell ref="I179:K179"/>
    <mergeCell ref="A180:K180"/>
    <mergeCell ref="I181:K181"/>
    <mergeCell ref="I182:K182"/>
    <mergeCell ref="I183:K183"/>
    <mergeCell ref="I184:K184"/>
    <mergeCell ref="I199:K199"/>
    <mergeCell ref="I200:K200"/>
    <mergeCell ref="I201:K201"/>
    <mergeCell ref="I202:K202"/>
    <mergeCell ref="I203:K203"/>
    <mergeCell ref="I204:K204"/>
    <mergeCell ref="I205:K205"/>
    <mergeCell ref="I255:K255"/>
    <mergeCell ref="I256:K256"/>
    <mergeCell ref="I257:K257"/>
    <mergeCell ref="I258:K258"/>
    <mergeCell ref="I259:K259"/>
    <mergeCell ref="I260:K260"/>
    <mergeCell ref="I261:K261"/>
    <mergeCell ref="I269:K269"/>
    <mergeCell ref="A270:K270"/>
    <mergeCell ref="I262:K262"/>
    <mergeCell ref="I263:K263"/>
    <mergeCell ref="I264:K264"/>
    <mergeCell ref="I265:K265"/>
    <mergeCell ref="I266:K266"/>
    <mergeCell ref="I267:K267"/>
    <mergeCell ref="I268:K268"/>
    <mergeCell ref="I271:K271"/>
    <mergeCell ref="I272:K272"/>
    <mergeCell ref="I273:K273"/>
    <mergeCell ref="I274:K274"/>
    <mergeCell ref="I275:K275"/>
    <mergeCell ref="I276:K276"/>
    <mergeCell ref="I277:K277"/>
    <mergeCell ref="I285:K285"/>
    <mergeCell ref="A286:K286"/>
    <mergeCell ref="I278:K278"/>
    <mergeCell ref="I279:K279"/>
    <mergeCell ref="I280:K280"/>
    <mergeCell ref="I281:K281"/>
    <mergeCell ref="I282:K282"/>
    <mergeCell ref="I283:K283"/>
    <mergeCell ref="I284:K284"/>
    <mergeCell ref="I294:K294"/>
    <mergeCell ref="I295:K295"/>
    <mergeCell ref="I296:K296"/>
    <mergeCell ref="I287:K287"/>
    <mergeCell ref="I288:K288"/>
    <mergeCell ref="I289:K289"/>
    <mergeCell ref="I290:K290"/>
    <mergeCell ref="I291:K291"/>
    <mergeCell ref="I292:K292"/>
    <mergeCell ref="I293:K293"/>
    <mergeCell ref="I206:K206"/>
    <mergeCell ref="I207:K207"/>
    <mergeCell ref="I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I230:K230"/>
    <mergeCell ref="I231:K231"/>
    <mergeCell ref="I232:K232"/>
    <mergeCell ref="A234:K234"/>
    <mergeCell ref="I233:K233"/>
    <mergeCell ref="I235:K235"/>
    <mergeCell ref="I236:K236"/>
    <mergeCell ref="I237:K237"/>
    <mergeCell ref="I238:K238"/>
    <mergeCell ref="I239:K239"/>
    <mergeCell ref="I240:K240"/>
    <mergeCell ref="I241:K241"/>
    <mergeCell ref="I242:K242"/>
    <mergeCell ref="I243:K243"/>
    <mergeCell ref="I244:K244"/>
    <mergeCell ref="I245:K245"/>
    <mergeCell ref="I246:K246"/>
    <mergeCell ref="I247:K247"/>
    <mergeCell ref="I248:K248"/>
    <mergeCell ref="I249:K249"/>
    <mergeCell ref="I250:K250"/>
    <mergeCell ref="I251:K251"/>
    <mergeCell ref="I252:K252"/>
    <mergeCell ref="I253:K253"/>
    <mergeCell ref="I254:K254"/>
  </mergeCells>
  <hyperlinks>
    <hyperlink display="Grants Advantage" location="Grants_Advantage_Special" ref="A2"/>
    <hyperlink display="Imposes Disadvantage" location="Imposes_Disadvantage_Special" ref="C2"/>
    <hyperlink display="Bonus Damage" location="Bonus_Damage_Special" ref="F2"/>
    <hyperlink display="Bonus AC" location="Bonus_AC_Special" ref="I2"/>
    <hyperlink display="Healing" location="Healing_Special" ref="A3"/>
    <hyperlink display="Utility Gear" location="Utility_Gear_Special" ref="C3"/>
    <hyperlink display="Utility Weapons" location="Utility_Weapon_Special" ref="F3"/>
    <hyperlink display="Flying" location="Flying_Special" ref="I3"/>
    <hyperlink display="Resistance Items" location="Resistance_Items_Special" ref="A4"/>
    <hyperlink display="Enspelled Items" location="Enspelled_Items_Special" ref="C4"/>
    <hyperlink display="Tattoos" location="Tattoo_Special" ref="F4"/>
    <hyperlink display="Ioun Stones" location="Ioun_Stones_Special" ref="I4"/>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hidden="1" min="5" max="5" width="14.13"/>
    <col hidden="1" min="6" max="8" width="12.63"/>
    <col customWidth="1" min="9" max="11" width="29.63"/>
    <col customWidth="1" min="12" max="12" width="17.38"/>
  </cols>
  <sheetData>
    <row r="1" ht="42.0" customHeight="1">
      <c r="A1" s="1" t="s">
        <v>0</v>
      </c>
      <c r="B1" s="1" t="s">
        <v>1</v>
      </c>
      <c r="C1" s="1" t="s">
        <v>2</v>
      </c>
      <c r="D1" s="1" t="s">
        <v>3</v>
      </c>
      <c r="E1" s="1" t="s">
        <v>4</v>
      </c>
      <c r="F1" s="1" t="s">
        <v>5</v>
      </c>
      <c r="G1" s="1" t="s">
        <v>6</v>
      </c>
      <c r="H1" s="1" t="s">
        <v>7</v>
      </c>
      <c r="I1" s="1" t="s">
        <v>8</v>
      </c>
      <c r="L1" s="1" t="s">
        <v>9</v>
      </c>
    </row>
    <row r="2">
      <c r="A2" s="4" t="s">
        <v>56</v>
      </c>
      <c r="C2" s="4" t="s">
        <v>57</v>
      </c>
      <c r="F2" s="5"/>
      <c r="I2" s="4" t="s">
        <v>58</v>
      </c>
      <c r="J2" s="4" t="s">
        <v>59</v>
      </c>
      <c r="K2" s="4" t="s">
        <v>21</v>
      </c>
      <c r="L2" s="3"/>
    </row>
    <row r="3">
      <c r="A3" s="25" t="s">
        <v>60</v>
      </c>
    </row>
    <row r="4">
      <c r="A4" s="6" t="s">
        <v>61</v>
      </c>
      <c r="L4" s="6"/>
    </row>
    <row r="5">
      <c r="A5" s="8" t="str">
        <f>IFERROR(__xludf.DUMMYFUNCTION("FILTER(MasterList_Hidden!A:K,MasterList_Hidden!M:M=""Single Use"",MasterList_Hidden!J:J&lt;&gt;""Free to Guild Adventurers with Item Proficiency"",MasterList_Hidden!J:J&lt;&gt;""Free to Guild Adventurers in Good Standing"",MasterList_Hidden!J:J&lt;&gt;""Artificer Replicate"&amp;" Magic Item Only"")"),"Antitoxin (singles)")</f>
        <v>Antitoxin (singles)</v>
      </c>
      <c r="B5" s="8" t="str">
        <f>IFERROR(__xludf.DUMMYFUNCTION("""COMPUTED_VALUE"""),"PHB'24")</f>
        <v>PHB'24</v>
      </c>
      <c r="C5" s="8" t="str">
        <f>IFERROR(__xludf.DUMMYFUNCTION("""COMPUTED_VALUE"""),"none")</f>
        <v>none</v>
      </c>
      <c r="D5" s="8" t="str">
        <f>IFERROR(__xludf.DUMMYFUNCTION("""COMPUTED_VALUE"""),"Adventuring Gear")</f>
        <v>Adventuring Gear</v>
      </c>
      <c r="E5" s="8"/>
      <c r="F5" s="8"/>
      <c r="G5" s="8"/>
      <c r="H5" s="8"/>
      <c r="I5" s="8" t="str">
        <f>IFERROR(__xludf.DUMMYFUNCTION("""COMPUTED_VALUE"""),"As a Bonus Action, you can drink a vial of Antitoxin to gain Advantage on saving throws to avoid or end the Poisoned condition for 1 hour. ")</f>
        <v>As a Bonus Action, you can drink a vial of Antitoxin to gain Advantage on saving throws to avoid or end the Poisoned condition for 1 hour. </v>
      </c>
      <c r="L5" s="26">
        <f>IFERROR(__xludf.DUMMYFUNCTION("FILTER(MasterList_Hidden!J:J,MasterList_Hidden!M:M=""Single Use"",MasterList_Hidden!J:J&lt;&gt;""Free to Guild Adventurers with Item Proficiency"",MasterList_Hidden!J:J&lt;&gt;""Free to Guild Adventurers in Good Standing"",MasterList_Hidden!J:J&lt;&gt;""Artificer Replicate"&amp;" Magic Item Only"")"),50.0)</f>
        <v>50</v>
      </c>
    </row>
    <row r="6">
      <c r="A6" s="10" t="str">
        <f>IFERROR(__xludf.DUMMYFUNCTION("""COMPUTED_VALUE"""),"Potion of Healing (singles)")</f>
        <v>Potion of Healing (singles)</v>
      </c>
      <c r="B6" s="10" t="str">
        <f>IFERROR(__xludf.DUMMYFUNCTION("""COMPUTED_VALUE"""),"DMG'24")</f>
        <v>DMG'24</v>
      </c>
      <c r="C6" s="10" t="str">
        <f>IFERROR(__xludf.DUMMYFUNCTION("""COMPUTED_VALUE"""),"common")</f>
        <v>common</v>
      </c>
      <c r="D6" s="10" t="str">
        <f>IFERROR(__xludf.DUMMYFUNCTION("""COMPUTED_VALUE"""),"Potion")</f>
        <v>Potion</v>
      </c>
      <c r="E6" s="10"/>
      <c r="F6" s="10"/>
      <c r="G6" s="10"/>
      <c r="H6" s="10"/>
      <c r="I6" s="10"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f>
        <v>This potion is a magic item. As a Bonus Action, you can drink it or administer it to another creature within 5 feet of yourself. The creature that drinks the magical red fluid in this vial regains 2d4 + 2 Hit Points. The potion's red liquid glimmers when agitated.</v>
      </c>
      <c r="L6" s="27">
        <f>IFERROR(__xludf.DUMMYFUNCTION("""COMPUTED_VALUE"""),50.0)</f>
        <v>50</v>
      </c>
    </row>
    <row r="7">
      <c r="A7" s="28"/>
      <c r="B7" s="28"/>
      <c r="C7" s="28"/>
      <c r="D7" s="28"/>
      <c r="E7" s="28"/>
      <c r="F7" s="28"/>
      <c r="G7" s="28"/>
      <c r="H7" s="28"/>
      <c r="I7" s="28"/>
      <c r="J7" s="28"/>
      <c r="K7" s="28"/>
      <c r="L7" s="28"/>
    </row>
    <row r="8">
      <c r="A8" s="6" t="s">
        <v>57</v>
      </c>
      <c r="L8" s="6"/>
    </row>
    <row r="9">
      <c r="A9" s="8" t="str">
        <f>IFERROR(__xludf.DUMMYFUNCTION("FILTER(MasterList_Hidden!A:K,Search(A8,MasterList_Hidden!K:K),MasterList_Hidden!M:M&lt;&gt;""Single Use"",MasterList_Hidden!J:J&lt;&gt;""Free to Guild Adventurers with Item Proficiency"",MasterList_Hidden!J:J&lt;&gt;""Free to Guild Adventurers in Good Standing"",MasterList"&amp;"_Hidden!J:J&lt;&gt;""Artificer Replicate Magic Item Only"")"),"Potion of Healing")</f>
        <v>Potion of Healing</v>
      </c>
      <c r="B9" s="8" t="str">
        <f>IFERROR(__xludf.DUMMYFUNCTION("""COMPUTED_VALUE"""),"DMG'24")</f>
        <v>DMG'24</v>
      </c>
      <c r="C9" s="8" t="str">
        <f>IFERROR(__xludf.DUMMYFUNCTION("""COMPUTED_VALUE"""),"common")</f>
        <v>common</v>
      </c>
      <c r="D9" s="8" t="str">
        <f>IFERROR(__xludf.DUMMYFUNCTION("""COMPUTED_VALUE"""),"Potion")</f>
        <v>Potion</v>
      </c>
      <c r="E9" s="8"/>
      <c r="F9" s="8"/>
      <c r="G9" s="8"/>
      <c r="H9" s="8"/>
      <c r="I9" s="8"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  Purchasing this gives an adventurer 1 use of this item per guild mission they go on, and does not stack unless you purchase more than 1.")</f>
        <v>This potion is a magic item. As a Bonus Action, you can drink it or administer it to another creature within 5 feet of yourself. The creature that drinks the magical red fluid in this vial regains 2d4 + 2 Hit Points. The potion's red liquid glimmers when agitated.  Purchasing this gives an adventurer 1 use of this item per guild mission they go on, and does not stack unless you purchase more than 1.</v>
      </c>
      <c r="L9" s="26">
        <f>IFERROR(__xludf.DUMMYFUNCTION("FILTER(MasterList_Hidden!J:J,Search(A8,MasterList_Hidden!K:K),MasterList_Hidden!M:M&lt;&gt;""Single Use"",MasterList_Hidden!J:J&lt;&gt;""Free to Guild Adventurers with Item Proficiency"",MasterList_Hidden!J:J&lt;&gt;""Free to Guild Adventurers in Good Standing"",MasterList"&amp;"_Hidden!J:J&lt;&gt;""Artificer Replicate Magic Item Only"")"),100.0)</f>
        <v>100</v>
      </c>
    </row>
    <row r="10">
      <c r="A10" s="10" t="str">
        <f>IFERROR(__xludf.DUMMYFUNCTION("""COMPUTED_VALUE"""),"Potion of Climbing")</f>
        <v>Potion of Climbing</v>
      </c>
      <c r="B10" s="10" t="str">
        <f>IFERROR(__xludf.DUMMYFUNCTION("""COMPUTED_VALUE"""),"DMG'24")</f>
        <v>DMG'24</v>
      </c>
      <c r="C10" s="10" t="str">
        <f>IFERROR(__xludf.DUMMYFUNCTION("""COMPUTED_VALUE"""),"common")</f>
        <v>common</v>
      </c>
      <c r="D10" s="10" t="str">
        <f>IFERROR(__xludf.DUMMYFUNCTION("""COMPUTED_VALUE"""),"Potion")</f>
        <v>Potion</v>
      </c>
      <c r="E10" s="10"/>
      <c r="F10" s="10"/>
      <c r="G10" s="10"/>
      <c r="H10" s="10"/>
      <c r="I10" s="10" t="str">
        <f>IFERROR(__xludf.DUMMYFUNCTION("""COMPUTED_VALUE"""),"When you drink this potion, you gain a Climb Speed equal to your Speed for 1 hour. During this time, you have Advantage on Strength (Athletics) checks to climb.This potion is separated into brown, silver, and gray layers resembling bands of stone. Shaking"&amp;" the bottle fails to mix the colors.  Purchasing this gives an adventurer 1 use of this item per guild mission they go on, and does not stack unless you purchase more than 1.")</f>
        <v>When you drink this potion, you gain a Climb Speed equal to your Speed for 1 hour. During this time, you have Advantage on Strength (Athletics) checks to climb.This potion is separated into brown, silver, and gray layers resembling bands of stone. Shaking the bottle fails to mix the colors.  Purchasing this gives an adventurer 1 use of this item per guild mission they go on, and does not stack unless you purchase more than 1.</v>
      </c>
      <c r="L10" s="10">
        <f>IFERROR(__xludf.DUMMYFUNCTION("""COMPUTED_VALUE"""),150.0)</f>
        <v>150</v>
      </c>
    </row>
    <row r="11">
      <c r="A11" s="8" t="str">
        <f>IFERROR(__xludf.DUMMYFUNCTION("""COMPUTED_VALUE"""),"Potion of Comprehension")</f>
        <v>Potion of Comprehension</v>
      </c>
      <c r="B11" s="8" t="str">
        <f>IFERROR(__xludf.DUMMYFUNCTION("""COMPUTED_VALUE"""),"DMG'24")</f>
        <v>DMG'24</v>
      </c>
      <c r="C11" s="8" t="str">
        <f>IFERROR(__xludf.DUMMYFUNCTION("""COMPUTED_VALUE"""),"common")</f>
        <v>common</v>
      </c>
      <c r="D11" s="8" t="str">
        <f>IFERROR(__xludf.DUMMYFUNCTION("""COMPUTED_VALUE"""),"Potion")</f>
        <v>Potion</v>
      </c>
      <c r="E11" s="8"/>
      <c r="F11" s="8"/>
      <c r="G11" s="8"/>
      <c r="H11" s="8"/>
      <c r="I11" s="8" t="str">
        <f>IFERROR(__xludf.DUMMYFUNCTION("""COMPUTED_VALUE"""),"When you drink this potion, you gain the effect of the Comprehend Languages spell for 1 hour.This potion's liquid is a clear concoction with bits of salt and soot swirling in it.  Purchasing this gives an adventurer 1 use of this item per guild mission th"&amp;"ey go on, and does not stack unless you purchase more than 1.")</f>
        <v>When you drink this potion, you gain the effect of the Comprehend Languages spell for 1 hour.This potion's liquid is a clear concoction with bits of salt and soot swirling in it.  Purchasing this gives an adventurer 1 use of this item per guild mission they go on, and does not stack unless you purchase more than 1.</v>
      </c>
      <c r="L11" s="8">
        <f>IFERROR(__xludf.DUMMYFUNCTION("""COMPUTED_VALUE"""),150.0)</f>
        <v>150</v>
      </c>
    </row>
    <row r="12">
      <c r="A12" s="10" t="str">
        <f>IFERROR(__xludf.DUMMYFUNCTION("""COMPUTED_VALUE"""),"Potion of Water Breathing")</f>
        <v>Potion of Water Breathing</v>
      </c>
      <c r="B12" s="10" t="str">
        <f>IFERROR(__xludf.DUMMYFUNCTION("""COMPUTED_VALUE"""),"DMG'24")</f>
        <v>DMG'24</v>
      </c>
      <c r="C12" s="10" t="str">
        <f>IFERROR(__xludf.DUMMYFUNCTION("""COMPUTED_VALUE"""),"uncommon")</f>
        <v>uncommon</v>
      </c>
      <c r="D12" s="10" t="str">
        <f>IFERROR(__xludf.DUMMYFUNCTION("""COMPUTED_VALUE"""),"Potion")</f>
        <v>Potion</v>
      </c>
      <c r="E12" s="10"/>
      <c r="F12" s="10"/>
      <c r="G12" s="10"/>
      <c r="H12" s="10"/>
      <c r="I12" s="10" t="str">
        <f>IFERROR(__xludf.DUMMYFUNCTION("""COMPUTED_VALUE"""),"You can breathe underwater for 24 hours after drinking this potion.This potion's cloudy green fluid smells of the sea and has a jellyfish-like bubble floating in it.  Purchasing this gives an adventurer 1 use of this item per guild mission they go on, and"&amp;" does not stack unless you purchase more than 1.")</f>
        <v>You can breathe underwater for 24 hours after drinking this potion.This potion's cloudy green fluid smells of the sea and has a jellyfish-like bubble floating in it.  Purchasing this gives an adventurer 1 use of this item per guild mission they go on, and does not stack unless you purchase more than 1.</v>
      </c>
      <c r="L12" s="10">
        <f>IFERROR(__xludf.DUMMYFUNCTION("""COMPUTED_VALUE"""),200.0)</f>
        <v>200</v>
      </c>
    </row>
    <row r="13">
      <c r="A13" s="8" t="str">
        <f>IFERROR(__xludf.DUMMYFUNCTION("""COMPUTED_VALUE"""),"Potion of Psionic Fortitude")</f>
        <v>Potion of Psionic Fortitude</v>
      </c>
      <c r="B13" s="8" t="str">
        <f>IFERROR(__xludf.DUMMYFUNCTION("""COMPUTED_VALUE"""),"PaBTSO")</f>
        <v>PaBTSO</v>
      </c>
      <c r="C13" s="8" t="str">
        <f>IFERROR(__xludf.DUMMYFUNCTION("""COMPUTED_VALUE"""),"uncommon")</f>
        <v>uncommon</v>
      </c>
      <c r="D13" s="8" t="str">
        <f>IFERROR(__xludf.DUMMYFUNCTION("""COMPUTED_VALUE"""),"Potion")</f>
        <v>Potion</v>
      </c>
      <c r="E13" s="8"/>
      <c r="F13" s="8"/>
      <c r="G13" s="8"/>
      <c r="H13" s="8"/>
      <c r="I13" s="8" t="str">
        <f>IFERROR(__xludf.DUMMYFUNCTION("""COMPUTED_VALUE"""),"When you drink this potion, you have advantage for 1 hour on saving throws you make to avoid or end the charmed or stunned condition on yourself. This black potion swirls with shimmering flecks of pink and purple.  Purchasing this gives an adventurer 1 us"&amp;"e of this item per guild mission they go on, and does not stack unless you purchase more than 1.")</f>
        <v>When you drink this potion, you have advantage for 1 hour on saving throws you make to avoid or end the charmed or stunned condition on yourself. This black potion swirls with shimmering flecks of pink and purple.  Purchasing this gives an adventurer 1 use of this item per guild mission they go on, and does not stack unless you purchase more than 1.</v>
      </c>
      <c r="L13" s="8">
        <f>IFERROR(__xludf.DUMMYFUNCTION("""COMPUTED_VALUE"""),300.0)</f>
        <v>300</v>
      </c>
    </row>
    <row r="14">
      <c r="A14" s="10" t="str">
        <f>IFERROR(__xludf.DUMMYFUNCTION("""COMPUTED_VALUE"""),"Potion of Mind Reading")</f>
        <v>Potion of Mind Reading</v>
      </c>
      <c r="B14" s="10" t="str">
        <f>IFERROR(__xludf.DUMMYFUNCTION("""COMPUTED_VALUE"""),"DMG'24")</f>
        <v>DMG'24</v>
      </c>
      <c r="C14" s="10" t="str">
        <f>IFERROR(__xludf.DUMMYFUNCTION("""COMPUTED_VALUE"""),"rare")</f>
        <v>rare</v>
      </c>
      <c r="D14" s="10" t="str">
        <f>IFERROR(__xludf.DUMMYFUNCTION("""COMPUTED_VALUE"""),"Potion")</f>
        <v>Potion</v>
      </c>
      <c r="E14" s="10"/>
      <c r="F14" s="10"/>
      <c r="G14" s="10"/>
      <c r="H14" s="10"/>
      <c r="I14" s="10" t="str">
        <f>IFERROR(__xludf.DUMMYFUNCTION("""COMPUTED_VALUE"""),"When you drink this potion, you gain the effect of the Detect Thoughts spell (save DC 13) for 10 minutes (no Concentration required).This potion's dense, purple liquid has an ovoid cloud of pink floating in it.  Purchasing this gives an adventurer 1 use o"&amp;"f this item per guild mission they go on, and does not stack unless you purchase more than 1.")</f>
        <v>When you drink this potion, you gain the effect of the Detect Thoughts spell (save DC 13) for 10 minutes (no Concentration required).This potion's dense, purple liquid has an ovoid cloud of pink floating in it.  Purchasing this gives an adventurer 1 use of this item per guild mission they go on, and does not stack unless you purchase more than 1.</v>
      </c>
      <c r="L14" s="10">
        <f>IFERROR(__xludf.DUMMYFUNCTION("""COMPUTED_VALUE"""),300.0)</f>
        <v>300</v>
      </c>
    </row>
    <row r="15">
      <c r="A15" s="8" t="str">
        <f>IFERROR(__xludf.DUMMYFUNCTION("""COMPUTED_VALUE"""),"Potion of Growth")</f>
        <v>Potion of Growth</v>
      </c>
      <c r="B15" s="8" t="str">
        <f>IFERROR(__xludf.DUMMYFUNCTION("""COMPUTED_VALUE"""),"DMG'24")</f>
        <v>DMG'24</v>
      </c>
      <c r="C15" s="8" t="str">
        <f>IFERROR(__xludf.DUMMYFUNCTION("""COMPUTED_VALUE"""),"uncommon")</f>
        <v>uncommon</v>
      </c>
      <c r="D15" s="8" t="str">
        <f>IFERROR(__xludf.DUMMYFUNCTION("""COMPUTED_VALUE"""),"Potion")</f>
        <v>Potion</v>
      </c>
      <c r="E15" s="8"/>
      <c r="F15" s="8"/>
      <c r="G15" s="8"/>
      <c r="H15" s="8"/>
      <c r="I15" s="8" t="str">
        <f>IFERROR(__xludf.DUMMYFUNCTION("""COMPUTED_VALUE"""),"When you drink this potion, you gain the ""enlarge"" effect of the Enlarge/Reduce spell for 10 minutes (no Concentration required).The red in the potion's liquid continuously expands from a tiny bead to color the clear liquid around it and then contracts."&amp;" Shaking the bottle fails to interrupt this process.  Purchasing this gives an adventurer 1 use of this item per guild mission they go on, and does not stack unless you purchase more than 1.")</f>
        <v>When you drink this potion, you gain the "enlarge" effect of the Enlarge/Reduce spell for 10 minutes (no Concentration required).The red in the potion's liquid continuously expands from a tiny bead to color the clear liquid around it and then contracts. Shaking the bottle fails to interrupt this process.  Purchasing this gives an adventurer 1 use of this item per guild mission they go on, and does not stack unless you purchase more than 1.</v>
      </c>
      <c r="L15" s="8">
        <f>IFERROR(__xludf.DUMMYFUNCTION("""COMPUTED_VALUE"""),400.0)</f>
        <v>400</v>
      </c>
    </row>
    <row r="16">
      <c r="A16" s="10" t="str">
        <f>IFERROR(__xludf.DUMMYFUNCTION("""COMPUTED_VALUE"""),"Potion of Diminution")</f>
        <v>Potion of Diminution</v>
      </c>
      <c r="B16" s="10" t="str">
        <f>IFERROR(__xludf.DUMMYFUNCTION("""COMPUTED_VALUE"""),"DMG'24")</f>
        <v>DMG'24</v>
      </c>
      <c r="C16" s="10" t="str">
        <f>IFERROR(__xludf.DUMMYFUNCTION("""COMPUTED_VALUE"""),"rare")</f>
        <v>rare</v>
      </c>
      <c r="D16" s="10" t="str">
        <f>IFERROR(__xludf.DUMMYFUNCTION("""COMPUTED_VALUE"""),"Potion")</f>
        <v>Potion</v>
      </c>
      <c r="E16" s="10"/>
      <c r="F16" s="10"/>
      <c r="G16" s="10"/>
      <c r="H16" s="10"/>
      <c r="I16" s="10" t="str">
        <f>IFERROR(__xludf.DUMMYFUNCTION("""COMPUTED_VALUE"""),"When you drink this potion, you gain the ""reduce"" effect of the Enlarge/Reduce spell for 1d4 hours (no Concentration required).The red in the potion's liquid continuously contracts to a tiny bead and then expands to color the clear liquid around it. Sha"&amp;"king the bottle fails to interrupt this process.  Purchasing this gives an adventurer 1 use of this item per guild mission they go on, and does not stack unless you purchase more than 1.")</f>
        <v>When you drink this potion, you gain the "reduce" effect of the Enlarge/Reduce spell for 1d4 hours (no Concentration required).The red in the potion's liquid continuously contracts to a tiny bead and then expands to color the clear liquid around it. Shaking the bottle fails to interrupt this process.  Purchasing this gives an adventurer 1 use of this item per guild mission they go on, and does not stack unless you purchase more than 1.</v>
      </c>
      <c r="L16" s="10">
        <f>IFERROR(__xludf.DUMMYFUNCTION("""COMPUTED_VALUE"""),400.0)</f>
        <v>400</v>
      </c>
    </row>
    <row r="17">
      <c r="A17" s="8" t="str">
        <f>IFERROR(__xludf.DUMMYFUNCTION("""COMPUTED_VALUE"""),"Potion of Invisibility")</f>
        <v>Potion of Invisibility</v>
      </c>
      <c r="B17" s="8" t="str">
        <f>IFERROR(__xludf.DUMMYFUNCTION("""COMPUTED_VALUE"""),"DMG'24")</f>
        <v>DMG'24</v>
      </c>
      <c r="C17" s="8" t="str">
        <f>IFERROR(__xludf.DUMMYFUNCTION("""COMPUTED_VALUE"""),"rare")</f>
        <v>rare</v>
      </c>
      <c r="D17" s="8" t="str">
        <f>IFERROR(__xludf.DUMMYFUNCTION("""COMPUTED_VALUE"""),"Potion")</f>
        <v>Potion</v>
      </c>
      <c r="E17" s="8"/>
      <c r="F17" s="8"/>
      <c r="G17" s="8"/>
      <c r="H17" s="8"/>
      <c r="I17" s="8" t="str">
        <f>IFERROR(__xludf.DUMMYFUNCTION("""COMPUTED_VALUE"""),"This potion's container looks empty but feels as though it holds liquid. When you drink the potion, you have the Invisible condition for 1 hour. The effect ends early if you make an attack roll, deal damage, or cast a spell.  Purchasing this gives an adve"&amp;"nturer 1 use of this item per guild mission they go on, and does not stack unless you purchase more than 1.")</f>
        <v>This potion's container looks empty but feels as though it holds liquid. When you drink the potion, you have the Invisible condition for 1 hour. The effect ends early if you make an attack roll, deal damage, or cast a spell.  Purchasing this gives an adventurer 1 use of this item per guild mission they go on, and does not stack unless you purchase more than 1.</v>
      </c>
      <c r="L17" s="8">
        <f>IFERROR(__xludf.DUMMYFUNCTION("""COMPUTED_VALUE"""),450.0)</f>
        <v>450</v>
      </c>
    </row>
    <row r="18">
      <c r="A18" s="10" t="str">
        <f>IFERROR(__xludf.DUMMYFUNCTION("""COMPUTED_VALUE"""),"Potion of Fire Breath")</f>
        <v>Potion of Fire Breath</v>
      </c>
      <c r="B18" s="10" t="str">
        <f>IFERROR(__xludf.DUMMYFUNCTION("""COMPUTED_VALUE"""),"DMG'24")</f>
        <v>DMG'24</v>
      </c>
      <c r="C18" s="10" t="str">
        <f>IFERROR(__xludf.DUMMYFUNCTION("""COMPUTED_VALUE"""),"uncommon")</f>
        <v>uncommon</v>
      </c>
      <c r="D18" s="10" t="str">
        <f>IFERROR(__xludf.DUMMYFUNCTION("""COMPUTED_VALUE"""),"Potion")</f>
        <v>Potion</v>
      </c>
      <c r="E18" s="10"/>
      <c r="F18" s="10"/>
      <c r="G18" s="10"/>
      <c r="H18" s="10"/>
      <c r="I18" s="10" t="str">
        <f>IFERROR(__xludf.DUMMYFUNCTION("""COMPUTED_VALUE"""),"After drinking this potion, you can take a Bonus Action to exhale fire at a target within 30 feet of yourself. The target makes a DC 13 Dexterity saving throw, taking 4d6 Fire damage on a failed save or half as much damage on a successful one. The effect "&amp;"ends after you exhale the fire three times or when 1 hour has passed.This potion's orange liquid flickers, and smoke fills the top of the container and wafts out whenever it is opened.  Purchasing this gives an adventurer 1 use of this item per guild miss"&amp;"ion they go on, and does not stack unless you purchase more than 1.")</f>
        <v>After drinking this potion, you can take a Bonus Action to exhale fire at a target within 30 feet of yourself. The target makes a DC 13 Dexterity saving throw, taking 4d6 Fire damage on a failed save or half as much damage on a successful one. The effect ends after you exhale the fire three times or when 1 hour has passed.This potion's orange liquid flickers, and smoke fills the top of the container and wafts out whenever it is opened.  Purchasing this gives an adventurer 1 use of this item per guild mission they go on, and does not stack unless you purchase more than 1.</v>
      </c>
      <c r="L18" s="10">
        <f>IFERROR(__xludf.DUMMYFUNCTION("""COMPUTED_VALUE"""),550.0)</f>
        <v>550</v>
      </c>
    </row>
    <row r="19">
      <c r="A19" s="8" t="str">
        <f>IFERROR(__xludf.DUMMYFUNCTION("""COMPUTED_VALUE"""),"Oil of Slipperiness")</f>
        <v>Oil of Slipperiness</v>
      </c>
      <c r="B19" s="8" t="str">
        <f>IFERROR(__xludf.DUMMYFUNCTION("""COMPUTED_VALUE"""),"DMG'24")</f>
        <v>DMG'24</v>
      </c>
      <c r="C19" s="8" t="str">
        <f>IFERROR(__xludf.DUMMYFUNCTION("""COMPUTED_VALUE"""),"uncommon")</f>
        <v>uncommon</v>
      </c>
      <c r="D19" s="8" t="str">
        <f>IFERROR(__xludf.DUMMYFUNCTION("""COMPUTED_VALUE"""),"Potion")</f>
        <v>Potion</v>
      </c>
      <c r="E19" s="8"/>
      <c r="F19" s="8"/>
      <c r="G19" s="8"/>
      <c r="H19" s="8"/>
      <c r="I19" s="8" t="str">
        <f>IFERROR(__xludf.DUMMYFUNCTION("""COMPUTED_VALUE"""),"One vial of this oil can cover one Medium or smaller creature, along with the equipment it's wearing and carrying (one additional vial is required for each size category above Medium). Applying the oil takes 10 minutes. The affected creature then gains th"&amp;"e effect of the Freedom of Movement spell for 8 hours.Alternatively, the oil can be poured on the ground as a Magic action, where it covers a 10-foot square, duplicating the effect of the Grease spell in that area for 8 hours.This sticky, black unguent is"&amp;" thick and heavy, but it flows quickly when poured.  Purchasing this gives an adventurer 1 use of this item per guild mission they go on, and does not stack unless you purchase more than 1.")</f>
        <v>One vial of this oil can cover one Medium or smaller creature, along with the equipment it's wearing and carrying (one additional vial is required for each size category above Medium). Applying the oil takes 10 minutes. The affected creature then gains the effect of the Freedom of Movement spell for 8 hours.Alternatively, the oil can be poured on the ground as a Magic action, where it covers a 10-foot square, duplicating the effect of the Grease spell in that area for 8 hours.This sticky, black unguent is thick and heavy, but it flows quickly when poured.  Purchasing this gives an adventurer 1 use of this item per guild mission they go on, and does not stack unless you purchase more than 1.</v>
      </c>
      <c r="L19" s="8">
        <f>IFERROR(__xludf.DUMMYFUNCTION("""COMPUTED_VALUE"""),850.0)</f>
        <v>850</v>
      </c>
    </row>
    <row r="20">
      <c r="A20" s="10" t="str">
        <f>IFERROR(__xludf.DUMMYFUNCTION("""COMPUTED_VALUE"""),"Potion of Heroism")</f>
        <v>Potion of Heroism</v>
      </c>
      <c r="B20" s="10" t="str">
        <f>IFERROR(__xludf.DUMMYFUNCTION("""COMPUTED_VALUE"""),"DMG'24")</f>
        <v>DMG'24</v>
      </c>
      <c r="C20" s="10" t="str">
        <f>IFERROR(__xludf.DUMMYFUNCTION("""COMPUTED_VALUE"""),"rare")</f>
        <v>rare</v>
      </c>
      <c r="D20" s="10" t="str">
        <f>IFERROR(__xludf.DUMMYFUNCTION("""COMPUTED_VALUE"""),"Potion")</f>
        <v>Potion</v>
      </c>
      <c r="E20" s="10"/>
      <c r="F20" s="10"/>
      <c r="G20" s="10"/>
      <c r="H20" s="10"/>
      <c r="I20" s="10" t="str">
        <f>IFERROR(__xludf.DUMMYFUNCTION("""COMPUTED_VALUE"""),"When you drink this potion, you gain 10 Temporary Hit Points that last for 1 hour. For the same duration, you are under the effect of the Bless spell (no Concentration required).This potion's blue liquid bubbles and steams as if boiling.  Purchasing this "&amp;"gives an adventurer 1 use of this item per guild mission they go on, and does not stack unless you purchase more than 1.")</f>
        <v>When you drink this potion, you gain 10 Temporary Hit Points that last for 1 hour. For the same duration, you are under the effect of the Bless spell (no Concentration required).This potion's blue liquid bubbles and steams as if boiling.  Purchasing this gives an adventurer 1 use of this item per guild mission they go on, and does not stack unless you purchase more than 1.</v>
      </c>
      <c r="L20" s="10">
        <f>IFERROR(__xludf.DUMMYFUNCTION("""COMPUTED_VALUE"""),850.0)</f>
        <v>850</v>
      </c>
    </row>
    <row r="21">
      <c r="A21" s="8" t="str">
        <f>IFERROR(__xludf.DUMMYFUNCTION("""COMPUTED_VALUE"""),"Potion of Flying")</f>
        <v>Potion of Flying</v>
      </c>
      <c r="B21" s="8" t="str">
        <f>IFERROR(__xludf.DUMMYFUNCTION("""COMPUTED_VALUE"""),"DMG'24")</f>
        <v>DMG'24</v>
      </c>
      <c r="C21" s="8" t="str">
        <f>IFERROR(__xludf.DUMMYFUNCTION("""COMPUTED_VALUE"""),"very rare")</f>
        <v>very rare</v>
      </c>
      <c r="D21" s="8" t="str">
        <f>IFERROR(__xludf.DUMMYFUNCTION("""COMPUTED_VALUE"""),"Potion")</f>
        <v>Potion</v>
      </c>
      <c r="E21" s="8"/>
      <c r="F21" s="8"/>
      <c r="G21" s="8"/>
      <c r="H21" s="8"/>
      <c r="I21" s="8" t="str">
        <f>IFERROR(__xludf.DUMMYFUNCTION("""COMPUTED_VALUE"""),"When you drink this potion, you gain a Fly Speed equal to your Speed for 1 hour and can hover. If you're in the air when the potion wears off, you fall unless you have some other means of staying aloft.This potion's clear liquid floats at the top of its c"&amp;"ontainer and has cloudy white impurities drifting in it.  Purchasing this gives an adventurer 1 use of this item per guild mission they go on, and does not stack unless you purchase more than 1.")</f>
        <v>When you drink this potion, you gain a Fly Speed equal to your Speed for 1 hour and can hover. If you're in the air when the potion wears off, you fall unless you have some other means of staying aloft.This potion's clear liquid floats at the top of its container and has cloudy white impurities drifting in it.  Purchasing this gives an adventurer 1 use of this item per guild mission they go on, and does not stack unless you purchase more than 1.</v>
      </c>
      <c r="L21" s="8">
        <f>IFERROR(__xludf.DUMMYFUNCTION("""COMPUTED_VALUE"""),1000.0)</f>
        <v>1000</v>
      </c>
    </row>
    <row r="22">
      <c r="A22" s="10" t="str">
        <f>IFERROR(__xludf.DUMMYFUNCTION("""COMPUTED_VALUE"""),"Potion of Speed")</f>
        <v>Potion of Speed</v>
      </c>
      <c r="B22" s="10" t="str">
        <f>IFERROR(__xludf.DUMMYFUNCTION("""COMPUTED_VALUE"""),"DMG'24")</f>
        <v>DMG'24</v>
      </c>
      <c r="C22" s="10" t="str">
        <f>IFERROR(__xludf.DUMMYFUNCTION("""COMPUTED_VALUE"""),"very rare")</f>
        <v>very rare</v>
      </c>
      <c r="D22" s="10" t="str">
        <f>IFERROR(__xludf.DUMMYFUNCTION("""COMPUTED_VALUE"""),"Potion")</f>
        <v>Potion</v>
      </c>
      <c r="E22" s="10"/>
      <c r="F22" s="10"/>
      <c r="G22" s="10"/>
      <c r="H22" s="10"/>
      <c r="I22" s="10" t="str">
        <f>IFERROR(__xludf.DUMMYFUNCTION("""COMPUTED_VALUE"""),"When you drink this potion, you gain the effect of the Haste spell for 1 minute (no Concentration required) without suffering the wave of lethargy that typically occurs when the effect ends.This potion's yellow fluid is streaked with black and swirls on i"&amp;"ts own.  Purchasing this gives an adventurer 1 use of this item per guild mission they go on, and does not stack unless you purchase more than 1.")</f>
        <v>When you drink this potion, you gain the effect of the Haste spell for 1 minute (no Concentration required) without suffering the wave of lethargy that typically occurs when the effect ends.This potion's yellow fluid is streaked with black and swirls on its own.  Purchasing this gives an adventurer 1 use of this item per guild mission they go on, and does not stack unless you purchase more than 1.</v>
      </c>
      <c r="L22" s="10">
        <f>IFERROR(__xludf.DUMMYFUNCTION("""COMPUTED_VALUE"""),1800.0)</f>
        <v>1800</v>
      </c>
    </row>
    <row r="23">
      <c r="A23" s="12"/>
      <c r="B23" s="12"/>
      <c r="C23" s="12"/>
      <c r="D23" s="12"/>
      <c r="E23" s="12"/>
      <c r="F23" s="12"/>
      <c r="G23" s="12"/>
      <c r="H23" s="12"/>
      <c r="I23" s="12"/>
      <c r="L23" s="12"/>
    </row>
    <row r="24">
      <c r="A24" s="6" t="s">
        <v>62</v>
      </c>
      <c r="L24" s="6"/>
    </row>
    <row r="25">
      <c r="A25" s="8" t="str">
        <f>IFERROR(__xludf.DUMMYFUNCTION("FILTER(MasterList_Hidden!A:K,Search(A24,MasterList_Hidden!K:K),MasterList_Hidden!J:J&lt;&gt;""Free to Guild Adventurers with Item Proficiency"",MasterList_Hidden!J:J&lt;&gt;""Free to Guild Adventurers in Good Standing"",MasterList_Hidden!J:J&lt;&gt;""Artificer Replicate Ma"&amp;"gic Item Only"")"),"Essence of Ether")</f>
        <v>Essence of Ether</v>
      </c>
      <c r="B25" s="8" t="str">
        <f>IFERROR(__xludf.DUMMYFUNCTION("""COMPUTED_VALUE"""),"DMG'24")</f>
        <v>DMG'24</v>
      </c>
      <c r="C25" s="8" t="str">
        <f>IFERROR(__xludf.DUMMYFUNCTION("""COMPUTED_VALUE"""),"none")</f>
        <v>none</v>
      </c>
      <c r="D25" s="8" t="str">
        <f>IFERROR(__xludf.DUMMYFUNCTION("""COMPUTED_VALUE"""),"Adventuring Gear, Poison (Inhaled)")</f>
        <v>Adventuring Gear, Poison (Inhaled)</v>
      </c>
      <c r="E25" s="8"/>
      <c r="F25" s="8"/>
      <c r="G25" s="8"/>
      <c r="H25" s="8"/>
      <c r="I25" s="8" t="str">
        <f>IFERROR(__xludf.DUMMYFUNCTION("""COMPUTED_VALUE"""),"A creature subjected to Essence of Ether must succeed on a DC 15 Constitution saving throw or have the Poisoned condition for 8 hours. The creature also has the Unconscious condition while Poisoned in this way. The creature wakes up if it takes damage or "&amp;"if another creature takes an action to shake it awake.  Purchasing this gives an adventurer 1 use of this item per guild mission they go on, and does not stack unless you purchase more than 1.")</f>
        <v>A creature subjected to Essence of Ether must succeed on a DC 15 Constitution saving throw or have the Poisoned condition for 8 hours. The creature also has the Unconscious condition while Poisoned in this way. The creature wakes up if it takes damage or if another creature takes an action to shake it awake.  Purchasing this gives an adventurer 1 use of this item per guild mission they go on, and does not stack unless you purchase more than 1.</v>
      </c>
      <c r="L25" s="26">
        <f>IFERROR(__xludf.DUMMYFUNCTION("FILTER(MasterList_Hidden!J:J,Search(A24,MasterList_Hidden!K:K),MasterList_Hidden!J:J&lt;&gt;""Free to Guild Adventurers with Item Proficiency"",MasterList_Hidden!J:J&lt;&gt;""Free to Guild Adventurers in Good Standing"",MasterList_Hidden!J:J&lt;&gt;""Artificer Replicate Ma"&amp;"gic Item Only"")"),350.0)</f>
        <v>350</v>
      </c>
    </row>
    <row r="26">
      <c r="A26" s="10" t="str">
        <f>IFERROR(__xludf.DUMMYFUNCTION("""COMPUTED_VALUE"""),"Lolth's Sting")</f>
        <v>Lolth's Sting</v>
      </c>
      <c r="B26" s="10" t="str">
        <f>IFERROR(__xludf.DUMMYFUNCTION("""COMPUTED_VALUE"""),"DMG'24")</f>
        <v>DMG'24</v>
      </c>
      <c r="C26" s="10" t="str">
        <f>IFERROR(__xludf.DUMMYFUNCTION("""COMPUTED_VALUE"""),"none")</f>
        <v>none</v>
      </c>
      <c r="D26" s="10" t="str">
        <f>IFERROR(__xludf.DUMMYFUNCTION("""COMPUTED_VALUE"""),"Adventuring Gear, Poison (Injury)")</f>
        <v>Adventuring Gear, Poison (Injury)</v>
      </c>
      <c r="E26" s="10"/>
      <c r="F26" s="10"/>
      <c r="G26" s="10"/>
      <c r="H26" s="10"/>
      <c r="I26" s="10" t="str">
        <f>IFERROR(__xludf.DUMMYFUNCTION("""COMPUTED_VALUE"""),"A creature subjected to Lolth's Sting must succeed on a DC 13 Constitution saving throw or have the Poisoned condition for 1 hour. If the creature fails the save by 5 or more, the creature also has the Unconscious condition while Poisoned in this way. The"&amp;" creature wakes up if it takes damage or if another creature takes an action to shake it awake.  Purchasing this gives an adventurer 1 use of this item per guild mission they go on, and does not stack unless you purchase more than 1.")</f>
        <v>A creature subjected to Lolth's Sting must succeed on a DC 13 Constitution saving throw or have the Poisoned condition for 1 hour. If the creature fails the save by 5 or more, the creature also has the Unconscious condition while Poisoned in this way. The creature wakes up if it takes damage or if another creature takes an action to shake it awake.  Purchasing this gives an adventurer 1 use of this item per guild mission they go on, and does not stack unless you purchase more than 1.</v>
      </c>
      <c r="L26" s="18">
        <f>IFERROR(__xludf.DUMMYFUNCTION("""COMPUTED_VALUE"""),400.0)</f>
        <v>400</v>
      </c>
    </row>
    <row r="27">
      <c r="A27" s="8" t="str">
        <f>IFERROR(__xludf.DUMMYFUNCTION("""COMPUTED_VALUE"""),"Malice")</f>
        <v>Malice</v>
      </c>
      <c r="B27" s="8" t="str">
        <f>IFERROR(__xludf.DUMMYFUNCTION("""COMPUTED_VALUE"""),"DMG'24")</f>
        <v>DMG'24</v>
      </c>
      <c r="C27" s="8" t="str">
        <f>IFERROR(__xludf.DUMMYFUNCTION("""COMPUTED_VALUE"""),"none")</f>
        <v>none</v>
      </c>
      <c r="D27" s="8" t="str">
        <f>IFERROR(__xludf.DUMMYFUNCTION("""COMPUTED_VALUE"""),"Adventuring Gear, Poison (Inhaled)")</f>
        <v>Adventuring Gear, Poison (Inhaled)</v>
      </c>
      <c r="E27" s="8"/>
      <c r="F27" s="8"/>
      <c r="G27" s="8"/>
      <c r="H27" s="8"/>
      <c r="I27" s="8" t="str">
        <f>IFERROR(__xludf.DUMMYFUNCTION("""COMPUTED_VALUE"""),"A creature subjected to Malice must succeed on a DC 15 Constitution saving throw or have the Poisoned condition for 1 hour. The creature also has the Blinded condition while Poisoned in this way.  Purchasing this gives an adventurer 1 use of this item per"&amp;" guild mission they go on, and does not stack unless you purchase more than 1.")</f>
        <v>A creature subjected to Malice must succeed on a DC 15 Constitution saving throw or have the Poisoned condition for 1 hour. The creature also has the Blinded condition while Poisoned in this way.  Purchasing this gives an adventurer 1 use of this item per guild mission they go on, and does not stack unless you purchase more than 1.</v>
      </c>
      <c r="L27" s="19">
        <f>IFERROR(__xludf.DUMMYFUNCTION("""COMPUTED_VALUE"""),400.0)</f>
        <v>400</v>
      </c>
    </row>
    <row r="28">
      <c r="A28" s="10" t="str">
        <f>IFERROR(__xludf.DUMMYFUNCTION("""COMPUTED_VALUE"""),"Serpent Venom")</f>
        <v>Serpent Venom</v>
      </c>
      <c r="B28" s="10" t="str">
        <f>IFERROR(__xludf.DUMMYFUNCTION("""COMPUTED_VALUE"""),"DMG'24")</f>
        <v>DMG'24</v>
      </c>
      <c r="C28" s="10" t="str">
        <f>IFERROR(__xludf.DUMMYFUNCTION("""COMPUTED_VALUE"""),"none")</f>
        <v>none</v>
      </c>
      <c r="D28" s="10" t="str">
        <f>IFERROR(__xludf.DUMMYFUNCTION("""COMPUTED_VALUE"""),"Adventuring Gear, Poison (Injury)")</f>
        <v>Adventuring Gear, Poison (Injury)</v>
      </c>
      <c r="E28" s="10"/>
      <c r="F28" s="10"/>
      <c r="G28" s="10"/>
      <c r="H28" s="10"/>
      <c r="I28" s="10" t="str">
        <f>IFERROR(__xludf.DUMMYFUNCTION("""COMPUTED_VALUE"""),"A creature subjected to Serpent Venom must succeed on a DC 11 Constitution saving throw, taking 10 (3d6) Poison damage on a failed save or half as much damage on a successful one.  Purchasing this gives an adventurer 1 use of this item per guild mission t"&amp;"hey go on, and does not stack unless you purchase more than 1.")</f>
        <v>A creature subjected to Serpent Venom must succeed on a DC 11 Constitution saving throw, taking 10 (3d6) Poison damage on a failed save or half as much damage on a successful one.  Purchasing this gives an adventurer 1 use of this item per guild mission they go on, and does not stack unless you purchase more than 1.</v>
      </c>
      <c r="L28" s="18">
        <f>IFERROR(__xludf.DUMMYFUNCTION("""COMPUTED_VALUE"""),400.0)</f>
        <v>400</v>
      </c>
    </row>
    <row r="29">
      <c r="A29" s="8" t="str">
        <f>IFERROR(__xludf.DUMMYFUNCTION("""COMPUTED_VALUE"""),"Burnt Othur Fumes")</f>
        <v>Burnt Othur Fumes</v>
      </c>
      <c r="B29" s="8" t="str">
        <f>IFERROR(__xludf.DUMMYFUNCTION("""COMPUTED_VALUE"""),"DMG'24")</f>
        <v>DMG'24</v>
      </c>
      <c r="C29" s="8" t="str">
        <f>IFERROR(__xludf.DUMMYFUNCTION("""COMPUTED_VALUE"""),"none")</f>
        <v>none</v>
      </c>
      <c r="D29" s="8" t="str">
        <f>IFERROR(__xludf.DUMMYFUNCTION("""COMPUTED_VALUE"""),"Adventuring Gear, Poison (Inhaled)")</f>
        <v>Adventuring Gear, Poison (Inhaled)</v>
      </c>
      <c r="E29" s="8"/>
      <c r="F29" s="8"/>
      <c r="G29" s="8"/>
      <c r="H29" s="8"/>
      <c r="I29" s="8" t="str">
        <f>IFERROR(__xludf.DUMMYFUNCTION("""COMPUTED_VALUE"""),"A creature subjected to Burnt Othur Fumes must succeed on a DC 13 Constitution saving throw or take 10 (3d6) Poison damage, and it must repeat the save at the start of each of its turns. On each successive failed save, the creature takes 3 (1d6) Poison da"&amp;"mage. After three successful saves, the poison ends.  Purchasing this gives an adventurer 1 use of this item per guild mission they go on, and does not stack unless you purchase more than 1.")</f>
        <v>A creature subjected to Burnt Othur Fumes must succeed on a DC 13 Constitution saving throw or take 10 (3d6) Poison damage, and it must repeat the save at the start of each of its turns. On each successive failed save, the creature takes 3 (1d6) Poison damage. After three successful saves, the poison ends.  Purchasing this gives an adventurer 1 use of this item per guild mission they go on, and does not stack unless you purchase more than 1.</v>
      </c>
      <c r="L29" s="19">
        <f>IFERROR(__xludf.DUMMYFUNCTION("""COMPUTED_VALUE"""),550.0)</f>
        <v>550</v>
      </c>
    </row>
    <row r="30">
      <c r="A30" s="10" t="str">
        <f>IFERROR(__xludf.DUMMYFUNCTION("""COMPUTED_VALUE"""),"Wyvern Poison")</f>
        <v>Wyvern Poison</v>
      </c>
      <c r="B30" s="10" t="str">
        <f>IFERROR(__xludf.DUMMYFUNCTION("""COMPUTED_VALUE"""),"DMG'24")</f>
        <v>DMG'24</v>
      </c>
      <c r="C30" s="10" t="str">
        <f>IFERROR(__xludf.DUMMYFUNCTION("""COMPUTED_VALUE"""),"none")</f>
        <v>none</v>
      </c>
      <c r="D30" s="10" t="str">
        <f>IFERROR(__xludf.DUMMYFUNCTION("""COMPUTED_VALUE"""),"Adventuring Gear, Poison (Injury)")</f>
        <v>Adventuring Gear, Poison (Injury)</v>
      </c>
      <c r="E30" s="10"/>
      <c r="F30" s="10"/>
      <c r="G30" s="10"/>
      <c r="H30" s="10"/>
      <c r="I30" s="10" t="str">
        <f>IFERROR(__xludf.DUMMYFUNCTION("""COMPUTED_VALUE"""),"A creature subjected to Wyvern Poison makes a DC 14 Constitution saving throw, taking 24 (7d6) Poison damage on a failed save or half as much damage on a successful one.  Purchasing this gives an adventurer 1 use of this item per guild mission they go on,"&amp;" and does not stack unless you purchase more than 1.")</f>
        <v>A creature subjected to Wyvern Poison makes a DC 14 Constitution saving throw, taking 24 (7d6) Poison damage on a failed save or half as much damage on a successful one.  Purchasing this gives an adventurer 1 use of this item per guild mission they go on, and does not stack unless you purchase more than 1.</v>
      </c>
      <c r="L30" s="18">
        <f>IFERROR(__xludf.DUMMYFUNCTION("""COMPUTED_VALUE"""),650.0)</f>
        <v>650</v>
      </c>
    </row>
    <row r="31">
      <c r="A31" s="8" t="str">
        <f>IFERROR(__xludf.DUMMYFUNCTION("""COMPUTED_VALUE"""),"Ulcrun")</f>
        <v>Ulcrun</v>
      </c>
      <c r="B31" s="8" t="str">
        <f>IFERROR(__xludf.DUMMYFUNCTION("""COMPUTED_VALUE"""),"FRAiF")</f>
        <v>FRAiF</v>
      </c>
      <c r="C31" s="8" t="str">
        <f>IFERROR(__xludf.DUMMYFUNCTION("""COMPUTED_VALUE"""),"none")</f>
        <v>none</v>
      </c>
      <c r="D31" s="8" t="str">
        <f>IFERROR(__xludf.DUMMYFUNCTION("""COMPUTED_VALUE"""),"Adventuring Gear, Poison (Injury)")</f>
        <v>Adventuring Gear, Poison (Injury)</v>
      </c>
      <c r="E31" s="8"/>
      <c r="F31" s="8"/>
      <c r="G31" s="8"/>
      <c r="H31" s="8"/>
      <c r="I31" s="8" t="str">
        <f>IFERROR(__xludf.DUMMYFUNCTION("""COMPUTED_VALUE"""),"A creature subjected to Ulcrun must succeed on a DC 15 Constitution saving throw or take 21 (6d6) Poison damage and gain 1 Exhaustion level.  Purchasing this gives an adventurer 1 use of this item per guild mission they go on, and does not stack unless yo"&amp;"u purchase more than 1.")</f>
        <v>A creature subjected to Ulcrun must succeed on a DC 15 Constitution saving throw or take 21 (6d6) Poison damage and gain 1 Exhaustion level.  Purchasing this gives an adventurer 1 use of this item per guild mission they go on, and does not stack unless you purchase more than 1.</v>
      </c>
      <c r="L31" s="19">
        <f>IFERROR(__xludf.DUMMYFUNCTION("""COMPUTED_VALUE"""),750.0)</f>
        <v>750</v>
      </c>
    </row>
    <row r="32">
      <c r="A32" s="11" t="str">
        <f>IFERROR(__xludf.DUMMYFUNCTION("""COMPUTED_VALUE"""),"Purple Worm Poison")</f>
        <v>Purple Worm Poison</v>
      </c>
      <c r="B32" s="11" t="str">
        <f>IFERROR(__xludf.DUMMYFUNCTION("""COMPUTED_VALUE"""),"DMG'24")</f>
        <v>DMG'24</v>
      </c>
      <c r="C32" s="11" t="str">
        <f>IFERROR(__xludf.DUMMYFUNCTION("""COMPUTED_VALUE"""),"none")</f>
        <v>none</v>
      </c>
      <c r="D32" s="11" t="str">
        <f>IFERROR(__xludf.DUMMYFUNCTION("""COMPUTED_VALUE"""),"Adventuring Gear, Poison (Injury)")</f>
        <v>Adventuring Gear, Poison (Injury)</v>
      </c>
      <c r="E32" s="11"/>
      <c r="F32" s="11"/>
      <c r="G32" s="11"/>
      <c r="H32" s="11"/>
      <c r="I32" s="11" t="str">
        <f>IFERROR(__xludf.DUMMYFUNCTION("""COMPUTED_VALUE"""),"A creature subjected to Purple Worm Poison makes a DC 21 Constitution saving throw, taking 35 (10d6) Poison damage on a failed save or half as much damage on a successful one.  Purchasing this gives an adventurer 1 use of this item per guild mission they "&amp;"go on, and does not stack unless you purchase more than 1.")</f>
        <v>A creature subjected to Purple Worm Poison makes a DC 21 Constitution saving throw, taking 35 (10d6) Poison damage on a failed save or half as much damage on a successful one.  Purchasing this gives an adventurer 1 use of this item per guild mission they go on, and does not stack unless you purchase more than 1.</v>
      </c>
      <c r="L32" s="20">
        <f>IFERROR(__xludf.DUMMYFUNCTION("""COMPUTED_VALUE"""),1000.0)</f>
        <v>1000</v>
      </c>
    </row>
    <row r="33">
      <c r="A33" s="8" t="str">
        <f>IFERROR(__xludf.DUMMYFUNCTION("""COMPUTED_VALUE"""),"Biza's Breath")</f>
        <v>Biza's Breath</v>
      </c>
      <c r="B33" s="8" t="str">
        <f>IFERROR(__xludf.DUMMYFUNCTION("""COMPUTED_VALUE"""),"JttRC")</f>
        <v>JttRC</v>
      </c>
      <c r="C33" s="8" t="str">
        <f>IFERROR(__xludf.DUMMYFUNCTION("""COMPUTED_VALUE"""),"none")</f>
        <v>none</v>
      </c>
      <c r="D33" s="8" t="str">
        <f>IFERROR(__xludf.DUMMYFUNCTION("""COMPUTED_VALUE"""),"Adventuring Gear, Poison (Inhaled)")</f>
        <v>Adventuring Gear, Poison (Inhaled)</v>
      </c>
      <c r="E33" s="8"/>
      <c r="F33" s="8"/>
      <c r="G33" s="8"/>
      <c r="H33" s="8"/>
      <c r="I33" s="8" t="str">
        <f>IFERROR(__xludf.DUMMYFUNCTION("""COMPUTED_VALUE"""),"A creature subjected to this poison must succeed on a DC 16 Constitution saving throw or become poisoned for 1 minute. The poisoned creature must use its action to make a melee attack against a randomly determined creature within its reach. If there is no"&amp;" other creature within its reach, the poisoned creature does nothing on its turn. The creature can repeat the saving throw at the end of each of its turns, ending the effect on itself on a success.  Purchasing this gives an adventurer 1 use of this item p"&amp;"er guild mission they go on, and does not stack unless you purchase more than 1.")</f>
        <v>A creature subjected to this poison must succeed on a DC 16 Constitution saving throw or become poisoned for 1 minute. The poisoned creature must use its action to make a melee attack against a randomly determined creature within its reach. If there is no other creature within its reach, the poisoned creature does nothing on its turn. The creature can repeat the saving throw at the end of each of its turns, ending the effect on itself on a success.  Purchasing this gives an adventurer 1 use of this item per guild mission they go on, and does not stack unless you purchase more than 1.</v>
      </c>
      <c r="L33" s="19">
        <f>IFERROR(__xludf.DUMMYFUNCTION("""COMPUTED_VALUE"""),1200.0)</f>
        <v>1200</v>
      </c>
    </row>
    <row r="34">
      <c r="A34" s="12"/>
      <c r="B34" s="12"/>
      <c r="C34" s="12"/>
      <c r="D34" s="12"/>
      <c r="E34" s="12"/>
      <c r="F34" s="12"/>
      <c r="G34" s="12"/>
      <c r="H34" s="12"/>
      <c r="I34" s="12"/>
      <c r="L34" s="21"/>
    </row>
    <row r="35">
      <c r="A35" s="6" t="s">
        <v>59</v>
      </c>
      <c r="L35" s="6"/>
    </row>
    <row r="36">
      <c r="A36" s="8" t="str">
        <f>IFERROR(__xludf.DUMMYFUNCTION("FILTER(MasterList_Hidden!A:K,Search(A35,MasterList_Hidden!K:K),MasterList_Hidden!J:J&lt;&gt;""Free to Guild Adventurers with Item Proficiency"",MasterList_Hidden!J:J&lt;&gt;""Free to Guild Adventurers in Good Standing"",MasterList_Hidden!J:J&lt;&gt;""Artificer Replicate Ma"&amp;"gic Item Only"")"),"Dust of Dryness")</f>
        <v>Dust of Dryness</v>
      </c>
      <c r="B36" s="8" t="str">
        <f>IFERROR(__xludf.DUMMYFUNCTION("""COMPUTED_VALUE"""),"DMG'24")</f>
        <v>DMG'24</v>
      </c>
      <c r="C36" s="8" t="str">
        <f>IFERROR(__xludf.DUMMYFUNCTION("""COMPUTED_VALUE"""),"uncommon")</f>
        <v>uncommon</v>
      </c>
      <c r="D36" s="8" t="str">
        <f>IFERROR(__xludf.DUMMYFUNCTION("""COMPUTED_VALUE"""),"Wondrous Item")</f>
        <v>Wondrous Item</v>
      </c>
      <c r="E36" s="8"/>
      <c r="F36" s="8"/>
      <c r="G36" s="8"/>
      <c r="H36" s="8"/>
      <c r="I36" s="8" t="str">
        <f>IFERROR(__xludf.DUMMYFUNCTION("""COMPUTED_VALUE"""),"This small packet contains 1d6 + 4 pinches of dust. As a Utilize action, you can sprinkle a pinch of the dust over water, turning up to a 15-foot Cube of water into one marble-sized pellet, which floats or rests near where the dust was sprinkled. The pell"&amp;"et's weight is negligible. A creature can take a Utilize action to smash the pellet against a hard surface, causing the pellet to shatter and release the water the dust absorbed. Doing so destroys the pellet and ends its magic.As a Utilize action, you can"&amp;" sprinkle a pinch of the dust on an Elemental within 5 feet of yourself that is composed mostly of water (such as a Water Elemental or a Water Weird). Such a creature exposed to a pinch of the dust makes a DC 13 Constitution saving throw, taking 10d6 Necr"&amp;"otic damage on a failed save or half as much damage on a successful one.  Purchasing this gives an adventurer 1 use of this item per guild mission they go on, and does not stack unless you purchase more than 1.")</f>
        <v>This small packet contains 1d6 + 4 pinches of dust. As a Utilize action, you can sprinkle a pinch of the dust over water, turning up to a 15-foot Cube of water into one marble-sized pellet, which floats or rests near where the dust was sprinkled. The pellet's weight is negligible. A creature can take a Utilize action to smash the pellet against a hard surface, causing the pellet to shatter and release the water the dust absorbed. Doing so destroys the pellet and ends its magic.As a Utilize action, you can sprinkle a pinch of the dust on an Elemental within 5 feet of yourself that is composed mostly of water (such as a Water Elemental or a Water Weird). Such a creature exposed to a pinch of the dust makes a DC 13 Constitution saving throw, taking 10d6 Necrotic damage on a failed save or half as much damage on a successful one.  Purchasing this gives an adventurer 1 use of this item per guild mission they go on, and does not stack unless you purchase more than 1.</v>
      </c>
      <c r="L36" s="26">
        <f>IFERROR(__xludf.DUMMYFUNCTION("FILTER(MasterList_Hidden!J:J,Search(A35,MasterList_Hidden!K:K),MasterList_Hidden!J:J&lt;&gt;""Free to Guild Adventurers with Item Proficiency"",MasterList_Hidden!J:J&lt;&gt;""Free to Guild Adventurers in Good Standing"",MasterList_Hidden!J:J&lt;&gt;""Artificer Replicate Ma"&amp;"gic Item Only"")"),350.0)</f>
        <v>350</v>
      </c>
    </row>
    <row r="37">
      <c r="A37" s="10" t="str">
        <f>IFERROR(__xludf.DUMMYFUNCTION("""COMPUTED_VALUE"""),"Dust of Disappearance")</f>
        <v>Dust of Disappearance</v>
      </c>
      <c r="B37" s="10" t="str">
        <f>IFERROR(__xludf.DUMMYFUNCTION("""COMPUTED_VALUE"""),"DMG'24")</f>
        <v>DMG'24</v>
      </c>
      <c r="C37" s="10" t="str">
        <f>IFERROR(__xludf.DUMMYFUNCTION("""COMPUTED_VALUE"""),"uncommon")</f>
        <v>uncommon</v>
      </c>
      <c r="D37" s="10" t="str">
        <f>IFERROR(__xludf.DUMMYFUNCTION("""COMPUTED_VALUE"""),"Wondrous Item")</f>
        <v>Wondrous Item</v>
      </c>
      <c r="E37" s="10"/>
      <c r="F37" s="10"/>
      <c r="G37" s="10"/>
      <c r="H37" s="10"/>
      <c r="I37" s="10" t="str">
        <f>IFERROR(__xludf.DUMMYFUNCTION("""COMPUTED_VALUE"""),"This powder resembles fine sand. There is enough of it for one use. When you take a Utilize action to throw the dust into the air, you and each creature and object within a 10-foot Emanation originating from you have the Invisible condition for 2d4 minute"&amp;"s. The duration is the same for all subjects, and the dust is consumed when its magic takes effect. Immediately after an affected creature makes an attack roll, deals damage, or casts a spell, the Invisible condition ends for that creature.  Purchasing th"&amp;"is gives an adventurer 1 use of this item per guild mission they go on, and does not stack unless you purchase more than 1.")</f>
        <v>This powder resembles fine sand. There is enough of it for one use. When you take a Utilize action to throw the dust into the air, you and each creature and object within a 10-foot Emanation originating from you have the Invisible condition for 2d4 minutes. The duration is the same for all subjects, and the dust is consumed when its magic takes effect. Immediately after an affected creature makes an attack roll, deals damage, or casts a spell, the Invisible condition ends for that creature.  Purchasing this gives an adventurer 1 use of this item per guild mission they go on, and does not stack unless you purchase more than 1.</v>
      </c>
      <c r="L37" s="18">
        <f>IFERROR(__xludf.DUMMYFUNCTION("""COMPUTED_VALUE"""),450.0)</f>
        <v>450</v>
      </c>
    </row>
    <row r="38">
      <c r="A38" s="8" t="str">
        <f>IFERROR(__xludf.DUMMYFUNCTION("""COMPUTED_VALUE"""),"Dust of Corrosion")</f>
        <v>Dust of Corrosion</v>
      </c>
      <c r="B38" s="8" t="str">
        <f>IFERROR(__xludf.DUMMYFUNCTION("""COMPUTED_VALUE"""),"WBtW")</f>
        <v>WBtW</v>
      </c>
      <c r="C38" s="8" t="str">
        <f>IFERROR(__xludf.DUMMYFUNCTION("""COMPUTED_VALUE"""),"uncommon")</f>
        <v>uncommon</v>
      </c>
      <c r="D38" s="8" t="str">
        <f>IFERROR(__xludf.DUMMYFUNCTION("""COMPUTED_VALUE"""),"Wondrous Item")</f>
        <v>Wondrous Item</v>
      </c>
      <c r="E38" s="8"/>
      <c r="F38" s="8"/>
      <c r="G38" s="8"/>
      <c r="H38" s="8"/>
      <c r="I38" s="8" t="str">
        <f>IFERROR(__xludf.DUMMYFUNCTION("""COMPUTED_VALUE"""),"As an action, you can throw this dust into the air, filling a 10-foot cube that extends out from you. Surfaces and objects made of nonmagical ferrous metal in the area instantly corrode and turn to dust, becoming useless and unsalvageable. Any creature in"&amp;" the area that is made wholly or partly out of ferrous metal must make a DC 13 Constitution saving throw, taking 4d8 necrotic damage on a failed save, or half as much damage on a successful one.Found in a small packet, this dust is made from finely ground"&amp;" rust monster antennae. There is enough dust in each packet for one use.  Purchasing this gives an adventurer 1 use of this item per guild mission they go on, and does not stack unless you purchase more than 1.")</f>
        <v>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one.Found in a small packet, this dust is made from finely ground rust monster antennae. There is enough dust in each packet for one use.  Purchasing this gives an adventurer 1 use of this item per guild mission they go on, and does not stack unless you purchase more than 1.</v>
      </c>
      <c r="L38" s="19">
        <f>IFERROR(__xludf.DUMMYFUNCTION("""COMPUTED_VALUE"""),550.0)</f>
        <v>550</v>
      </c>
    </row>
    <row r="39">
      <c r="A39" s="12"/>
      <c r="B39" s="12"/>
      <c r="C39" s="12"/>
      <c r="D39" s="12"/>
      <c r="E39" s="12"/>
      <c r="F39" s="12"/>
      <c r="G39" s="12"/>
      <c r="H39" s="12"/>
      <c r="I39" s="12"/>
      <c r="L39" s="21"/>
    </row>
    <row r="40">
      <c r="A40" s="6" t="s">
        <v>21</v>
      </c>
      <c r="L40" s="22"/>
    </row>
    <row r="41">
      <c r="A41" s="8" t="str">
        <f>IFERROR(__xludf.DUMMYFUNCTION("FILTER(MasterList_Hidden!A:K,MasterList_Hidden!M:M&lt;&gt;""Single Use"",Search(A40,MasterList_Hidden!K:K),MasterList_Hidden!J:J&lt;&gt;""Free to Guild Adventurers with Item Proficiency"",MasterList_Hidden!J:J&lt;&gt;""Free to Guild Adventurers in Good Standing"",MasterLis"&amp;"t_Hidden!J:J&lt;&gt;""Artificer Replicate Magic Item Only"")"),"Alchemist's Fire")</f>
        <v>Alchemist's Fire</v>
      </c>
      <c r="B41" s="8" t="str">
        <f>IFERROR(__xludf.DUMMYFUNCTION("""COMPUTED_VALUE"""),"PHB'24")</f>
        <v>PHB'24</v>
      </c>
      <c r="C41" s="8" t="str">
        <f>IFERROR(__xludf.DUMMYFUNCTION("""COMPUTED_VALUE"""),"none")</f>
        <v>none</v>
      </c>
      <c r="D41" s="8" t="str">
        <f>IFERROR(__xludf.DUMMYFUNCTION("""COMPUTED_VALUE"""),"Adventuring Gear")</f>
        <v>Adventuring Gear</v>
      </c>
      <c r="E41" s="8"/>
      <c r="F41" s="8"/>
      <c r="G41" s="8"/>
      <c r="H41" s="8"/>
      <c r="I41" s="8" t="str">
        <f>IFERROR(__xludf.DUMMYFUNCTION("""COMPUTED_VALUE"""),"When you take the Attack action, you can replace one of your attacks with throwing a flask of Alchemist's Fire. Target one creature or object you can see within 20 feet of yourself. The target must succeed on a Dexterity saving throw (DC 8 plus your Dexte"&amp;"rity modifier and Proficiency Bonus) or take 1d4 Fire damage and start burning.  Purchasing this gives an adventurer 1 use of this item per guild mission they go on, and does not stack unless you purchase more than 1.")</f>
        <v>When you take the Attack action, you can replace one of your attacks with throwing a flask of Alchemist's Fire. Target one creature or object you can see within 20 feet of yourself. The target must succeed on a Dexterity saving throw (DC 8 plus your Dexterity modifier and Proficiency Bonus) or take 1d4 Fire damage and start burning.  Purchasing this gives an adventurer 1 use of this item per guild mission they go on, and does not stack unless you purchase more than 1.</v>
      </c>
      <c r="L41" s="26">
        <f>IFERROR(__xludf.DUMMYFUNCTION("FILTER(MasterList_Hidden!J:J,MasterList_Hidden!M:M&lt;&gt;""Single Use"",Search(A40,MasterList_Hidden!K:K),MasterList_Hidden!J:J&lt;&gt;""Free to Guild Adventurers with Item Proficiency"",MasterList_Hidden!J:J&lt;&gt;""Free to Guild Adventurers in Good Standing"",MasterLis"&amp;"t_Hidden!J:J&lt;&gt;""Artificer Replicate Magic Item Only"")"),100.0)</f>
        <v>100</v>
      </c>
    </row>
    <row r="42">
      <c r="A42" s="29" t="str">
        <f>IFERROR(__xludf.DUMMYFUNCTION("""COMPUTED_VALUE"""),"Antitoxin")</f>
        <v>Antitoxin</v>
      </c>
      <c r="B42" s="29" t="str">
        <f>IFERROR(__xludf.DUMMYFUNCTION("""COMPUTED_VALUE"""),"PHB'24")</f>
        <v>PHB'24</v>
      </c>
      <c r="C42" s="29" t="str">
        <f>IFERROR(__xludf.DUMMYFUNCTION("""COMPUTED_VALUE"""),"none")</f>
        <v>none</v>
      </c>
      <c r="D42" s="29" t="str">
        <f>IFERROR(__xludf.DUMMYFUNCTION("""COMPUTED_VALUE"""),"Adventuring Gear")</f>
        <v>Adventuring Gear</v>
      </c>
      <c r="E42" s="30"/>
      <c r="F42" s="30"/>
      <c r="G42" s="30"/>
      <c r="H42" s="30"/>
      <c r="I42" s="29" t="str">
        <f>IFERROR(__xludf.DUMMYFUNCTION("""COMPUTED_VALUE"""),"As a Bonus Action, you can drink a vial of Antitoxin to gain Advantage on saving throws to avoid or end the Poisoned condition for 1 hour.  Purchasing this gives an adventurer 1 use of this item per guild mission they go on, and does not stack unless you "&amp;"purchase more than 1.")</f>
        <v>As a Bonus Action, you can drink a vial of Antitoxin to gain Advantage on saving throws to avoid or end the Poisoned condition for 1 hour.  Purchasing this gives an adventurer 1 use of this item per guild mission they go on, and does not stack unless you purchase more than 1.</v>
      </c>
      <c r="L42" s="18">
        <f>IFERROR(__xludf.DUMMYFUNCTION("""COMPUTED_VALUE"""),100.0)</f>
        <v>100</v>
      </c>
    </row>
    <row r="43">
      <c r="A43" s="31" t="str">
        <f>IFERROR(__xludf.DUMMYFUNCTION("""COMPUTED_VALUE"""),"Acid")</f>
        <v>Acid</v>
      </c>
      <c r="B43" s="31" t="str">
        <f>IFERROR(__xludf.DUMMYFUNCTION("""COMPUTED_VALUE"""),"PHB'24")</f>
        <v>PHB'24</v>
      </c>
      <c r="C43" s="31" t="str">
        <f>IFERROR(__xludf.DUMMYFUNCTION("""COMPUTED_VALUE"""),"none")</f>
        <v>none</v>
      </c>
      <c r="D43" s="31" t="str">
        <f>IFERROR(__xludf.DUMMYFUNCTION("""COMPUTED_VALUE"""),"Adventuring Gear")</f>
        <v>Adventuring Gear</v>
      </c>
      <c r="E43" s="32"/>
      <c r="F43" s="32"/>
      <c r="G43" s="32"/>
      <c r="H43" s="32"/>
      <c r="I43" s="31" t="str">
        <f>IFERROR(__xludf.DUMMYFUNCTION("""COMPUTED_VALUE"""),"When you take the Attack action, you can replace one of your attacks with throwing a vial of Acid. Target one creature or object you can see within 20 feet of yourself. The target must succeed on a Dexterity saving throw (DC 8 plus your Dexterity modifier"&amp;" and Proficiency Bonus) or take 2d6 Acid damage.  Purchasing this gives an adventurer 1 use of this item per guild mission they go on, and does not stack unless you purchase more than 1.")</f>
        <v>When you take the Attack action, you can replace one of your attacks with throwing a vial of Acid. Target one creature or object you can see within 20 feet of yourself. The target must succeed on a Dexterity saving throw (DC 8 plus your Dexterity modifier and Proficiency Bonus) or take 2d6 Acid damage.  Purchasing this gives an adventurer 1 use of this item per guild mission they go on, and does not stack unless you purchase more than 1.</v>
      </c>
      <c r="L43" s="19">
        <f>IFERROR(__xludf.DUMMYFUNCTION("""COMPUTED_VALUE"""),150.0)</f>
        <v>150</v>
      </c>
    </row>
    <row r="44">
      <c r="A44" s="29" t="str">
        <f>IFERROR(__xludf.DUMMYFUNCTION("""COMPUTED_VALUE"""),"Backpack Parachute")</f>
        <v>Backpack Parachute</v>
      </c>
      <c r="B44" s="29" t="str">
        <f>IFERROR(__xludf.DUMMYFUNCTION("""COMPUTED_VALUE"""),"WDH")</f>
        <v>WDH</v>
      </c>
      <c r="C44" s="29" t="str">
        <f>IFERROR(__xludf.DUMMYFUNCTION("""COMPUTED_VALUE"""),"none")</f>
        <v>none</v>
      </c>
      <c r="D44" s="29" t="str">
        <f>IFERROR(__xludf.DUMMYFUNCTION("""COMPUTED_VALUE"""),"Other")</f>
        <v>Other</v>
      </c>
      <c r="E44" s="30"/>
      <c r="F44" s="30"/>
      <c r="G44" s="30"/>
      <c r="H44" s="30"/>
      <c r="I44" s="29" t="str">
        <f>IFERROR(__xludf.DUMMYFUNCTION("""COMPUTED_VALUE"""),"A humanoid wearing this piece of gear can deploy the parachute as a reaction while falling, or as an action otherwise. The parachute requires at least a 10-foot cube of unoccupied space in which to deploy, and it doesn't open fast enough to slow a fall of"&amp;" less than 60 feet. If it has sufficient time and space to deploy properly, the parachute allows its wearer to land without taking falling damage. Once it has been used, the parachute takes 10 minutes to repack.")</f>
        <v>A humanoid wearing this piece of gear can deploy the parachute as a reaction while falling, or as an action otherwise. The parachute requires at least a 10-foot cube of unoccupied space in which to deploy, and it doesn't open fast enough to slow a fall of less than 60 feet. If it has sufficient time and space to deploy properly, the parachute allows its wearer to land without taking falling damage. Once it has been used, the parachute takes 10 minutes to repack.</v>
      </c>
      <c r="L44" s="18">
        <f>IFERROR(__xludf.DUMMYFUNCTION("""COMPUTED_VALUE"""),250.0)</f>
        <v>250</v>
      </c>
    </row>
    <row r="45">
      <c r="A45" s="31" t="str">
        <f>IFERROR(__xludf.DUMMYFUNCTION("""COMPUTED_VALUE"""),"Tangler Grenade")</f>
        <v>Tangler Grenade</v>
      </c>
      <c r="B45" s="31" t="str">
        <f>IFERROR(__xludf.DUMMYFUNCTION("""COMPUTED_VALUE"""),"WDMM")</f>
        <v>WDMM</v>
      </c>
      <c r="C45" s="31" t="str">
        <f>IFERROR(__xludf.DUMMYFUNCTION("""COMPUTED_VALUE"""),"none")</f>
        <v>none</v>
      </c>
      <c r="D45" s="31" t="str">
        <f>IFERROR(__xludf.DUMMYFUNCTION("""COMPUTED_VALUE"""),"Other")</f>
        <v>Other</v>
      </c>
      <c r="E45" s="32"/>
      <c r="F45" s="32"/>
      <c r="G45" s="32"/>
      <c r="H45" s="32"/>
      <c r="I45" s="31" t="str">
        <f>IFERROR(__xludf.DUMMYFUNCTION("""COMPUTED_VALUE"""),"A tangler grenade is an alchemical, nonmagical item with an ovoid resin shell that shatters on impact. An as action, a creature can throw a tangler grenade at a point up to 60 feet away. Each creature within 10 feet of a shattered tangler grenade must suc"&amp;"ceed on a DC 15 Dexterity saving throw or be restrained by sticky white webs. As an action, a creature can try to free itself or another creature within its reach from the webs, doing so with a successful DC 20 Strength (Athletics) check. A gallon of alco"&amp;"hol dissolves the webs produced by a single tangler grenade. Otherwise, the webs dissolve on their own after 1 hour, freeing any creatures restrained by them.  Purchasing this gives an adventurer 1 use of this item per guild mission they go on, and does n"&amp;"ot stack unless you purchase more than 1.")</f>
        <v>A tangler grenade is an alchemical, nonmagical item with an ovoid resin shell that shatters on impact. An as action, a creature can throw a tangler grenade at a point up to 60 feet away. Each creature within 10 feet of a shattered tangler grenade must succeed on a DC 15 Dexterity saving throw or be restrained by sticky white webs. As an action, a creature can try to free itself or another creature within its reach from the webs, doing so with a successful DC 20 Strength (Athletics) check. A gallon of alcohol dissolves the webs produced by a single tangler grenade. Otherwise, the webs dissolve on their own after 1 hour, freeing any creatures restrained by them.  Purchasing this gives an adventurer 1 use of this item per guild mission they go on, and does not stack unless you purchase more than 1.</v>
      </c>
      <c r="L45" s="19">
        <f>IFERROR(__xludf.DUMMYFUNCTION("""COMPUTED_VALUE"""),850.0)</f>
        <v>850</v>
      </c>
    </row>
    <row r="46">
      <c r="A46" s="33"/>
      <c r="B46" s="33"/>
      <c r="C46" s="33"/>
      <c r="D46" s="33"/>
      <c r="E46" s="34"/>
      <c r="F46" s="34"/>
      <c r="G46" s="34"/>
      <c r="H46" s="34"/>
      <c r="I46" s="33"/>
      <c r="L46" s="21"/>
    </row>
  </sheetData>
  <mergeCells count="47">
    <mergeCell ref="I1:K1"/>
    <mergeCell ref="A2:B2"/>
    <mergeCell ref="C2:E2"/>
    <mergeCell ref="F2:H2"/>
    <mergeCell ref="A3:L3"/>
    <mergeCell ref="A4:K4"/>
    <mergeCell ref="I5:K5"/>
    <mergeCell ref="I6:K6"/>
    <mergeCell ref="A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A24:K24"/>
    <mergeCell ref="I25:K25"/>
    <mergeCell ref="I26:K26"/>
    <mergeCell ref="I27:K27"/>
    <mergeCell ref="I28:K28"/>
    <mergeCell ref="I29:K29"/>
    <mergeCell ref="I30:K30"/>
    <mergeCell ref="I31:K31"/>
    <mergeCell ref="I32:K32"/>
    <mergeCell ref="I33:K33"/>
    <mergeCell ref="A35:K35"/>
    <mergeCell ref="A40:K40"/>
    <mergeCell ref="I43:K43"/>
    <mergeCell ref="I44:K44"/>
    <mergeCell ref="I45:K45"/>
    <mergeCell ref="I46:K46"/>
    <mergeCell ref="I34:K34"/>
    <mergeCell ref="I36:K36"/>
    <mergeCell ref="I37:K37"/>
    <mergeCell ref="I38:K38"/>
    <mergeCell ref="I39:K39"/>
    <mergeCell ref="I41:K41"/>
    <mergeCell ref="I42:K42"/>
  </mergeCells>
  <hyperlinks>
    <hyperlink display="Single Use" location="SingleUse_Consumables" ref="A2"/>
    <hyperlink display="Potions" location="Potions_Consumables" ref="C2"/>
    <hyperlink display="Poisons" location="Poisons_Consumables" ref="I2"/>
    <hyperlink display="Consumable Misc" location="Misc_Consumables" ref="J2"/>
    <hyperlink display="Adventuring Gear" location="AdventuringGear_Consumables" ref="K2"/>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9" max="9" width="114.88"/>
    <col customWidth="1" min="10" max="10" width="17.38"/>
  </cols>
  <sheetData>
    <row r="1" ht="42.0" customHeight="1">
      <c r="A1" s="1" t="s">
        <v>0</v>
      </c>
      <c r="B1" s="1" t="s">
        <v>1</v>
      </c>
      <c r="C1" s="1" t="s">
        <v>2</v>
      </c>
      <c r="D1" s="1" t="s">
        <v>3</v>
      </c>
      <c r="E1" s="1" t="s">
        <v>4</v>
      </c>
      <c r="F1" s="1" t="s">
        <v>5</v>
      </c>
      <c r="G1" s="1" t="s">
        <v>6</v>
      </c>
      <c r="H1" s="1" t="s">
        <v>7</v>
      </c>
      <c r="I1" s="1" t="s">
        <v>8</v>
      </c>
      <c r="J1" s="1" t="s">
        <v>9</v>
      </c>
    </row>
    <row r="2">
      <c r="A2" s="35" t="s">
        <v>63</v>
      </c>
    </row>
    <row r="3">
      <c r="A3" s="4" t="s">
        <v>64</v>
      </c>
      <c r="C3" s="3" t="s">
        <v>65</v>
      </c>
      <c r="F3" s="4" t="s">
        <v>66</v>
      </c>
      <c r="I3" s="4" t="s">
        <v>67</v>
      </c>
      <c r="J3" s="3"/>
    </row>
    <row r="4">
      <c r="A4" s="4" t="s">
        <v>68</v>
      </c>
      <c r="C4" s="3" t="s">
        <v>69</v>
      </c>
      <c r="F4" s="4" t="s">
        <v>70</v>
      </c>
      <c r="I4" s="4" t="s">
        <v>71</v>
      </c>
      <c r="J4" s="5"/>
    </row>
    <row r="5">
      <c r="A5" s="4" t="s">
        <v>72</v>
      </c>
      <c r="C5" s="3" t="s">
        <v>73</v>
      </c>
      <c r="F5" s="4" t="s">
        <v>74</v>
      </c>
      <c r="I5" s="4" t="s">
        <v>75</v>
      </c>
      <c r="J5" s="5"/>
    </row>
    <row r="6">
      <c r="A6" s="4" t="s">
        <v>76</v>
      </c>
      <c r="C6" s="4" t="s">
        <v>77</v>
      </c>
      <c r="J6" s="5"/>
    </row>
    <row r="7">
      <c r="A7" s="6" t="s">
        <v>78</v>
      </c>
      <c r="J7" s="7"/>
    </row>
    <row r="8">
      <c r="A8" s="8" t="str">
        <f>IFERROR(__xludf.DUMMYFUNCTION("FILTER(MasterList_Hidden!A:J,Search(Left(A7,find("" "",A7)-1),MasterList_Hidden!K:K))"),"All-Purpose Tool")</f>
        <v>All-Purpose Tool</v>
      </c>
      <c r="B8" s="8" t="str">
        <f>IFERROR(__xludf.DUMMYFUNCTION("""COMPUTED_VALUE"""),"TCE")</f>
        <v>TCE</v>
      </c>
      <c r="C8" s="8" t="str">
        <f>IFERROR(__xludf.DUMMYFUNCTION("""COMPUTED_VALUE"""),"uncommon")</f>
        <v>uncommon</v>
      </c>
      <c r="D8" s="8" t="str">
        <f>IFERROR(__xludf.DUMMYFUNCTION("""COMPUTED_VALUE"""),"Wondrous Item, Spellcasting Focus")</f>
        <v>Wondrous Item, Spellcasting Focus</v>
      </c>
      <c r="E8" s="8" t="str">
        <f>IFERROR(__xludf.DUMMYFUNCTION("""COMPUTED_VALUE"""),"requires attunement by an artificer")</f>
        <v>requires attunement by an artificer</v>
      </c>
      <c r="F8" s="8"/>
      <c r="G8" s="8"/>
      <c r="H8" s="8"/>
      <c r="I8" s="8" t="str">
        <f>IFERROR(__xludf.DUMMYFUNCTION("""COMPUTED_VALUE"""),"This simple screwdriver can transform into a variety of tools; as an action, you can touch the item and transform it into any type of artisan's tool of your choice (see the ""Equipment"" chapter in the Player's Handbook for a list of artisan's tools). Wha"&amp;"tever form the tool takes, you are proficient with it. As an action, you can focus on the tool to channel your creative forces. Choose a cantrip that you don't know from any class list. For 8 hours, you can cast that cantrip, and it counts as an artificer"&amp;" cantrip for you. Once this property is used, it can't be used again until the next dawn.")</f>
        <v>This simple screwdriver can transform into a variety of tools; as an action, you can touch the item and transform it into any type of artisan's tool of your choice (see the "Equipment" chapter in the Player's Handbook for a list of artisan's tools). Whatever form the tool takes, you are proficient with it.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v>
      </c>
      <c r="J8" s="8">
        <f>IFERROR(__xludf.DUMMYFUNCTION("""COMPUTED_VALUE"""),400.0)</f>
        <v>400</v>
      </c>
    </row>
    <row r="9">
      <c r="A9" s="10" t="str">
        <f>IFERROR(__xludf.DUMMYFUNCTION("""COMPUTED_VALUE"""),"Boots of the Winding Path")</f>
        <v>Boots of the Winding Path</v>
      </c>
      <c r="B9" s="10" t="str">
        <f>IFERROR(__xludf.DUMMYFUNCTION("""COMPUTED_VALUE"""),"EFA")</f>
        <v>EFA</v>
      </c>
      <c r="C9" s="10" t="str">
        <f>IFERROR(__xludf.DUMMYFUNCTION("""COMPUTED_VALUE"""),"uncommon")</f>
        <v>uncommon</v>
      </c>
      <c r="D9" s="10" t="str">
        <f>IFERROR(__xludf.DUMMYFUNCTION("""COMPUTED_VALUE"""),"Wondrous Item")</f>
        <v>Wondrous Item</v>
      </c>
      <c r="E9" s="10" t="str">
        <f>IFERROR(__xludf.DUMMYFUNCTION("""COMPUTED_VALUE"""),"requires attunement")</f>
        <v>requires attunement</v>
      </c>
      <c r="F9" s="10"/>
      <c r="G9" s="10"/>
      <c r="H9" s="10" t="str">
        <f>IFERROR(__xludf.DUMMYFUNCTION("""COMPUTED_VALUE"""),"Artificer Replicate Magic Item Only")</f>
        <v>Artificer Replicate Magic Item Only</v>
      </c>
      <c r="I9" s="10" t="str">
        <f>IFERROR(__xludf.DUMMYFUNCTION("""COMPUTED_VALUE"""),"While wearing these boots, you can take a Bonus Action to teleport up to 15 feet to an unoccupied space you can see. You must have occupied that space at some point during the current turn.")</f>
        <v>While wearing these boots, you can take a Bonus Action to teleport up to 15 feet to an unoccupied space you can see. You must have occupied that space at some point during the current turn.</v>
      </c>
      <c r="J9" s="10" t="str">
        <f>IFERROR(__xludf.DUMMYFUNCTION("""COMPUTED_VALUE"""),"Artificer Replicate Magic Item Only")</f>
        <v>Artificer Replicate Magic Item Only</v>
      </c>
    </row>
    <row r="10">
      <c r="A10" s="8" t="str">
        <f>IFERROR(__xludf.DUMMYFUNCTION("""COMPUTED_VALUE"""),"Helm of Awareness")</f>
        <v>Helm of Awareness</v>
      </c>
      <c r="B10" s="8" t="str">
        <f>IFERROR(__xludf.DUMMYFUNCTION("""COMPUTED_VALUE"""),"EFA")</f>
        <v>EFA</v>
      </c>
      <c r="C10" s="8" t="str">
        <f>IFERROR(__xludf.DUMMYFUNCTION("""COMPUTED_VALUE"""),"uncommon")</f>
        <v>uncommon</v>
      </c>
      <c r="D10" s="8" t="str">
        <f>IFERROR(__xludf.DUMMYFUNCTION("""COMPUTED_VALUE"""),"Wondrous Item")</f>
        <v>Wondrous Item</v>
      </c>
      <c r="E10" s="8"/>
      <c r="F10" s="8"/>
      <c r="G10" s="8"/>
      <c r="H10" s="8" t="str">
        <f>IFERROR(__xludf.DUMMYFUNCTION("""COMPUTED_VALUE"""),"Artificer Replicate Magic Item Only")</f>
        <v>Artificer Replicate Magic Item Only</v>
      </c>
      <c r="I10" s="8" t="str">
        <f>IFERROR(__xludf.DUMMYFUNCTION("""COMPUTED_VALUE"""),"While wearing this helmet, you have Advantage on Initiative rolls.")</f>
        <v>While wearing this helmet, you have Advantage on Initiative rolls.</v>
      </c>
      <c r="J10" s="8" t="str">
        <f>IFERROR(__xludf.DUMMYFUNCTION("""COMPUTED_VALUE"""),"Artificer Replicate Magic Item Only")</f>
        <v>Artificer Replicate Magic Item Only</v>
      </c>
    </row>
    <row r="11">
      <c r="A11" s="10" t="str">
        <f>IFERROR(__xludf.DUMMYFUNCTION("""COMPUTED_VALUE"""),"Mind Sharpener")</f>
        <v>Mind Sharpener</v>
      </c>
      <c r="B11" s="10" t="str">
        <f>IFERROR(__xludf.DUMMYFUNCTION("""COMPUTED_VALUE"""),"EFA")</f>
        <v>EFA</v>
      </c>
      <c r="C11" s="10" t="str">
        <f>IFERROR(__xludf.DUMMYFUNCTION("""COMPUTED_VALUE"""),"uncommon")</f>
        <v>uncommon</v>
      </c>
      <c r="D11" s="10" t="str">
        <f>IFERROR(__xludf.DUMMYFUNCTION("""COMPUTED_VALUE"""),"Ring")</f>
        <v>Ring</v>
      </c>
      <c r="E11" s="10" t="str">
        <f>IFERROR(__xludf.DUMMYFUNCTION("""COMPUTED_VALUE"""),"requires attunement")</f>
        <v>requires attunement</v>
      </c>
      <c r="F11" s="10"/>
      <c r="G11" s="10"/>
      <c r="H11" s="10" t="str">
        <f>IFERROR(__xludf.DUMMYFUNCTION("""COMPUTED_VALUE"""),"Artificer Replicate Magic Item Only")</f>
        <v>Artificer Replicate Magic Item Only</v>
      </c>
      <c r="I11" s="10" t="str">
        <f>IFERROR(__xludf.DUMMYFUNCTION("""COMPUTED_VALUE"""),"The item has 4 charges. When you fail a Constitution saving throw to maintain Concentration, you can take a Reaction and expend 1 of the item's charges to succeed instead. The item regains 1d4 expended charges daily at dawn.")</f>
        <v>The item has 4 charges. When you fail a Constitution saving throw to maintain Concentration, you can take a Reaction and expend 1 of the item's charges to succeed instead. The item regains 1d4 expended charges daily at dawn.</v>
      </c>
      <c r="J11" s="10" t="str">
        <f>IFERROR(__xludf.DUMMYFUNCTION("""COMPUTED_VALUE"""),"Artificer Replicate Magic Item Only")</f>
        <v>Artificer Replicate Magic Item Only</v>
      </c>
    </row>
    <row r="12">
      <c r="A12" s="8" t="str">
        <f>IFERROR(__xludf.DUMMYFUNCTION("""COMPUTED_VALUE"""),"Repeating Shot")</f>
        <v>Repeating Shot</v>
      </c>
      <c r="B12" s="8" t="str">
        <f>IFERROR(__xludf.DUMMYFUNCTION("""COMPUTED_VALUE"""),"EFA")</f>
        <v>EFA</v>
      </c>
      <c r="C12" s="8" t="str">
        <f>IFERROR(__xludf.DUMMYFUNCTION("""COMPUTED_VALUE"""),"uncommon")</f>
        <v>uncommon</v>
      </c>
      <c r="D12" s="8" t="str">
        <f>IFERROR(__xludf.DUMMYFUNCTION("""COMPUTED_VALUE"""),"Generic Variant")</f>
        <v>Generic Variant</v>
      </c>
      <c r="E12" s="8" t="str">
        <f>IFERROR(__xludf.DUMMYFUNCTION("""COMPUTED_VALUE"""),"requires attunement")</f>
        <v>requires attunement</v>
      </c>
      <c r="F12" s="8"/>
      <c r="G12" s="8"/>
      <c r="H12" s="8" t="str">
        <f>IFERROR(__xludf.DUMMYFUNCTION("""COMPUTED_VALUE"""),"Artificer Replicate Magic Item Only")</f>
        <v>Artificer Replicate Magic Item Only</v>
      </c>
      <c r="I12" s="8" t="str">
        <f>IFERROR(__xludf.DUMMYFUNCTION("""COMPUTED_VALUE"""),"This magic weapon grants a +1 bonus to attack and damage rolls made with it when it's used to make a ranged attack, and it ignores the Loading property if it has that property.If the weapon lacks ammunition, it produces its own, automatically creating one"&amp;" piece of magic ammunition when the wielder makes a ranged attack roll with it. The ammunition created by the weapon vanishes the instant after it hits or misses a target. 
Applied to non-magical Base Equipment.")</f>
        <v>This magic weapon grants a +1 bonus to attack and damage rolls made with it when it's used to make a ranged attack, and it ignores the Loading property if it has that property.If the weapon lacks ammunition, it produces its own, automatically creating one piece of magic ammunition when the wielder makes a ranged attack roll with it. The ammunition created by the weapon vanishes the instant after it hits or misses a target. 
Applied to non-magical Base Equipment.</v>
      </c>
      <c r="J12" s="8" t="str">
        <f>IFERROR(__xludf.DUMMYFUNCTION("""COMPUTED_VALUE"""),"Artificer Replicate Magic Item Only")</f>
        <v>Artificer Replicate Magic Item Only</v>
      </c>
    </row>
    <row r="13">
      <c r="A13" s="10" t="str">
        <f>IFERROR(__xludf.DUMMYFUNCTION("""COMPUTED_VALUE"""),"Repulsion Shield")</f>
        <v>Repulsion Shield</v>
      </c>
      <c r="B13" s="10" t="str">
        <f>IFERROR(__xludf.DUMMYFUNCTION("""COMPUTED_VALUE"""),"EFA")</f>
        <v>EFA</v>
      </c>
      <c r="C13" s="10" t="str">
        <f>IFERROR(__xludf.DUMMYFUNCTION("""COMPUTED_VALUE"""),"uncommon")</f>
        <v>uncommon</v>
      </c>
      <c r="D13" s="10" t="str">
        <f>IFERROR(__xludf.DUMMYFUNCTION("""COMPUTED_VALUE"""),"Shield")</f>
        <v>Shield</v>
      </c>
      <c r="E13" s="10"/>
      <c r="F13" s="10" t="str">
        <f>IFERROR(__xludf.DUMMYFUNCTION("""COMPUTED_VALUE"""),"AC +2")</f>
        <v>AC +2</v>
      </c>
      <c r="G13" s="10"/>
      <c r="H13" s="10" t="str">
        <f>IFERROR(__xludf.DUMMYFUNCTION("""COMPUTED_VALUE"""),"Artificer Replicate Magic Item Only")</f>
        <v>Artificer Replicate Magic Item Only</v>
      </c>
      <c r="I13" s="10" t="str">
        <f>IFERROR(__xludf.DUMMYFUNCTION("""COMPUTED_VALUE"""),"You gain a +1 bonus to Armor Class while wielding this shield.The shield has 4 charges. While holding it, when a Large or smaller creature within 5 feet of you hits you with a melee attack roll, you can take a Reaction to expend 1 of the shield's charges "&amp;"and push the attacker up to 15 feet straight away. The shield regains 1d4 expended charges daily at dawn.")</f>
        <v>You gain a +1 bonus to Armor Class while wielding this shield.The shield has 4 charges. While holding it, when a Large or smaller creature within 5 feet of you hits you with a melee attack roll, you can take a Reaction to expend 1 of the shield's charges and push the attacker up to 15 feet straight away. The shield regains 1d4 expended charges daily at dawn.</v>
      </c>
      <c r="J13" s="10" t="str">
        <f>IFERROR(__xludf.DUMMYFUNCTION("""COMPUTED_VALUE"""),"Artificer Replicate Magic Item Only")</f>
        <v>Artificer Replicate Magic Item Only</v>
      </c>
    </row>
    <row r="14">
      <c r="A14" s="8" t="str">
        <f>IFERROR(__xludf.DUMMYFUNCTION("""COMPUTED_VALUE"""),"Returning Weapon")</f>
        <v>Returning Weapon</v>
      </c>
      <c r="B14" s="8" t="str">
        <f>IFERROR(__xludf.DUMMYFUNCTION("""COMPUTED_VALUE"""),"EFA")</f>
        <v>EFA</v>
      </c>
      <c r="C14" s="8" t="str">
        <f>IFERROR(__xludf.DUMMYFUNCTION("""COMPUTED_VALUE"""),"uncommon")</f>
        <v>uncommon</v>
      </c>
      <c r="D14" s="8" t="str">
        <f>IFERROR(__xludf.DUMMYFUNCTION("""COMPUTED_VALUE"""),"Generic Variant")</f>
        <v>Generic Variant</v>
      </c>
      <c r="E14" s="8"/>
      <c r="F14" s="8"/>
      <c r="G14" s="8"/>
      <c r="H14" s="8" t="str">
        <f>IFERROR(__xludf.DUMMYFUNCTION("""COMPUTED_VALUE"""),"Artificer Replicate Magic Item Only")</f>
        <v>Artificer Replicate Magic Item Only</v>
      </c>
      <c r="I14" s="8" t="str">
        <f>IFERROR(__xludf.DUMMYFUNCTION("""COMPUTED_VALUE"""),"This magic weapon grants a +1 bonus to attack and damage rolls made with it, and it returns to your hand immediately after you use it to make a ranged attack roll. 
Applied to non-magical Base Equipment.")</f>
        <v>This magic weapon grants a +1 bonus to attack and damage rolls made with it, and it returns to your hand immediately after you use it to make a ranged attack roll. 
Applied to non-magical Base Equipment.</v>
      </c>
      <c r="J14" s="8" t="str">
        <f>IFERROR(__xludf.DUMMYFUNCTION("""COMPUTED_VALUE"""),"Artificer Replicate Magic Item Only")</f>
        <v>Artificer Replicate Magic Item Only</v>
      </c>
    </row>
    <row r="15">
      <c r="A15" s="10" t="str">
        <f>IFERROR(__xludf.DUMMYFUNCTION("""COMPUTED_VALUE"""),"Dazzling Weapon")</f>
        <v>Dazzling Weapon</v>
      </c>
      <c r="B15" s="10" t="str">
        <f>IFERROR(__xludf.DUMMYFUNCTION("""COMPUTED_VALUE"""),"EFA")</f>
        <v>EFA</v>
      </c>
      <c r="C15" s="10" t="str">
        <f>IFERROR(__xludf.DUMMYFUNCTION("""COMPUTED_VALUE"""),"rare")</f>
        <v>rare</v>
      </c>
      <c r="D15" s="10" t="str">
        <f>IFERROR(__xludf.DUMMYFUNCTION("""COMPUTED_VALUE"""),"Generic Variant")</f>
        <v>Generic Variant</v>
      </c>
      <c r="E15" s="10" t="str">
        <f>IFERROR(__xludf.DUMMYFUNCTION("""COMPUTED_VALUE"""),"requires attunement")</f>
        <v>requires attunement</v>
      </c>
      <c r="F15" s="10"/>
      <c r="G15" s="10"/>
      <c r="H15" s="10" t="str">
        <f>IFERROR(__xludf.DUMMYFUNCTION("""COMPUTED_VALUE"""),"Artificer Replicate Magic Item Only")</f>
        <v>Artificer Replicate Magic Item Only</v>
      </c>
      <c r="I15" s="10" t="str">
        <f>IFERROR(__xludf.DUMMYFUNCTION("""COMPUTED_VALUE"""),"While holding it, you can take a Bonus Action to cause it to shed Bright Light in a 30-foot radius and Dim Light for an additional 30 feet. You can extinguish the light as a Bonus Action. The weapon has 4 charges. You can take a Reaction immediately after"&amp;" being hit by an attack roll to expend 1 of the weapon's charges and force the attacker to make a DC 15 Constitution saving throw. On a failed save, the attacker has the Blinded condition until the end of its next turn. The weapon regains 1d4 expended cha"&amp;"rges daily at dawn. 
Applied to non-magical Base Equipment.")</f>
        <v>While holding it, you can take a Bonus Action to cause it to shed Bright Light in a 30-foot radius and Dim Light for an additional 30 feet. You can extinguish the light as a Bonus Action. The weapon has 4 charges. You can take a Reaction immediately after being hit by an attack roll to expend 1 of the weapon's charges and force the attacker to make a DC 15 Constitution saving throw. On a failed save, the attacker has the Blinded condition until the end of its next turn. The weapon regains 1d4 expended charges daily at dawn. 
Applied to non-magical Base Equipment.</v>
      </c>
      <c r="J15" s="10" t="str">
        <f>IFERROR(__xludf.DUMMYFUNCTION("""COMPUTED_VALUE"""),"Artificer Replicate Magic Item Only")</f>
        <v>Artificer Replicate Magic Item Only</v>
      </c>
    </row>
    <row r="16">
      <c r="A16" s="12"/>
      <c r="B16" s="12"/>
      <c r="C16" s="12"/>
      <c r="D16" s="12"/>
      <c r="E16" s="12"/>
      <c r="F16" s="12"/>
      <c r="G16" s="12"/>
      <c r="H16" s="12"/>
      <c r="I16" s="12"/>
      <c r="J16" s="12"/>
    </row>
    <row r="17">
      <c r="A17" s="6" t="s">
        <v>79</v>
      </c>
      <c r="J17" s="6"/>
    </row>
    <row r="18">
      <c r="A18" s="8" t="str">
        <f>IFERROR(__xludf.DUMMYFUNCTION("FILTER(MasterList_Hidden!A:J,Search(Left(A17,find("" "",A17)-1),MasterList_Hidden!K:K))"),"Instrument of Illusions")</f>
        <v>Instrument of Illusions</v>
      </c>
      <c r="B18" s="8" t="str">
        <f>IFERROR(__xludf.DUMMYFUNCTION("""COMPUTED_VALUE"""),"DMG'24")</f>
        <v>DMG'24</v>
      </c>
      <c r="C18" s="8" t="str">
        <f>IFERROR(__xludf.DUMMYFUNCTION("""COMPUTED_VALUE"""),"common")</f>
        <v>common</v>
      </c>
      <c r="D18" s="8" t="str">
        <f>IFERROR(__xludf.DUMMYFUNCTION("""COMPUTED_VALUE"""),"Wondrous Item, Instrument")</f>
        <v>Wondrous Item, Instrument</v>
      </c>
      <c r="E18" s="8"/>
      <c r="F18" s="8"/>
      <c r="G18" s="8"/>
      <c r="H18" s="8"/>
      <c r="I18" s="8" t="str">
        <f>IFERROR(__xludf.DUMMYFUNCTION("""COMPUTED_VALUE"""),"While you are playing this musical instrument, you can take a Magic action to create harmless, illusory visual effects within a 5-foot Emanation originating from the instrument. If you are a Bard, the size of the Emanation increases to 15 feet. Sample vis"&amp;"ual effects include luminous musical notes, a spectral dancer, butterflies, and gently falling snow. The magical effects have neither substance nor sound, and they are obviously illusory. The effects end when you stop playing.")</f>
        <v>While you are playing this musical instrument, you can take a Magic action to create harmless, illusory visual effects within a 5-foot Emanation originating from the instrument. If you are a Bard, the size of the Emanation increases to 15 feet. Sample visual effects include luminous musical notes, a spectral dancer, butterflies, and gently falling snow. The magical effects have neither substance nor sound, and they are obviously illusory. The effects end when you stop playing.</v>
      </c>
      <c r="J18" s="8">
        <f>IFERROR(__xludf.DUMMYFUNCTION("""COMPUTED_VALUE"""),100.0)</f>
        <v>100</v>
      </c>
    </row>
    <row r="19">
      <c r="A19" s="10" t="str">
        <f>IFERROR(__xludf.DUMMYFUNCTION("""COMPUTED_VALUE"""),"Rhythm-Maker's Drum")</f>
        <v>Rhythm-Maker's Drum</v>
      </c>
      <c r="B19" s="10" t="str">
        <f>IFERROR(__xludf.DUMMYFUNCTION("""COMPUTED_VALUE"""),"TCE")</f>
        <v>TCE</v>
      </c>
      <c r="C19" s="10" t="str">
        <f>IFERROR(__xludf.DUMMYFUNCTION("""COMPUTED_VALUE"""),"uncommon")</f>
        <v>uncommon</v>
      </c>
      <c r="D19" s="10" t="str">
        <f>IFERROR(__xludf.DUMMYFUNCTION("""COMPUTED_VALUE"""),"Wondrous Item, Instrument")</f>
        <v>Wondrous Item, Instrument</v>
      </c>
      <c r="E19" s="10" t="str">
        <f>IFERROR(__xludf.DUMMYFUNCTION("""COMPUTED_VALUE"""),"requires attunement by a bard")</f>
        <v>requires attunement by a bard</v>
      </c>
      <c r="F19" s="10"/>
      <c r="G19" s="10"/>
      <c r="H19" s="10"/>
      <c r="I19" s="10" t="str">
        <f>IFERROR(__xludf.DUMMYFUNCTION("""COMPUTED_VALUE"""),"As an action, you can play the drum to regain one use of your Bardic Inspiration feature. This property of the drum can't be used again until the next dawn.If you have proficiency with a given musical instrument, you can add your proficiency bonus to any "&amp;"ability checks you make to play music with the instrument. A bard can use a musical instrument as a spellcasting focus. Each type of musical instrument requires a separate proficiency.See the Tool Proficiencies entry for more information.Proficiency with "&amp;"a musical instrument indicates you are familiar with the techniques used to play it. You also have knowledge of some songs commonly performed with that instrument. History. Your expertise aids you in recalling lore related to your instrument. Performance."&amp;" Your ability to put on a good show is improved when you incorporate an instrument into your act. Compose a Tune. As part of a long rest, you can compose a new tune and lyrics for your instrument. You might use this ability to impress a noble or spread sc"&amp;"andalous rumors with a catchy tune.Musical InstrumentActivityDCIdentify a tune10Improvise a tune20")</f>
        <v>As an action, you can play the drum to regain one use of your Bardic Inspiration feature. This property of the drum can't be used again until the next dawn.If you have proficiency with a given musical instrument, you can add your proficiency bonus to any ability checks you make to play music with the instrument. A bard can use a musical instrument as a spellcasting focus. Each type of musical instrument requires a separate proficiency.See the Tool Proficiencies entry for more information.Proficiency with a musical instrument indicates you are familiar with the techniques used to play it. You also have knowledge of some songs commonly performed with that instrument. History. Your expertise aids you in recalling lore related to your instrument. Performance. Your ability to put on a good show is improved when you incorporate an instrument into your act. Compose a Tune. As part of a long rest, you can compose a new tune and lyrics for your instrument. You might use this ability to impress a noble or spread scandalous rumors with a catchy tune.Musical InstrumentActivityDCIdentify a tune10Improvise a tune20</v>
      </c>
      <c r="J19" s="20">
        <f>IFERROR(__xludf.DUMMYFUNCTION("""COMPUTED_VALUE"""),450.0)</f>
        <v>450</v>
      </c>
    </row>
    <row r="20">
      <c r="A20" s="8" t="str">
        <f>IFERROR(__xludf.DUMMYFUNCTION("""COMPUTED_VALUE"""),"Jester's Mask")</f>
        <v>Jester's Mask</v>
      </c>
      <c r="B20" s="8" t="str">
        <f>IFERROR(__xludf.DUMMYFUNCTION("""COMPUTED_VALUE"""),"BMT")</f>
        <v>BMT</v>
      </c>
      <c r="C20" s="8" t="str">
        <f>IFERROR(__xludf.DUMMYFUNCTION("""COMPUTED_VALUE"""),"legendary")</f>
        <v>legendary</v>
      </c>
      <c r="D20" s="8" t="str">
        <f>IFERROR(__xludf.DUMMYFUNCTION("""COMPUTED_VALUE"""),"Wondrous Item")</f>
        <v>Wondrous Item</v>
      </c>
      <c r="E20" s="8" t="str">
        <f>IFERROR(__xludf.DUMMYFUNCTION("""COMPUTED_VALUE"""),"requires attunement by a bard, sorcerer, or warlock")</f>
        <v>requires attunement by a bard, sorcerer, or warlock</v>
      </c>
      <c r="F20" s="8"/>
      <c r="G20" s="8"/>
      <c r="H20" s="8"/>
      <c r="I20" s="8" t="str">
        <f>IFERROR(__xludf.DUMMYFUNCTION("""COMPUTED_VALUE"""),"This colorful, harlequin domino mask is edged with pearls. While wearing this mask, you gain the following benefits:Charismatic Focus. You can use the mask as a spellcasting focus. Marvelous Escape. When a creature hits you with an attack roll, you can us"&amp;"e your reaction to disappear in a puff of smoke and colorful sparkles. You take no damage and instead teleport, along with anything you are wearing or carrying, to an unoccupied space you can see within 30 feet of yourself. Once this reaction is used, it "&amp;"can't be used again until the next dawn.Topsy-Turvy. When you roll a 1 on a d20, you can treat the roll as if you rolled a 20 instead. Once this property is used, it can't be used again until the next dawn.")</f>
        <v>This colorful, harlequin domino mask is edged with pearls. While wearing this mask, you gain the following benefits:Charismatic Focus. You can use the mask as a spellcasting focus. Marvelous Escape.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dawn.Topsy-Turvy. When you roll a 1 on a d20, you can treat the roll as if you rolled a 20 instead. Once this property is used, it can't be used again until the next dawn.</v>
      </c>
      <c r="J20" s="19">
        <f>IFERROR(__xludf.DUMMYFUNCTION("""COMPUTED_VALUE"""),850.0)</f>
        <v>850</v>
      </c>
    </row>
    <row r="21">
      <c r="A21" s="10" t="str">
        <f>IFERROR(__xludf.DUMMYFUNCTION("""COMPUTED_VALUE"""),"Lute of Thunderous Thumping")</f>
        <v>Lute of Thunderous Thumping</v>
      </c>
      <c r="B21" s="10" t="str">
        <f>IFERROR(__xludf.DUMMYFUNCTION("""COMPUTED_VALUE"""),"DMG'24")</f>
        <v>DMG'24</v>
      </c>
      <c r="C21" s="10" t="str">
        <f>IFERROR(__xludf.DUMMYFUNCTION("""COMPUTED_VALUE"""),"very rare")</f>
        <v>very rare</v>
      </c>
      <c r="D21" s="10" t="str">
        <f>IFERROR(__xludf.DUMMYFUNCTION("""COMPUTED_VALUE"""),"Simple Weapon, Melee Weapon, Instrument")</f>
        <v>Simple Weapon, Melee Weapon, Instrument</v>
      </c>
      <c r="E21" s="10"/>
      <c r="F21" s="10" t="str">
        <f>IFERROR(__xludf.DUMMYFUNCTION("""COMPUTED_VALUE"""),"1d4 Bludgeoning")</f>
        <v>1d4 Bludgeoning</v>
      </c>
      <c r="G21" s="10" t="str">
        <f>IFERROR(__xludf.DUMMYFUNCTION("""COMPUTED_VALUE"""),"Light")</f>
        <v>Light</v>
      </c>
      <c r="H21" s="10" t="str">
        <f>IFERROR(__xludf.DUMMYFUNCTION("""COMPUTED_VALUE"""),"Mastery: Slow")</f>
        <v>Mastery: Slow</v>
      </c>
      <c r="I21" s="10" t="str">
        <f>IFERROR(__xludf.DUMMYFUNCTION("""COMPUTED_VALUE"""),"This reinforced lute can be wielded as a magic Club that deals an extra 2d8 Thunder damage on a hit. Sing and Swing. If you're a Bard, you can use your Charisma modifier instead of your Strength modifier when making a melee attack roll with the lute, prov"&amp;"ided you sing or hum while making the attack. Light. When you take the Attack action on your turn and attack with a Light weapon, you can make one extra attack as a Bonus Action later on the same turn. That extra attack must be made with a different Light"&amp;" weapon, and you don't add your ability modifier to the extra attack's damage unless that modifier is negative. For example, you can attack with a Shortsword in one hand and a Dagger in the other using the Attack action and a Bonus Action, but you don't a"&amp;"dd your Strength or Dexterity modifier to the damage roll of the Bonus Action unless that modifier is negative. Mastery: Slow. If you hit a creature with this weapon and deal damage to it, you can reduce its Speed by 10 feet until the start of your next t"&amp;"urn. If the creature is hit more than once by weapons that have this property, the Speed reduction doesn't exceed 10 feet.")</f>
        <v>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J21" s="18">
        <f>IFERROR(__xludf.DUMMYFUNCTION("""COMPUTED_VALUE"""),1800.0)</f>
        <v>1800</v>
      </c>
    </row>
    <row r="22">
      <c r="A22" s="12"/>
      <c r="B22" s="12"/>
      <c r="C22" s="12"/>
      <c r="D22" s="12"/>
      <c r="E22" s="12"/>
      <c r="F22" s="12"/>
      <c r="G22" s="12"/>
      <c r="H22" s="12"/>
      <c r="I22" s="12"/>
      <c r="J22" s="21"/>
    </row>
    <row r="23">
      <c r="A23" s="6" t="s">
        <v>80</v>
      </c>
      <c r="J23" s="22"/>
    </row>
    <row r="24">
      <c r="A24" s="8" t="str">
        <f>IFERROR(__xludf.DUMMYFUNCTION("FILTER(MasterList_Hidden!A:J,Search(Left(A23,find("" "",A23)-1),MasterList_Hidden!K:K))"),"Guardian Emblem")</f>
        <v>Guardian Emblem</v>
      </c>
      <c r="B24" s="8" t="str">
        <f>IFERROR(__xludf.DUMMYFUNCTION("""COMPUTED_VALUE"""),"TCE")</f>
        <v>TCE</v>
      </c>
      <c r="C24" s="8" t="str">
        <f>IFERROR(__xludf.DUMMYFUNCTION("""COMPUTED_VALUE"""),"uncommon")</f>
        <v>uncommon</v>
      </c>
      <c r="D24" s="8" t="str">
        <f>IFERROR(__xludf.DUMMYFUNCTION("""COMPUTED_VALUE"""),"Wondrous Item")</f>
        <v>Wondrous Item</v>
      </c>
      <c r="E24" s="8" t="str">
        <f>IFERROR(__xludf.DUMMYFUNCTION("""COMPUTED_VALUE"""),"requires attunement by a cleric or paladin")</f>
        <v>requires attunement by a cleric or paladin</v>
      </c>
      <c r="F24" s="8"/>
      <c r="G24" s="8"/>
      <c r="H24" s="8"/>
      <c r="I24" s="8" t="str">
        <f>IFERROR(__xludf.DUMMYFUNCTION("""COMPUTED_VALUE"""),"This emblem is the symbol of a deity or a spiritual tradition. As an action, you can attach the emblem to a suit of armor or a shield or remove it.The emblem has 3 charges. When you or a creature you can see within 30 feet of you suffers a critical hit wh"&amp;"ile you're wearing the armor or wielding the shield that bears the emblem, you can use your reaction to expend 1 charge to turn the critical hit into a normal hit instead.The emblem regains all expended charges daily at dawn.")</f>
        <v>This emblem is the symbol of a deity or a spiritual tradition. As an action, you can attach the emblem to a suit of armor or a shield or remove it.The emblem has 3 charges. When you or a creature you can see within 30 feet of you suffers a critical hit while you're wearing the armor or wielding the shield that bears the emblem, you can use your reaction to expend 1 charge to turn the critical hit into a normal hit instead.The emblem regains all expended charges daily at dawn.</v>
      </c>
      <c r="J24" s="19">
        <f>IFERROR(__xludf.DUMMYFUNCTION("""COMPUTED_VALUE"""),550.0)</f>
        <v>550</v>
      </c>
    </row>
    <row r="25">
      <c r="A25" s="10" t="str">
        <f>IFERROR(__xludf.DUMMYFUNCTION("""COMPUTED_VALUE"""),"Amulet of the Devout")</f>
        <v>Amulet of the Devout</v>
      </c>
      <c r="B25" s="10" t="str">
        <f>IFERROR(__xludf.DUMMYFUNCTION("""COMPUTED_VALUE"""),"TCE")</f>
        <v>TCE</v>
      </c>
      <c r="C25" s="10" t="str">
        <f>IFERROR(__xludf.DUMMYFUNCTION("""COMPUTED_VALUE"""),"uncommon")</f>
        <v>uncommon</v>
      </c>
      <c r="D25" s="10" t="str">
        <f>IFERROR(__xludf.DUMMYFUNCTION("""COMPUTED_VALUE"""),"Wondrous Item")</f>
        <v>Wondrous Item</v>
      </c>
      <c r="E25" s="10" t="str">
        <f>IFERROR(__xludf.DUMMYFUNCTION("""COMPUTED_VALUE"""),"requires attunement by a cleric or paladin")</f>
        <v>requires attunement by a cleric or paladin</v>
      </c>
      <c r="F25" s="10"/>
      <c r="G25" s="10"/>
      <c r="H25" s="10"/>
      <c r="I25" s="10" t="str">
        <f>IFERROR(__xludf.DUMMYFUNCTION("""COMPUTED_VALUE"""),"This amulet bears the symbol of a deity inlaid with precious stones or metals.While you wear this amulet, you can use your Channel Divinity feature without expending one of the feature's uses. Once this property is used, it can't be used again until the n"&amp;"ext dawn.")</f>
        <v>This amulet bears the symbol of a deity inlaid with precious stones or metals.While you wear this amulet, you can use your Channel Divinity feature without expending one of the feature's uses. Once this property is used, it can't be used again until the next dawn.</v>
      </c>
      <c r="J25" s="18">
        <f>IFERROR(__xludf.DUMMYFUNCTION("""COMPUTED_VALUE"""),750.0)</f>
        <v>750</v>
      </c>
    </row>
    <row r="26">
      <c r="A26" s="8" t="str">
        <f>IFERROR(__xludf.DUMMYFUNCTION("""COMPUTED_VALUE"""),"Devotee's Censer")</f>
        <v>Devotee's Censer</v>
      </c>
      <c r="B26" s="8" t="str">
        <f>IFERROR(__xludf.DUMMYFUNCTION("""COMPUTED_VALUE"""),"TCE")</f>
        <v>TCE</v>
      </c>
      <c r="C26" s="8" t="str">
        <f>IFERROR(__xludf.DUMMYFUNCTION("""COMPUTED_VALUE"""),"rare")</f>
        <v>rare</v>
      </c>
      <c r="D26" s="8" t="str">
        <f>IFERROR(__xludf.DUMMYFUNCTION("""COMPUTED_VALUE"""),"Martial Weapon, Melee Weapon")</f>
        <v>Martial Weapon, Melee Weapon</v>
      </c>
      <c r="E26" s="8" t="str">
        <f>IFERROR(__xludf.DUMMYFUNCTION("""COMPUTED_VALUE"""),"requires attunement by a cleric or paladin")</f>
        <v>requires attunement by a cleric or paladin</v>
      </c>
      <c r="F26" s="8" t="str">
        <f>IFERROR(__xludf.DUMMYFUNCTION("""COMPUTED_VALUE"""),"1d8 Bludgeoning")</f>
        <v>1d8 Bludgeoning</v>
      </c>
      <c r="G26" s="8"/>
      <c r="H26" s="8"/>
      <c r="I26" s="8"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J26" s="19">
        <f>IFERROR(__xludf.DUMMYFUNCTION("""COMPUTED_VALUE"""),1200.0)</f>
        <v>1200</v>
      </c>
    </row>
    <row r="27">
      <c r="A27" s="10" t="str">
        <f>IFERROR(__xludf.DUMMYFUNCTION("""COMPUTED_VALUE"""),"Sun Staff")</f>
        <v>Sun Staff</v>
      </c>
      <c r="B27" s="10" t="str">
        <f>IFERROR(__xludf.DUMMYFUNCTION("""COMPUTED_VALUE"""),"BMT")</f>
        <v>BMT</v>
      </c>
      <c r="C27" s="10" t="str">
        <f>IFERROR(__xludf.DUMMYFUNCTION("""COMPUTED_VALUE"""),"rare")</f>
        <v>rare</v>
      </c>
      <c r="D27" s="10" t="str">
        <f>IFERROR(__xludf.DUMMYFUNCTION("""COMPUTED_VALUE"""),"Simple Weapon, Melee Weapon")</f>
        <v>Simple Weapon, Melee Weapon</v>
      </c>
      <c r="E27" s="10" t="str">
        <f>IFERROR(__xludf.DUMMYFUNCTION("""COMPUTED_VALUE"""),"requires attunement by a cleric, druid, or wizard")</f>
        <v>requires attunement by a cleric, druid, or wizard</v>
      </c>
      <c r="F27" s="10" t="str">
        <f>IFERROR(__xludf.DUMMYFUNCTION("""COMPUTED_VALUE"""),"1d6 Bludgeoning")</f>
        <v>1d6 Bludgeoning</v>
      </c>
      <c r="G27" s="10" t="str">
        <f>IFERROR(__xludf.DUMMYFUNCTION("""COMPUTED_VALUE"""),"versatile (1d8)")</f>
        <v>versatile (1d8)</v>
      </c>
      <c r="H27" s="10"/>
      <c r="I27" s="10"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J27" s="18">
        <f>IFERROR(__xludf.DUMMYFUNCTION("""COMPUTED_VALUE"""),1400.0)</f>
        <v>1400</v>
      </c>
    </row>
    <row r="28">
      <c r="A28" s="12"/>
      <c r="B28" s="12"/>
      <c r="C28" s="12"/>
      <c r="D28" s="12"/>
      <c r="E28" s="12"/>
      <c r="F28" s="12"/>
      <c r="G28" s="12"/>
      <c r="H28" s="12"/>
      <c r="I28" s="12"/>
      <c r="J28" s="21"/>
    </row>
    <row r="29">
      <c r="A29" s="6" t="s">
        <v>81</v>
      </c>
      <c r="J29" s="22"/>
    </row>
    <row r="30">
      <c r="A30" s="8" t="str">
        <f>IFERROR(__xludf.DUMMYFUNCTION("FILTER(MasterList_Hidden!A:J,Search(Left(A29,find("" "",A29)-1),MasterList_Hidden!K:K))"),"Moon Sickle")</f>
        <v>Moon Sickle</v>
      </c>
      <c r="B30" s="8" t="str">
        <f>IFERROR(__xludf.DUMMYFUNCTION("""COMPUTED_VALUE"""),"TCE")</f>
        <v>TCE</v>
      </c>
      <c r="C30" s="8" t="str">
        <f>IFERROR(__xludf.DUMMYFUNCTION("""COMPUTED_VALUE"""),"uncommon")</f>
        <v>uncommon</v>
      </c>
      <c r="D30" s="8" t="str">
        <f>IFERROR(__xludf.DUMMYFUNCTION("""COMPUTED_VALUE"""),"Simple Weapon, Melee Weapon")</f>
        <v>Simple Weapon, Melee Weapon</v>
      </c>
      <c r="E30" s="8" t="str">
        <f>IFERROR(__xludf.DUMMYFUNCTION("""COMPUTED_VALUE"""),"requires attunement by a druid or ranger")</f>
        <v>requires attunement by a druid or ranger</v>
      </c>
      <c r="F30" s="8" t="str">
        <f>IFERROR(__xludf.DUMMYFUNCTION("""COMPUTED_VALUE"""),"1d4 Slashing")</f>
        <v>1d4 Slashing</v>
      </c>
      <c r="G30" s="8" t="str">
        <f>IFERROR(__xludf.DUMMYFUNCTION("""COMPUTED_VALUE"""),"light")</f>
        <v>light</v>
      </c>
      <c r="H30" s="8"/>
      <c r="I30" s="8" t="str">
        <f>IFERROR(__xludf.DUMMYFUNCTION("""COMPUTED_VALUE"""),"This silver-bladed sickle glimmers softly with moonlight. In addition, you can use the sickle as a spellcasting focus for your druid and ranger spells.When you cast a spell that restores hit points, you can roll a d4 and add the number rolled to the amoun"&amp;"t of hit points restored, provided you are holding the sickle. Light. A light weapon is small and easy to handle, making it ideal for use when fighting with two weapons.")</f>
        <v>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v>
      </c>
      <c r="J30" s="19">
        <f>IFERROR(__xludf.DUMMYFUNCTION("""COMPUTED_VALUE"""),550.0)</f>
        <v>550</v>
      </c>
    </row>
    <row r="31">
      <c r="A31" s="10" t="str">
        <f>IFERROR(__xludf.DUMMYFUNCTION("""COMPUTED_VALUE"""),"Nature's Mantle")</f>
        <v>Nature's Mantle</v>
      </c>
      <c r="B31" s="10" t="str">
        <f>IFERROR(__xludf.DUMMYFUNCTION("""COMPUTED_VALUE"""),"DMG'24")</f>
        <v>DMG'24</v>
      </c>
      <c r="C31" s="10" t="str">
        <f>IFERROR(__xludf.DUMMYFUNCTION("""COMPUTED_VALUE"""),"uncommon")</f>
        <v>uncommon</v>
      </c>
      <c r="D31" s="10" t="str">
        <f>IFERROR(__xludf.DUMMYFUNCTION("""COMPUTED_VALUE"""),"Wondrous Item, Spellcasting Focus")</f>
        <v>Wondrous Item, Spellcasting Focus</v>
      </c>
      <c r="E31" s="10" t="str">
        <f>IFERROR(__xludf.DUMMYFUNCTION("""COMPUTED_VALUE"""),"requires attunement by a druid or ranger")</f>
        <v>requires attunement by a druid or ranger</v>
      </c>
      <c r="F31" s="10"/>
      <c r="G31" s="10"/>
      <c r="H31" s="10"/>
      <c r="I31" s="10" t="str">
        <f>IFERROR(__xludf.DUMMYFUNCTION("""COMPUTED_VALUE"""),"This cloak shifts color and texture to blend with the terrain surrounding you. While wearing the cloak, you can use it as a Spellcasting Focus for your Druid and Ranger spells.While you are in an area that is Lightly Obscured, you can Hide as a Bonus Acti"&amp;"on even if you are being directly observed.")</f>
        <v>This cloak shifts color and texture to blend with the terrain surrounding you. While wearing the cloak, you can use it as a Spellcasting Focus for your Druid and Ranger spells.While you are in an area that is Lightly Obscured, you can Hide as a Bonus Action even if you are being directly observed.</v>
      </c>
      <c r="J31" s="18">
        <f>IFERROR(__xludf.DUMMYFUNCTION("""COMPUTED_VALUE"""),600.0)</f>
        <v>600</v>
      </c>
    </row>
    <row r="32">
      <c r="A32" s="8" t="str">
        <f>IFERROR(__xludf.DUMMYFUNCTION("""COMPUTED_VALUE"""),"Sun Staff")</f>
        <v>Sun Staff</v>
      </c>
      <c r="B32" s="8" t="str">
        <f>IFERROR(__xludf.DUMMYFUNCTION("""COMPUTED_VALUE"""),"BMT")</f>
        <v>BMT</v>
      </c>
      <c r="C32" s="8" t="str">
        <f>IFERROR(__xludf.DUMMYFUNCTION("""COMPUTED_VALUE"""),"rare")</f>
        <v>rare</v>
      </c>
      <c r="D32" s="8" t="str">
        <f>IFERROR(__xludf.DUMMYFUNCTION("""COMPUTED_VALUE"""),"Simple Weapon, Melee Weapon")</f>
        <v>Simple Weapon, Melee Weapon</v>
      </c>
      <c r="E32" s="8" t="str">
        <f>IFERROR(__xludf.DUMMYFUNCTION("""COMPUTED_VALUE"""),"requires attunement by a cleric, druid, or wizard")</f>
        <v>requires attunement by a cleric, druid, or wizard</v>
      </c>
      <c r="F32" s="8" t="str">
        <f>IFERROR(__xludf.DUMMYFUNCTION("""COMPUTED_VALUE"""),"1d6 Bludgeoning")</f>
        <v>1d6 Bludgeoning</v>
      </c>
      <c r="G32" s="8" t="str">
        <f>IFERROR(__xludf.DUMMYFUNCTION("""COMPUTED_VALUE"""),"versatile (1d8)")</f>
        <v>versatile (1d8)</v>
      </c>
      <c r="H32" s="8"/>
      <c r="I32" s="8"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J32" s="19">
        <f>IFERROR(__xludf.DUMMYFUNCTION("""COMPUTED_VALUE"""),1400.0)</f>
        <v>1400</v>
      </c>
    </row>
    <row r="33">
      <c r="A33" s="12"/>
      <c r="B33" s="12"/>
      <c r="C33" s="12"/>
      <c r="D33" s="12"/>
      <c r="E33" s="12"/>
      <c r="F33" s="12"/>
      <c r="G33" s="12"/>
      <c r="H33" s="12"/>
      <c r="I33" s="12"/>
      <c r="J33" s="21"/>
    </row>
    <row r="34">
      <c r="A34" s="6" t="s">
        <v>82</v>
      </c>
      <c r="J34" s="22"/>
    </row>
    <row r="35">
      <c r="A35" s="8" t="str">
        <f>IFERROR(__xludf.DUMMYFUNCTION("FILTER(MasterList_Hidden!A:J,Search(Left(A34,find("" "",A34)-1),MasterList_Hidden!K:K))"),"Dragonhide Belt")</f>
        <v>Dragonhide Belt</v>
      </c>
      <c r="B35" s="8" t="str">
        <f>IFERROR(__xludf.DUMMYFUNCTION("""COMPUTED_VALUE"""),"FTD")</f>
        <v>FTD</v>
      </c>
      <c r="C35" s="8" t="str">
        <f>IFERROR(__xludf.DUMMYFUNCTION("""COMPUTED_VALUE"""),"uncommon")</f>
        <v>uncommon</v>
      </c>
      <c r="D35" s="8" t="str">
        <f>IFERROR(__xludf.DUMMYFUNCTION("""COMPUTED_VALUE"""),"Wondrous Item")</f>
        <v>Wondrous Item</v>
      </c>
      <c r="E35" s="8" t="str">
        <f>IFERROR(__xludf.DUMMYFUNCTION("""COMPUTED_VALUE"""),"requires attunement by a monk")</f>
        <v>requires attunement by a monk</v>
      </c>
      <c r="F35" s="8"/>
      <c r="G35" s="8"/>
      <c r="H35" s="8"/>
      <c r="I35" s="8" t="str">
        <f>IFERROR(__xludf.DUMMYFUNCTION("""COMPUTED_VALUE"""),"This finely detailed belt is made of dragonhide. While wearing it, you gain a +1 bonus to the saving throw DCs of your ki features. In addition, you can use an action to regain ki points equal to a roll of your Martial Arts die. You can't use this action "&amp;"again until the next dawn.")</f>
        <v>This finely detailed belt is made of dragonhide. While wearing it, you gain a +1 bonus to the saving throw DCs of your ki features. In addition, you can use an action to regain ki points equal to a roll of your Martial Arts die. You can't use this action again until the next dawn.</v>
      </c>
      <c r="J35" s="36">
        <f>IFERROR(__xludf.DUMMYFUNCTION("""COMPUTED_VALUE"""),400.0)</f>
        <v>400</v>
      </c>
    </row>
    <row r="36">
      <c r="A36" s="12"/>
      <c r="B36" s="12"/>
      <c r="C36" s="12"/>
      <c r="D36" s="12"/>
      <c r="E36" s="12"/>
      <c r="F36" s="12"/>
      <c r="G36" s="12"/>
      <c r="H36" s="12"/>
      <c r="I36" s="12"/>
      <c r="J36" s="21"/>
    </row>
    <row r="37">
      <c r="A37" s="6" t="s">
        <v>83</v>
      </c>
      <c r="J37" s="22"/>
    </row>
    <row r="38">
      <c r="A38" s="8" t="str">
        <f>IFERROR(__xludf.DUMMYFUNCTION("FILTER(MasterList_Hidden!A:J,Search(Left(A37,find("" "",A37)-1),MasterList_Hidden!K:K))"),"Guardian Emblem")</f>
        <v>Guardian Emblem</v>
      </c>
      <c r="B38" s="8" t="str">
        <f>IFERROR(__xludf.DUMMYFUNCTION("""COMPUTED_VALUE"""),"TCE")</f>
        <v>TCE</v>
      </c>
      <c r="C38" s="8" t="str">
        <f>IFERROR(__xludf.DUMMYFUNCTION("""COMPUTED_VALUE"""),"uncommon")</f>
        <v>uncommon</v>
      </c>
      <c r="D38" s="8" t="str">
        <f>IFERROR(__xludf.DUMMYFUNCTION("""COMPUTED_VALUE"""),"Wondrous Item")</f>
        <v>Wondrous Item</v>
      </c>
      <c r="E38" s="8" t="str">
        <f>IFERROR(__xludf.DUMMYFUNCTION("""COMPUTED_VALUE"""),"requires attunement by a cleric or paladin")</f>
        <v>requires attunement by a cleric or paladin</v>
      </c>
      <c r="F38" s="8"/>
      <c r="G38" s="8"/>
      <c r="H38" s="8"/>
      <c r="I38" s="8" t="str">
        <f>IFERROR(__xludf.DUMMYFUNCTION("""COMPUTED_VALUE"""),"This emblem is the symbol of a deity or a spiritual tradition. As an action, you can attach the emblem to a suit of armor or a shield or remove it.The emblem has 3 charges. When you or a creature you can see within 30 feet of you suffers a critical hit wh"&amp;"ile you're wearing the armor or wielding the shield that bears the emblem, you can use your reaction to expend 1 charge to turn the critical hit into a normal hit instead.The emblem regains all expended charges daily at dawn.")</f>
        <v>This emblem is the symbol of a deity or a spiritual tradition. As an action, you can attach the emblem to a suit of armor or a shield or remove it.The emblem has 3 charges. When you or a creature you can see within 30 feet of you suffers a critical hit while you're wearing the armor or wielding the shield that bears the emblem, you can use your reaction to expend 1 charge to turn the critical hit into a normal hit instead.The emblem regains all expended charges daily at dawn.</v>
      </c>
      <c r="J38" s="19">
        <f>IFERROR(__xludf.DUMMYFUNCTION("""COMPUTED_VALUE"""),550.0)</f>
        <v>550</v>
      </c>
    </row>
    <row r="39">
      <c r="A39" s="10" t="str">
        <f>IFERROR(__xludf.DUMMYFUNCTION("""COMPUTED_VALUE"""),"Amulet of the Devout")</f>
        <v>Amulet of the Devout</v>
      </c>
      <c r="B39" s="10" t="str">
        <f>IFERROR(__xludf.DUMMYFUNCTION("""COMPUTED_VALUE"""),"TCE")</f>
        <v>TCE</v>
      </c>
      <c r="C39" s="10" t="str">
        <f>IFERROR(__xludf.DUMMYFUNCTION("""COMPUTED_VALUE"""),"uncommon")</f>
        <v>uncommon</v>
      </c>
      <c r="D39" s="10" t="str">
        <f>IFERROR(__xludf.DUMMYFUNCTION("""COMPUTED_VALUE"""),"Wondrous Item")</f>
        <v>Wondrous Item</v>
      </c>
      <c r="E39" s="10" t="str">
        <f>IFERROR(__xludf.DUMMYFUNCTION("""COMPUTED_VALUE"""),"requires attunement by a cleric or paladin")</f>
        <v>requires attunement by a cleric or paladin</v>
      </c>
      <c r="F39" s="10"/>
      <c r="G39" s="10"/>
      <c r="H39" s="10"/>
      <c r="I39" s="10" t="str">
        <f>IFERROR(__xludf.DUMMYFUNCTION("""COMPUTED_VALUE"""),"This amulet bears the symbol of a deity inlaid with precious stones or metals.While you wear this amulet, you can use your Channel Divinity feature without expending one of the feature's uses. Once this property is used, it can't be used again until the n"&amp;"ext dawn.")</f>
        <v>This amulet bears the symbol of a deity inlaid with precious stones or metals.While you wear this amulet, you can use your Channel Divinity feature without expending one of the feature's uses. Once this property is used, it can't be used again until the next dawn.</v>
      </c>
      <c r="J39" s="18">
        <f>IFERROR(__xludf.DUMMYFUNCTION("""COMPUTED_VALUE"""),750.0)</f>
        <v>750</v>
      </c>
    </row>
    <row r="40">
      <c r="A40" s="8" t="str">
        <f>IFERROR(__xludf.DUMMYFUNCTION("""COMPUTED_VALUE"""),"Devotee's Censer")</f>
        <v>Devotee's Censer</v>
      </c>
      <c r="B40" s="8" t="str">
        <f>IFERROR(__xludf.DUMMYFUNCTION("""COMPUTED_VALUE"""),"TCE")</f>
        <v>TCE</v>
      </c>
      <c r="C40" s="8" t="str">
        <f>IFERROR(__xludf.DUMMYFUNCTION("""COMPUTED_VALUE"""),"rare")</f>
        <v>rare</v>
      </c>
      <c r="D40" s="8" t="str">
        <f>IFERROR(__xludf.DUMMYFUNCTION("""COMPUTED_VALUE"""),"Martial Weapon, Melee Weapon")</f>
        <v>Martial Weapon, Melee Weapon</v>
      </c>
      <c r="E40" s="8" t="str">
        <f>IFERROR(__xludf.DUMMYFUNCTION("""COMPUTED_VALUE"""),"requires attunement by a cleric or paladin")</f>
        <v>requires attunement by a cleric or paladin</v>
      </c>
      <c r="F40" s="8" t="str">
        <f>IFERROR(__xludf.DUMMYFUNCTION("""COMPUTED_VALUE"""),"1d8 Bludgeoning")</f>
        <v>1d8 Bludgeoning</v>
      </c>
      <c r="G40" s="8"/>
      <c r="H40" s="8"/>
      <c r="I40" s="8" t="str">
        <f>IFERROR(__xludf.DUMMYFUNCTION("""COMPUTED_VALUE"""),"The rounded head of this flail is perforated with tiny holes, arranged in symbols and patterns. The flail counts as a holy symbol for you. When you hit with an attack using this magic flail, the target takes an extra 1d8 radiant damage. As a bonus action,"&amp;" you can speak the command word to cause the flail to emanate a thin cloud of incense out to 10 feet for 1 minute. At the start of each of your turns, you and any other creatures in the incense each regain 1d4 hit points. This property can't be used again"&amp;" until the next dawn.")</f>
        <v>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v>
      </c>
      <c r="J40" s="19">
        <f>IFERROR(__xludf.DUMMYFUNCTION("""COMPUTED_VALUE"""),1200.0)</f>
        <v>1200</v>
      </c>
    </row>
    <row r="41">
      <c r="A41" s="12"/>
      <c r="B41" s="12"/>
      <c r="C41" s="12"/>
      <c r="D41" s="12"/>
      <c r="E41" s="12"/>
      <c r="F41" s="12"/>
      <c r="G41" s="12"/>
      <c r="H41" s="12"/>
      <c r="I41" s="12"/>
      <c r="J41" s="21"/>
    </row>
    <row r="42">
      <c r="A42" s="6" t="s">
        <v>84</v>
      </c>
      <c r="J42" s="22"/>
    </row>
    <row r="43">
      <c r="A43" s="8" t="str">
        <f>IFERROR(__xludf.DUMMYFUNCTION("FILTER(MasterList_Hidden!A:J,Search(Left(A42,find("" "",A42)-1),MasterList_Hidden!K:K))"),"Moon Sickle")</f>
        <v>Moon Sickle</v>
      </c>
      <c r="B43" s="8" t="str">
        <f>IFERROR(__xludf.DUMMYFUNCTION("""COMPUTED_VALUE"""),"TCE")</f>
        <v>TCE</v>
      </c>
      <c r="C43" s="8" t="str">
        <f>IFERROR(__xludf.DUMMYFUNCTION("""COMPUTED_VALUE"""),"uncommon")</f>
        <v>uncommon</v>
      </c>
      <c r="D43" s="8" t="str">
        <f>IFERROR(__xludf.DUMMYFUNCTION("""COMPUTED_VALUE"""),"Simple Weapon, Melee Weapon")</f>
        <v>Simple Weapon, Melee Weapon</v>
      </c>
      <c r="E43" s="8" t="str">
        <f>IFERROR(__xludf.DUMMYFUNCTION("""COMPUTED_VALUE"""),"requires attunement by a druid or ranger")</f>
        <v>requires attunement by a druid or ranger</v>
      </c>
      <c r="F43" s="8" t="str">
        <f>IFERROR(__xludf.DUMMYFUNCTION("""COMPUTED_VALUE"""),"1d4 Slashing")</f>
        <v>1d4 Slashing</v>
      </c>
      <c r="G43" s="8" t="str">
        <f>IFERROR(__xludf.DUMMYFUNCTION("""COMPUTED_VALUE"""),"light")</f>
        <v>light</v>
      </c>
      <c r="H43" s="8"/>
      <c r="I43" s="8" t="str">
        <f>IFERROR(__xludf.DUMMYFUNCTION("""COMPUTED_VALUE"""),"This silver-bladed sickle glimmers softly with moonlight. In addition, you can use the sickle as a spellcasting focus for your druid and ranger spells.When you cast a spell that restores hit points, you can roll a d4 and add the number rolled to the amoun"&amp;"t of hit points restored, provided you are holding the sickle. Light. A light weapon is small and easy to handle, making it ideal for use when fighting with two weapons.")</f>
        <v>This silver-bladed sickle glimmers softly with moonlight. In addition, you can use the sickle as a spellcasting focus for your druid and ranger spells.When you cast a spell that restores hit points, you can roll a d4 and add the number rolled to the amount of hit points restored, provided you are holding the sickle. Light. A light weapon is small and easy to handle, making it ideal for use when fighting with two weapons.</v>
      </c>
      <c r="J43" s="19">
        <f>IFERROR(__xludf.DUMMYFUNCTION("""COMPUTED_VALUE"""),550.0)</f>
        <v>550</v>
      </c>
    </row>
    <row r="44">
      <c r="A44" s="10" t="str">
        <f>IFERROR(__xludf.DUMMYFUNCTION("""COMPUTED_VALUE"""),"Nature's Mantle")</f>
        <v>Nature's Mantle</v>
      </c>
      <c r="B44" s="10" t="str">
        <f>IFERROR(__xludf.DUMMYFUNCTION("""COMPUTED_VALUE"""),"DMG'24")</f>
        <v>DMG'24</v>
      </c>
      <c r="C44" s="10" t="str">
        <f>IFERROR(__xludf.DUMMYFUNCTION("""COMPUTED_VALUE"""),"uncommon")</f>
        <v>uncommon</v>
      </c>
      <c r="D44" s="10" t="str">
        <f>IFERROR(__xludf.DUMMYFUNCTION("""COMPUTED_VALUE"""),"Wondrous Item, Spellcasting Focus")</f>
        <v>Wondrous Item, Spellcasting Focus</v>
      </c>
      <c r="E44" s="10" t="str">
        <f>IFERROR(__xludf.DUMMYFUNCTION("""COMPUTED_VALUE"""),"requires attunement by a druid or ranger")</f>
        <v>requires attunement by a druid or ranger</v>
      </c>
      <c r="F44" s="10"/>
      <c r="G44" s="10"/>
      <c r="H44" s="10"/>
      <c r="I44" s="10" t="str">
        <f>IFERROR(__xludf.DUMMYFUNCTION("""COMPUTED_VALUE"""),"This cloak shifts color and texture to blend with the terrain surrounding you. While wearing the cloak, you can use it as a Spellcasting Focus for your Druid and Ranger spells.While you are in an area that is Lightly Obscured, you can Hide as a Bonus Acti"&amp;"on even if you are being directly observed.")</f>
        <v>This cloak shifts color and texture to blend with the terrain surrounding you. While wearing the cloak, you can use it as a Spellcasting Focus for your Druid and Ranger spells.While you are in an area that is Lightly Obscured, you can Hide as a Bonus Action even if you are being directly observed.</v>
      </c>
      <c r="J44" s="18">
        <f>IFERROR(__xludf.DUMMYFUNCTION("""COMPUTED_VALUE"""),600.0)</f>
        <v>600</v>
      </c>
    </row>
    <row r="45">
      <c r="A45" s="12"/>
      <c r="B45" s="12"/>
      <c r="C45" s="12"/>
      <c r="D45" s="12"/>
      <c r="E45" s="12"/>
      <c r="F45" s="12"/>
      <c r="G45" s="12"/>
      <c r="H45" s="12"/>
      <c r="I45" s="12"/>
      <c r="J45" s="21"/>
    </row>
    <row r="46">
      <c r="A46" s="6" t="s">
        <v>85</v>
      </c>
      <c r="J46" s="22"/>
    </row>
    <row r="47">
      <c r="A47" s="8" t="str">
        <f>IFERROR(__xludf.DUMMYFUNCTION("FILTER(MasterList_Hidden!A:J,Search(Left(A46,find("" "",A46)-1),MasterList_Hidden!K:K))"),"Bloodwell Vial")</f>
        <v>Bloodwell Vial</v>
      </c>
      <c r="B47" s="8" t="str">
        <f>IFERROR(__xludf.DUMMYFUNCTION("""COMPUTED_VALUE"""),"TCE")</f>
        <v>TCE</v>
      </c>
      <c r="C47" s="8" t="str">
        <f>IFERROR(__xludf.DUMMYFUNCTION("""COMPUTED_VALUE"""),"uncommon")</f>
        <v>uncommon</v>
      </c>
      <c r="D47" s="8" t="str">
        <f>IFERROR(__xludf.DUMMYFUNCTION("""COMPUTED_VALUE"""),"Wondrous Item, Spellcasting Focus")</f>
        <v>Wondrous Item, Spellcasting Focus</v>
      </c>
      <c r="E47" s="8" t="str">
        <f>IFERROR(__xludf.DUMMYFUNCTION("""COMPUTED_VALUE"""),"requires attunement by a sorcerer")</f>
        <v>requires attunement by a sorcerer</v>
      </c>
      <c r="F47" s="8"/>
      <c r="G47" s="8"/>
      <c r="H47" s="8"/>
      <c r="I47" s="8" t="str">
        <f>IFERROR(__xludf.DUMMYFUNCTION("""COMPUTED_VALUE"""),"To attune to this vial, you must place a few drops of your blood into it. The vial can't be opened while your attunement to it lasts. If your attunement to the vial ends, the contained blood turns to ash. You can use the vial as a spellcasting focus for y"&amp;"our spells while wearing or holding it. In addition, when you roll any Hit Dice to recover hit points while you are carrying the vial, you can regain 5 sorcery points. This property of the vial can't be used again until the next dawn.")</f>
        <v>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In addition, when you roll any Hit Dice to recover hit points while you are carrying the vial, you can regain 5 sorcery points. This property of the vial can't be used again until the next dawn.</v>
      </c>
      <c r="J47" s="19">
        <f>IFERROR(__xludf.DUMMYFUNCTION("""COMPUTED_VALUE"""),750.0)</f>
        <v>750</v>
      </c>
    </row>
    <row r="48">
      <c r="A48" s="10" t="str">
        <f>IFERROR(__xludf.DUMMYFUNCTION("""COMPUTED_VALUE"""),"Feywild Shard")</f>
        <v>Feywild Shard</v>
      </c>
      <c r="B48" s="10" t="str">
        <f>IFERROR(__xludf.DUMMYFUNCTION("""COMPUTED_VALUE"""),"TCE")</f>
        <v>TCE</v>
      </c>
      <c r="C48" s="10" t="str">
        <f>IFERROR(__xludf.DUMMYFUNCTION("""COMPUTED_VALUE"""),"uncommon")</f>
        <v>uncommon</v>
      </c>
      <c r="D48" s="10" t="str">
        <f>IFERROR(__xludf.DUMMYFUNCTION("""COMPUTED_VALUE"""),"Wondrous Item, Spellcasting Focus")</f>
        <v>Wondrous Item, Spellcasting Focus</v>
      </c>
      <c r="E48" s="10" t="str">
        <f>IFERROR(__xludf.DUMMYFUNCTION("""COMPUTED_VALUE"""),"requires attunement by a sorcerer")</f>
        <v>requires attunement by a sorcerer</v>
      </c>
      <c r="F48" s="10"/>
      <c r="G48" s="10"/>
      <c r="H48" s="10"/>
      <c r="I48" s="10" t="str">
        <f>IFERROR(__xludf.DUMMYFUNCTION("""COMPUTED_VALUE"""),"This warm crystal glints with the sunset colors of the Feywild sky and evokes whispers of emotional memory. As an action, you can attach the shard to a Tiny object (such as a weapon or a piece of jewelry) or detach it. It falls off if your attunement to i"&amp;"t ends. You can use the shard as a spellcasting focus while you hold or wear it.When you use a Metamagic option on a spell while you are holding or wearing the shard, you can roll on the Wild Magic Surge table in the Player's Handbook. If the result is a "&amp;"spell, it is too wild to be affected by your Metamagic, and if it normally requires concentration, it doesn't require concentration in this case; the spell lasts for its full duration.If you don't have the Wild Magic Sorcerous Origin, once this property i"&amp;"s used to roll on the Wild Magic Surge table, it can't be used again until the next dawn.")</f>
        <v>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duration.If you don't have the Wild Magic Sorcerous Origin, once this property is used to roll on the Wild Magic Surge table, it can't be used again until the next dawn.</v>
      </c>
      <c r="J48" s="18">
        <f>IFERROR(__xludf.DUMMYFUNCTION("""COMPUTED_VALUE"""),750.0)</f>
        <v>750</v>
      </c>
    </row>
    <row r="49">
      <c r="A49" s="8" t="str">
        <f>IFERROR(__xludf.DUMMYFUNCTION("""COMPUTED_VALUE"""),"Outer Essence Shard (Lawful)")</f>
        <v>Outer Essence Shard (Lawful)</v>
      </c>
      <c r="B49" s="8" t="str">
        <f>IFERROR(__xludf.DUMMYFUNCTION("""COMPUTED_VALUE"""),"TCE")</f>
        <v>TCE</v>
      </c>
      <c r="C49" s="8" t="str">
        <f>IFERROR(__xludf.DUMMYFUNCTION("""COMPUTED_VALUE"""),"rare")</f>
        <v>rare</v>
      </c>
      <c r="D49" s="8" t="str">
        <f>IFERROR(__xludf.DUMMYFUNCTION("""COMPUTED_VALUE"""),"Wondrous Item, Spellcasting Focus")</f>
        <v>Wondrous Item, Spellcasting Focus</v>
      </c>
      <c r="E49" s="8" t="str">
        <f>IFERROR(__xludf.DUMMYFUNCTION("""COMPUTED_VALUE"""),"requires attunement by a sorcerer")</f>
        <v>requires attunement by a sorcerer</v>
      </c>
      <c r="F49" s="8"/>
      <c r="G49" s="8"/>
      <c r="H49" s="8"/>
      <c r="I49"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can end one of the following conditions affecting yourself or one creature you can see within "&amp;"30 feet of you: charmed, blinded, deafened, frightened, poisoned, or stunned.")</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can end one of the following conditions affecting yourself or one creature you can see within 30 feet of you: charmed, blinded, deafened, frightened, poisoned, or stunned.</v>
      </c>
      <c r="J49" s="19">
        <f>IFERROR(__xludf.DUMMYFUNCTION("""COMPUTED_VALUE"""),750.0)</f>
        <v>750</v>
      </c>
    </row>
    <row r="50">
      <c r="A50" s="10" t="str">
        <f>IFERROR(__xludf.DUMMYFUNCTION("""COMPUTED_VALUE"""),"Elemental Essence Shard (Fire)")</f>
        <v>Elemental Essence Shard (Fire)</v>
      </c>
      <c r="B50" s="10" t="str">
        <f>IFERROR(__xludf.DUMMYFUNCTION("""COMPUTED_VALUE"""),"TCE")</f>
        <v>TCE</v>
      </c>
      <c r="C50" s="10" t="str">
        <f>IFERROR(__xludf.DUMMYFUNCTION("""COMPUTED_VALUE"""),"rare")</f>
        <v>rare</v>
      </c>
      <c r="D50" s="10" t="str">
        <f>IFERROR(__xludf.DUMMYFUNCTION("""COMPUTED_VALUE"""),"Wondrous Item, Spellcasting Focus")</f>
        <v>Wondrous Item, Spellcasting Focus</v>
      </c>
      <c r="E50" s="10" t="str">
        <f>IFERROR(__xludf.DUMMYFUNCTION("""COMPUTED_VALUE"""),"requires attunement by a sorcerer")</f>
        <v>requires attunement by a sorcerer</v>
      </c>
      <c r="F50" s="10"/>
      <c r="G50" s="10"/>
      <c r="H50" s="10"/>
      <c r="I50"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One target of the spell that you can see catches fire. The burning target takes 2d1"&amp;"0 fire damage at the start of its next turn, and then the flames go out.")</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One target of the spell that you can see catches fire. The burning target takes 2d10 fire damage at the start of its next turn, and then the flames go out.</v>
      </c>
      <c r="J50" s="18">
        <f>IFERROR(__xludf.DUMMYFUNCTION("""COMPUTED_VALUE"""),800.0)</f>
        <v>800</v>
      </c>
    </row>
    <row r="51">
      <c r="A51" s="8" t="str">
        <f>IFERROR(__xludf.DUMMYFUNCTION("""COMPUTED_VALUE"""),"Far Realm Shard")</f>
        <v>Far Realm Shard</v>
      </c>
      <c r="B51" s="8" t="str">
        <f>IFERROR(__xludf.DUMMYFUNCTION("""COMPUTED_VALUE"""),"TCE")</f>
        <v>TCE</v>
      </c>
      <c r="C51" s="8" t="str">
        <f>IFERROR(__xludf.DUMMYFUNCTION("""COMPUTED_VALUE"""),"rare")</f>
        <v>rare</v>
      </c>
      <c r="D51" s="8" t="str">
        <f>IFERROR(__xludf.DUMMYFUNCTION("""COMPUTED_VALUE"""),"Wondrous Item, Spellcasting Focus")</f>
        <v>Wondrous Item, Spellcasting Focus</v>
      </c>
      <c r="E51" s="8" t="str">
        <f>IFERROR(__xludf.DUMMYFUNCTION("""COMPUTED_VALUE"""),"requires attunement by a sorcerer")</f>
        <v>requires attunement by a sorcerer</v>
      </c>
      <c r="F51" s="8"/>
      <c r="G51" s="8"/>
      <c r="H51" s="8"/>
      <c r="I51" s="8" t="str">
        <f>IFERROR(__xludf.DUMMYFUNCTION("""COMPUTED_VALUE"""),"This writhing crystal is steeped in the warped essence of the Far Realm. As an action, you can attach the shard to a Tiny object (such as a weapon or a piece of jewelry) or detach it. It falls off if your attunement to it ends. You can use the shard as a "&amp;"spellcasting focus while you hold or wear it.When you use a Metamagic option on a spell while you are holding or wearing the shard, you can cause a slimy tentacle to rip through the fabric of reality and strike one creature you can see within 30 feet of y"&amp;"ou. The creature must succeed on a Charisma saving throw against your spell save DC or take 3d6 psychic damage and become frightened of you until the start of your next turn.")</f>
        <v>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v>
      </c>
      <c r="J51" s="19">
        <f>IFERROR(__xludf.DUMMYFUNCTION("""COMPUTED_VALUE"""),800.0)</f>
        <v>800</v>
      </c>
    </row>
    <row r="52">
      <c r="A52" s="10" t="str">
        <f>IFERROR(__xludf.DUMMYFUNCTION("""COMPUTED_VALUE"""),"Outer Essence Shard (Chaotic)")</f>
        <v>Outer Essence Shard (Chaotic)</v>
      </c>
      <c r="B52" s="10" t="str">
        <f>IFERROR(__xludf.DUMMYFUNCTION("""COMPUTED_VALUE"""),"TCE")</f>
        <v>TCE</v>
      </c>
      <c r="C52" s="10" t="str">
        <f>IFERROR(__xludf.DUMMYFUNCTION("""COMPUTED_VALUE"""),"rare")</f>
        <v>rare</v>
      </c>
      <c r="D52" s="10" t="str">
        <f>IFERROR(__xludf.DUMMYFUNCTION("""COMPUTED_VALUE"""),"Wondrous Item, Spellcasting Focus")</f>
        <v>Wondrous Item, Spellcasting Focus</v>
      </c>
      <c r="E52" s="10" t="str">
        <f>IFERROR(__xludf.DUMMYFUNCTION("""COMPUTED_VALUE"""),"requires attunement by a sorcerer")</f>
        <v>requires attunement by a sorcerer</v>
      </c>
      <c r="F52" s="10"/>
      <c r="G52" s="10"/>
      <c r="H52" s="10"/>
      <c r="I52"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has disadvantage on attack rolls "&amp;"and ability checks made before the start of your next turn.")</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has disadvantage on attack rolls and ability checks made before the start of your next turn.</v>
      </c>
      <c r="J52" s="18">
        <f>IFERROR(__xludf.DUMMYFUNCTION("""COMPUTED_VALUE"""),800.0)</f>
        <v>800</v>
      </c>
    </row>
    <row r="53">
      <c r="A53" s="8" t="str">
        <f>IFERROR(__xludf.DUMMYFUNCTION("""COMPUTED_VALUE"""),"Outer Essence Shard (Good)")</f>
        <v>Outer Essence Shard (Good)</v>
      </c>
      <c r="B53" s="8" t="str">
        <f>IFERROR(__xludf.DUMMYFUNCTION("""COMPUTED_VALUE"""),"TCE")</f>
        <v>TCE</v>
      </c>
      <c r="C53" s="8" t="str">
        <f>IFERROR(__xludf.DUMMYFUNCTION("""COMPUTED_VALUE"""),"rare")</f>
        <v>rare</v>
      </c>
      <c r="D53" s="8" t="str">
        <f>IFERROR(__xludf.DUMMYFUNCTION("""COMPUTED_VALUE"""),"Wondrous Item, Spellcasting Focus")</f>
        <v>Wondrous Item, Spellcasting Focus</v>
      </c>
      <c r="E53" s="8" t="str">
        <f>IFERROR(__xludf.DUMMYFUNCTION("""COMPUTED_VALUE"""),"requires attunement by a sorcerer")</f>
        <v>requires attunement by a sorcerer</v>
      </c>
      <c r="F53" s="8"/>
      <c r="G53" s="8"/>
      <c r="H53" s="8"/>
      <c r="I53" s="8"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You or one creature of your choice that you can see within 30 feet of you gains 3d6 temporary hit "&amp;"points.")</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You or one creature of your choice that you can see within 30 feet of you gains 3d6 temporary hit points.</v>
      </c>
      <c r="J53" s="36">
        <f>IFERROR(__xludf.DUMMYFUNCTION("""COMPUTED_VALUE"""),800.0)</f>
        <v>800</v>
      </c>
    </row>
    <row r="54">
      <c r="A54" s="10" t="str">
        <f>IFERROR(__xludf.DUMMYFUNCTION("""COMPUTED_VALUE"""),"Astral Shard")</f>
        <v>Astral Shard</v>
      </c>
      <c r="B54" s="10" t="str">
        <f>IFERROR(__xludf.DUMMYFUNCTION("""COMPUTED_VALUE"""),"TCE")</f>
        <v>TCE</v>
      </c>
      <c r="C54" s="10" t="str">
        <f>IFERROR(__xludf.DUMMYFUNCTION("""COMPUTED_VALUE"""),"rare")</f>
        <v>rare</v>
      </c>
      <c r="D54" s="10" t="str">
        <f>IFERROR(__xludf.DUMMYFUNCTION("""COMPUTED_VALUE"""),"Wondrous Item, Spellcasting Focus")</f>
        <v>Wondrous Item, Spellcasting Focus</v>
      </c>
      <c r="E54" s="10" t="str">
        <f>IFERROR(__xludf.DUMMYFUNCTION("""COMPUTED_VALUE"""),"requires attunement by a sorcerer")</f>
        <v>requires attunement by a sorcerer</v>
      </c>
      <c r="F54" s="10"/>
      <c r="G54" s="10"/>
      <c r="H54" s="10"/>
      <c r="I54" s="10" t="str">
        <f>IFERROR(__xludf.DUMMYFUNCTION("""COMPUTED_VALUE"""),"This crystal is a solidified shard of the Astral Plane, swirling with silver mist. As an action, you can attach the shard to a Tiny object (such as a weapon or a piece of jewelry) or detach it. It falls off if your attunement to it ends. You can use the s"&amp;"hard as a spellcasting focus while you hold or wear it. When you use a Metamagic option on a spell while you are holding or wearing the shard, immediately after casting the spell you can teleport to an unoccupied space you can see within 30 feet of you.")</f>
        <v>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v>
      </c>
      <c r="J54" s="18">
        <f>IFERROR(__xludf.DUMMYFUNCTION("""COMPUTED_VALUE"""),850.0)</f>
        <v>850</v>
      </c>
    </row>
    <row r="55">
      <c r="A55" s="8" t="str">
        <f>IFERROR(__xludf.DUMMYFUNCTION("""COMPUTED_VALUE"""),"Jester's Mask")</f>
        <v>Jester's Mask</v>
      </c>
      <c r="B55" s="8" t="str">
        <f>IFERROR(__xludf.DUMMYFUNCTION("""COMPUTED_VALUE"""),"BMT")</f>
        <v>BMT</v>
      </c>
      <c r="C55" s="8" t="str">
        <f>IFERROR(__xludf.DUMMYFUNCTION("""COMPUTED_VALUE"""),"legendary")</f>
        <v>legendary</v>
      </c>
      <c r="D55" s="8" t="str">
        <f>IFERROR(__xludf.DUMMYFUNCTION("""COMPUTED_VALUE"""),"Wondrous Item")</f>
        <v>Wondrous Item</v>
      </c>
      <c r="E55" s="8" t="str">
        <f>IFERROR(__xludf.DUMMYFUNCTION("""COMPUTED_VALUE"""),"requires attunement by a bard, sorcerer, or warlock")</f>
        <v>requires attunement by a bard, sorcerer, or warlock</v>
      </c>
      <c r="F55" s="8"/>
      <c r="G55" s="8"/>
      <c r="H55" s="8"/>
      <c r="I55" s="8" t="str">
        <f>IFERROR(__xludf.DUMMYFUNCTION("""COMPUTED_VALUE"""),"This colorful, harlequin domino mask is edged with pearls. While wearing this mask, you gain the following benefits:Charismatic Focus. You can use the mask as a spellcasting focus. Marvelous Escape. When a creature hits you with an attack roll, you can us"&amp;"e your reaction to disappear in a puff of smoke and colorful sparkles. You take no damage and instead teleport, along with anything you are wearing or carrying, to an unoccupied space you can see within 30 feet of yourself. Once this reaction is used, it "&amp;"can't be used again until the next dawn.Topsy-Turvy. When you roll a 1 on a d20, you can treat the roll as if you rolled a 20 instead. Once this property is used, it can't be used again until the next dawn.")</f>
        <v>This colorful, harlequin domino mask is edged with pearls. While wearing this mask, you gain the following benefits:Charismatic Focus. You can use the mask as a spellcasting focus. Marvelous Escape.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dawn.Topsy-Turvy. When you roll a 1 on a d20, you can treat the roll as if you rolled a 20 instead. Once this property is used, it can't be used again until the next dawn.</v>
      </c>
      <c r="J55" s="19">
        <f>IFERROR(__xludf.DUMMYFUNCTION("""COMPUTED_VALUE"""),850.0)</f>
        <v>850</v>
      </c>
    </row>
    <row r="56">
      <c r="A56" s="10" t="str">
        <f>IFERROR(__xludf.DUMMYFUNCTION("""COMPUTED_VALUE"""),"Outer Essence Shard (Evil)")</f>
        <v>Outer Essence Shard (Evil)</v>
      </c>
      <c r="B56" s="10" t="str">
        <f>IFERROR(__xludf.DUMMYFUNCTION("""COMPUTED_VALUE"""),"TCE")</f>
        <v>TCE</v>
      </c>
      <c r="C56" s="10" t="str">
        <f>IFERROR(__xludf.DUMMYFUNCTION("""COMPUTED_VALUE"""),"rare")</f>
        <v>rare</v>
      </c>
      <c r="D56" s="10" t="str">
        <f>IFERROR(__xludf.DUMMYFUNCTION("""COMPUTED_VALUE"""),"Wondrous Item, Spellcasting Focus")</f>
        <v>Wondrous Item, Spellcasting Focus</v>
      </c>
      <c r="E56" s="10" t="str">
        <f>IFERROR(__xludf.DUMMYFUNCTION("""COMPUTED_VALUE"""),"requires attunement by a sorcerer")</f>
        <v>requires attunement by a sorcerer</v>
      </c>
      <c r="F56" s="10"/>
      <c r="G56" s="10"/>
      <c r="H56" s="10"/>
      <c r="I56" s="10" t="str">
        <f>IFERROR(__xludf.DUMMYFUNCTION("""COMPUTED_VALUE"""),"This flickering crystal holds the essence of an Outer Plane. As an action, you can attach the shard to a Tiny object (such as a weapon or a piece of jewelry) or detach it. It falls off if your attunement to it ends. You can use the shard as a spellcasting"&amp;" focus while you hold or wear it.When you use a Metamagic option on a spell while you are holding or wearing the shard, you can use that property. Property. Choose one creature who takes damage from the spell. That target takes an extra 3d6 necrotic damag"&amp;"e.")</f>
        <v>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that property. Property. Choose one creature who takes damage from the spell. That target takes an extra 3d6 necrotic damage.</v>
      </c>
      <c r="J56" s="18">
        <f>IFERROR(__xludf.DUMMYFUNCTION("""COMPUTED_VALUE"""),1000.0)</f>
        <v>1000</v>
      </c>
    </row>
    <row r="57">
      <c r="A57" s="8" t="str">
        <f>IFERROR(__xludf.DUMMYFUNCTION("""COMPUTED_VALUE"""),"Elemental Essence Shard (Air)")</f>
        <v>Elemental Essence Shard (Air)</v>
      </c>
      <c r="B57" s="8" t="str">
        <f>IFERROR(__xludf.DUMMYFUNCTION("""COMPUTED_VALUE"""),"TCE")</f>
        <v>TCE</v>
      </c>
      <c r="C57" s="8" t="str">
        <f>IFERROR(__xludf.DUMMYFUNCTION("""COMPUTED_VALUE"""),"rare")</f>
        <v>rare</v>
      </c>
      <c r="D57" s="8" t="str">
        <f>IFERROR(__xludf.DUMMYFUNCTION("""COMPUTED_VALUE"""),"Wondrous Item, Spellcasting Focus")</f>
        <v>Wondrous Item, Spellcasting Focus</v>
      </c>
      <c r="E57" s="8" t="str">
        <f>IFERROR(__xludf.DUMMYFUNCTION("""COMPUTED_VALUE"""),"requires attunement by a sorcerer")</f>
        <v>requires attunement by a sorcerer</v>
      </c>
      <c r="F57" s="8"/>
      <c r="G57" s="8"/>
      <c r="H57" s="8"/>
      <c r="I57"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can immediately fly up to 60 feet without provoking opportunity attacks.")</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can immediately fly up to 60 feet without provoking opportunity attacks.</v>
      </c>
      <c r="J57" s="19">
        <f>IFERROR(__xludf.DUMMYFUNCTION("""COMPUTED_VALUE"""),1200.0)</f>
        <v>1200</v>
      </c>
    </row>
    <row r="58">
      <c r="A58" s="10" t="str">
        <f>IFERROR(__xludf.DUMMYFUNCTION("""COMPUTED_VALUE"""),"Elemental Essence Shard (Earth)")</f>
        <v>Elemental Essence Shard (Earth)</v>
      </c>
      <c r="B58" s="10" t="str">
        <f>IFERROR(__xludf.DUMMYFUNCTION("""COMPUTED_VALUE"""),"TCE")</f>
        <v>TCE</v>
      </c>
      <c r="C58" s="10" t="str">
        <f>IFERROR(__xludf.DUMMYFUNCTION("""COMPUTED_VALUE"""),"rare")</f>
        <v>rare</v>
      </c>
      <c r="D58" s="10" t="str">
        <f>IFERROR(__xludf.DUMMYFUNCTION("""COMPUTED_VALUE"""),"Wondrous Item, Spellcasting Focus")</f>
        <v>Wondrous Item, Spellcasting Focus</v>
      </c>
      <c r="E58" s="10" t="str">
        <f>IFERROR(__xludf.DUMMYFUNCTION("""COMPUTED_VALUE"""),"requires attunement by a sorcerer")</f>
        <v>requires attunement by a sorcerer</v>
      </c>
      <c r="F58" s="10"/>
      <c r="G58" s="10"/>
      <c r="H58" s="10"/>
      <c r="I58" s="10"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gain resistance to a damage type of your choice until the start of your next tu"&amp;"rn.")</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gain resistance to a damage type of your choice until the start of your next turn.</v>
      </c>
      <c r="J58" s="18">
        <f>IFERROR(__xludf.DUMMYFUNCTION("""COMPUTED_VALUE"""),1200.0)</f>
        <v>1200</v>
      </c>
    </row>
    <row r="59">
      <c r="A59" s="8" t="str">
        <f>IFERROR(__xludf.DUMMYFUNCTION("""COMPUTED_VALUE"""),"Elemental Essence Shard (Water)")</f>
        <v>Elemental Essence Shard (Water)</v>
      </c>
      <c r="B59" s="8" t="str">
        <f>IFERROR(__xludf.DUMMYFUNCTION("""COMPUTED_VALUE"""),"TCE")</f>
        <v>TCE</v>
      </c>
      <c r="C59" s="8" t="str">
        <f>IFERROR(__xludf.DUMMYFUNCTION("""COMPUTED_VALUE"""),"rare")</f>
        <v>rare</v>
      </c>
      <c r="D59" s="8" t="str">
        <f>IFERROR(__xludf.DUMMYFUNCTION("""COMPUTED_VALUE"""),"Wondrous Item, Spellcasting Focus")</f>
        <v>Wondrous Item, Spellcasting Focus</v>
      </c>
      <c r="E59" s="8" t="str">
        <f>IFERROR(__xludf.DUMMYFUNCTION("""COMPUTED_VALUE"""),"requires attunement by a sorcerer")</f>
        <v>requires attunement by a sorcerer</v>
      </c>
      <c r="F59" s="8"/>
      <c r="G59" s="8"/>
      <c r="H59" s="8"/>
      <c r="I59" s="8" t="str">
        <f>IFERROR(__xludf.DUMMYFUNCTION("""COMPUTED_VALUE"""),"This crackling crystal contains the essence of an elemental plane. As an action, you can attach the shard to a Tiny object (such as a weapon or a piece of jewelry) or detach it. It falls off if your attunement to it ends. You can use the shard as a spellc"&amp;"asting focus while you hold or wear it.When you use a Metamagic option on a spell while you are holding or wearing the shard, you can use the following property: Property. You create a wave of water that bursts out from you in a 10-foot radius. Each creat"&amp;"ure of your choice that you can see in that area takes 2d6 cold damage and must succeed on a Strength saving throw against your spell save DC or be pushed 10 feet away from you and fall prone.")</f>
        <v>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use the following property: Property. You create a wave of water that bursts out from you in a 10-foot radius. Each creature of your choice that you can see in that area takes 2d6 cold damage and must succeed on a Strength saving throw against your spell save DC or be pushed 10 feet away from you and fall prone.</v>
      </c>
      <c r="J59" s="19">
        <f>IFERROR(__xludf.DUMMYFUNCTION("""COMPUTED_VALUE"""),1200.0)</f>
        <v>1200</v>
      </c>
    </row>
    <row r="60">
      <c r="A60" s="10" t="str">
        <f>IFERROR(__xludf.DUMMYFUNCTION("""COMPUTED_VALUE"""),"Shadowfell Shard")</f>
        <v>Shadowfell Shard</v>
      </c>
      <c r="B60" s="10" t="str">
        <f>IFERROR(__xludf.DUMMYFUNCTION("""COMPUTED_VALUE"""),"TCE")</f>
        <v>TCE</v>
      </c>
      <c r="C60" s="10" t="str">
        <f>IFERROR(__xludf.DUMMYFUNCTION("""COMPUTED_VALUE"""),"rare")</f>
        <v>rare</v>
      </c>
      <c r="D60" s="10" t="str">
        <f>IFERROR(__xludf.DUMMYFUNCTION("""COMPUTED_VALUE"""),"Wondrous Item, Spellcasting Focus")</f>
        <v>Wondrous Item, Spellcasting Focus</v>
      </c>
      <c r="E60" s="10" t="str">
        <f>IFERROR(__xludf.DUMMYFUNCTION("""COMPUTED_VALUE"""),"requires attunement by a sorcerer")</f>
        <v>requires attunement by a sorcerer</v>
      </c>
      <c r="F60" s="10"/>
      <c r="G60" s="10"/>
      <c r="H60" s="10"/>
      <c r="I60" s="10" t="str">
        <f>IFERROR(__xludf.DUMMYFUNCTION("""COMPUTED_VALUE"""),"This dull, cold crystal sits heavy and leaden, saturated by the Shadowfell's despair. As an action, you can attach the shard to a Tiny object (such as a weapon or a piece of jewelry) or detach it. It falls off if your attunement to it ends. You can use th"&amp;"e shard as a spellcasting focus while you hold or wear it.When you use a Metamagic option on a spell while you are holding or wearing the shard, you can momentarily curse one creature targeted by the spell; choose one ability score, and until the end of y"&amp;"our next turn, the creature has disadvantage on ability checks and saving throws that use that ability.")</f>
        <v>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v>
      </c>
      <c r="J60" s="18">
        <f>IFERROR(__xludf.DUMMYFUNCTION("""COMPUTED_VALUE"""),1400.0)</f>
        <v>1400</v>
      </c>
    </row>
    <row r="61">
      <c r="A61" s="12"/>
      <c r="B61" s="12"/>
      <c r="C61" s="12"/>
      <c r="D61" s="12"/>
      <c r="E61" s="12"/>
      <c r="F61" s="12"/>
      <c r="G61" s="12"/>
      <c r="H61" s="12"/>
      <c r="I61" s="12"/>
      <c r="J61" s="21"/>
    </row>
    <row r="62">
      <c r="A62" s="6" t="s">
        <v>86</v>
      </c>
      <c r="J62" s="22"/>
    </row>
    <row r="63">
      <c r="A63" s="8" t="str">
        <f>IFERROR(__xludf.DUMMYFUNCTION("FILTER(MasterList_Hidden!A:J,Search(Left(A62,find("" "",A62)-1),MasterList_Hidden!K:K))"),"Rod of the Pact Keeper")</f>
        <v>Rod of the Pact Keeper</v>
      </c>
      <c r="B63" s="8" t="str">
        <f>IFERROR(__xludf.DUMMYFUNCTION("""COMPUTED_VALUE"""),"DMG'24")</f>
        <v>DMG'24</v>
      </c>
      <c r="C63" s="8" t="str">
        <f>IFERROR(__xludf.DUMMYFUNCTION("""COMPUTED_VALUE"""),"uncommon")</f>
        <v>uncommon</v>
      </c>
      <c r="D63" s="8" t="str">
        <f>IFERROR(__xludf.DUMMYFUNCTION("""COMPUTED_VALUE"""),"Wondrous Item, Rod")</f>
        <v>Wondrous Item, Rod</v>
      </c>
      <c r="E63" s="8" t="str">
        <f>IFERROR(__xludf.DUMMYFUNCTION("""COMPUTED_VALUE"""),"requires attunement by a warlock")</f>
        <v>requires attunement by a warlock</v>
      </c>
      <c r="F63" s="8"/>
      <c r="G63" s="8"/>
      <c r="H63" s="8"/>
      <c r="I63" s="8" t="str">
        <f>IFERROR(__xludf.DUMMYFUNCTION("""COMPUTED_VALUE"""),"You can regain one spell slot as a Magic action while holding the rod. You can't use this property again until you finish a Long Rest.")</f>
        <v>You can regain one spell slot as a Magic action while holding the rod. You can't use this property again until you finish a Long Rest.</v>
      </c>
      <c r="J63" s="19">
        <f>IFERROR(__xludf.DUMMYFUNCTION("""COMPUTED_VALUE"""),750.0)</f>
        <v>750</v>
      </c>
    </row>
    <row r="64">
      <c r="A64" s="10" t="str">
        <f>IFERROR(__xludf.DUMMYFUNCTION("""COMPUTED_VALUE"""),"Jester's Mask")</f>
        <v>Jester's Mask</v>
      </c>
      <c r="B64" s="10" t="str">
        <f>IFERROR(__xludf.DUMMYFUNCTION("""COMPUTED_VALUE"""),"BMT")</f>
        <v>BMT</v>
      </c>
      <c r="C64" s="10" t="str">
        <f>IFERROR(__xludf.DUMMYFUNCTION("""COMPUTED_VALUE"""),"legendary")</f>
        <v>legendary</v>
      </c>
      <c r="D64" s="10" t="str">
        <f>IFERROR(__xludf.DUMMYFUNCTION("""COMPUTED_VALUE"""),"Wondrous Item")</f>
        <v>Wondrous Item</v>
      </c>
      <c r="E64" s="10" t="str">
        <f>IFERROR(__xludf.DUMMYFUNCTION("""COMPUTED_VALUE"""),"requires attunement by a bard, sorcerer, or warlock")</f>
        <v>requires attunement by a bard, sorcerer, or warlock</v>
      </c>
      <c r="F64" s="10"/>
      <c r="G64" s="10"/>
      <c r="H64" s="10"/>
      <c r="I64" s="10" t="str">
        <f>IFERROR(__xludf.DUMMYFUNCTION("""COMPUTED_VALUE"""),"This colorful, harlequin domino mask is edged with pearls. While wearing this mask, you gain the following benefits:Charismatic Focus. You can use the mask as a spellcasting focus. Marvelous Escape. When a creature hits you with an attack roll, you can us"&amp;"e your reaction to disappear in a puff of smoke and colorful sparkles. You take no damage and instead teleport, along with anything you are wearing or carrying, to an unoccupied space you can see within 30 feet of yourself. Once this reaction is used, it "&amp;"can't be used again until the next dawn.Topsy-Turvy. When you roll a 1 on a d20, you can treat the roll as if you rolled a 20 instead. Once this property is used, it can't be used again until the next dawn.")</f>
        <v>This colorful, harlequin domino mask is edged with pearls. While wearing this mask, you gain the following benefits:Charismatic Focus. You can use the mask as a spellcasting focus. Marvelous Escape.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dawn.Topsy-Turvy. When you roll a 1 on a d20, you can treat the roll as if you rolled a 20 instead. Once this property is used, it can't be used again until the next dawn.</v>
      </c>
      <c r="J64" s="18">
        <f>IFERROR(__xludf.DUMMYFUNCTION("""COMPUTED_VALUE"""),850.0)</f>
        <v>850</v>
      </c>
    </row>
    <row r="65">
      <c r="A65" s="12"/>
      <c r="B65" s="12"/>
      <c r="C65" s="12"/>
      <c r="D65" s="12"/>
      <c r="E65" s="12"/>
      <c r="F65" s="12"/>
      <c r="G65" s="12"/>
      <c r="H65" s="12"/>
      <c r="I65" s="12"/>
      <c r="J65" s="21"/>
    </row>
    <row r="66">
      <c r="A66" s="6" t="s">
        <v>87</v>
      </c>
      <c r="J66" s="22"/>
    </row>
    <row r="67">
      <c r="A67" s="8" t="str">
        <f>IFERROR(__xludf.DUMMYFUNCTION("FILTER(MasterList_Hidden!A:J,Search(Left(A66,find("" "",A66)-1),MasterList_Hidden!K:K))"),"Duplicitous Manuscript")</f>
        <v>Duplicitous Manuscript</v>
      </c>
      <c r="B67" s="8" t="str">
        <f>IFERROR(__xludf.DUMMYFUNCTION("""COMPUTED_VALUE"""),"TCE")</f>
        <v>TCE</v>
      </c>
      <c r="C67" s="8" t="str">
        <f>IFERROR(__xludf.DUMMYFUNCTION("""COMPUTED_VALUE"""),"rare")</f>
        <v>rare</v>
      </c>
      <c r="D67" s="8" t="str">
        <f>IFERROR(__xludf.DUMMYFUNCTION("""COMPUTED_VALUE"""),"Wondrous Item, Spellcasting Focus")</f>
        <v>Wondrous Item, Spellcasting Focus</v>
      </c>
      <c r="E67" s="8" t="str">
        <f>IFERROR(__xludf.DUMMYFUNCTION("""COMPUTED_VALUE"""),"requires attunement by a wizard")</f>
        <v>requires attunement by a wizard</v>
      </c>
      <c r="F67" s="8"/>
      <c r="G67" s="8"/>
      <c r="H67" s="8"/>
      <c r="I67" s="8" t="str">
        <f>IFERROR(__xludf.DUMMYFUNCTION("""COMPUTED_VALUE"""),"To you, this book is a magical spellbook. To anyone else, the book appears to be a volume of verbose romance fiction. As an action, you can change the book's appearance and alter the plot of the romance. When found, the book contains the following spells:"&amp;" hallucinatory terrain, major image, mirror image, mislead, Nystul's magic aura, phantasmal force, and silent image. It functions as a spellbook for you.While you are holding the book, you can use it as a spellcasting focus for your wizard spells. The boo"&amp;"k has 3 charges, and it regains 1d3 expended charges daily at dawn. You can use the charges in the following ways while holding it:If you spend 1 minute studying the book, you can expend 1 charge to replace one of your prepared wizard spells with a differ"&amp;"ent spell in the book. The new spell must be of the illusion school. When a creature you can see makes an Intelligence (Investigation) check to discern the true nature of an illusion spell you cast, or makes a saving throw against an illusion spell you ca"&amp;"st, you can use your reaction and expend 1 charge to impose disadvantage on the roll.")</f>
        <v>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v>
      </c>
      <c r="J67" s="19">
        <f>IFERROR(__xludf.DUMMYFUNCTION("""COMPUTED_VALUE"""),550.0)</f>
        <v>550</v>
      </c>
    </row>
    <row r="68">
      <c r="A68" s="10" t="str">
        <f>IFERROR(__xludf.DUMMYFUNCTION("""COMPUTED_VALUE"""),"Alchemical Compendium")</f>
        <v>Alchemical Compendium</v>
      </c>
      <c r="B68" s="10" t="str">
        <f>IFERROR(__xludf.DUMMYFUNCTION("""COMPUTED_VALUE"""),"TCE")</f>
        <v>TCE</v>
      </c>
      <c r="C68" s="10" t="str">
        <f>IFERROR(__xludf.DUMMYFUNCTION("""COMPUTED_VALUE"""),"rare")</f>
        <v>rare</v>
      </c>
      <c r="D68" s="10" t="str">
        <f>IFERROR(__xludf.DUMMYFUNCTION("""COMPUTED_VALUE"""),"Wondrous Item, Spellcasting Focus")</f>
        <v>Wondrous Item, Spellcasting Focus</v>
      </c>
      <c r="E68" s="10" t="str">
        <f>IFERROR(__xludf.DUMMYFUNCTION("""COMPUTED_VALUE"""),"requires attunement by a wizard")</f>
        <v>requires attunement by a wizard</v>
      </c>
      <c r="F68" s="10"/>
      <c r="G68" s="10"/>
      <c r="H68" s="10"/>
      <c r="I68" s="10" t="str">
        <f>IFERROR(__xludf.DUMMYFUNCTION("""COMPUTED_VALUE"""),"Acrid odors cling to this stained, heavy volume. The book's metal fittings are copper, iron, lead, silver, and gold, some frozen mid-transition from one metal to another. When found, the book contains the following spells: enlarge/reduce, feather fall, fl"&amp;"esh to stone, gaseous form, magic weapon, and polymorph. It functions as a spellbook for you.While you are holding the book, you can use it as a spellcasting focus for your wizard spells.The book has 3 charges, and it regains 1d3 expended charges daily at"&amp;" dawn. You can use the charges in the following ways while holding it:If you spend 1 minute studying the book, you can expend 1 charge to replace one of your prepared wizard spells with a different spell in the book. The new spell must be of the transmuta"&amp;"tion school.As an action, you can touch a nonmagical object that isn't being worn or carried and spend a number of charges to transform the target into another object. For 1 charge, the object can be no larger than 1 foot on a side. You can spend addition"&amp;"al charges to increase the maximum dimensions by 2 feet per charge. The new object must have a gold value equal to or less than the original.")</f>
        <v>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you.While you are holding the book, you can use it as a spellcasting focus for your wizard spells.The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transmutation school.As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v>
      </c>
      <c r="J68" s="18">
        <f>IFERROR(__xludf.DUMMYFUNCTION("""COMPUTED_VALUE"""),650.0)</f>
        <v>650</v>
      </c>
    </row>
    <row r="69">
      <c r="A69" s="8" t="str">
        <f>IFERROR(__xludf.DUMMYFUNCTION("""COMPUTED_VALUE"""),"Arcane Grimoire")</f>
        <v>Arcane Grimoire</v>
      </c>
      <c r="B69" s="8" t="str">
        <f>IFERROR(__xludf.DUMMYFUNCTION("""COMPUTED_VALUE"""),"TCE")</f>
        <v>TCE</v>
      </c>
      <c r="C69" s="8" t="str">
        <f>IFERROR(__xludf.DUMMYFUNCTION("""COMPUTED_VALUE"""),"uncommon")</f>
        <v>uncommon</v>
      </c>
      <c r="D69" s="8" t="str">
        <f>IFERROR(__xludf.DUMMYFUNCTION("""COMPUTED_VALUE"""),"Wondrous Item, Spellcasting Focus")</f>
        <v>Wondrous Item, Spellcasting Focus</v>
      </c>
      <c r="E69" s="8" t="str">
        <f>IFERROR(__xludf.DUMMYFUNCTION("""COMPUTED_VALUE"""),"requires attunement by a wizard")</f>
        <v>requires attunement by a wizard</v>
      </c>
      <c r="F69" s="8"/>
      <c r="G69" s="8"/>
      <c r="H69" s="8"/>
      <c r="I69" s="8" t="str">
        <f>IFERROR(__xludf.DUMMYFUNCTION("""COMPUTED_VALUE"""),"While you are holding this leather-bound book, you can use it as a spellcasting focus for your wizard spells.You can use this book as a spellbook. In addition, when you use your Arcane Recovery feature, you can increase the number of spell slot levels you"&amp;" regain by 1.")</f>
        <v>While you are holding this leather-bound book, you can use it as a spellcasting focus for your wizard spells.You can use this book as a spellbook. In addition, when you use your Arcane Recovery feature, you can increase the number of spell slot levels you regain by 1.</v>
      </c>
      <c r="J69" s="19">
        <f>IFERROR(__xludf.DUMMYFUNCTION("""COMPUTED_VALUE"""),750.0)</f>
        <v>750</v>
      </c>
    </row>
    <row r="70">
      <c r="A70" s="10" t="str">
        <f>IFERROR(__xludf.DUMMYFUNCTION("""COMPUTED_VALUE"""),"Astromancy Archive")</f>
        <v>Astromancy Archive</v>
      </c>
      <c r="B70" s="10" t="str">
        <f>IFERROR(__xludf.DUMMYFUNCTION("""COMPUTED_VALUE"""),"TCE")</f>
        <v>TCE</v>
      </c>
      <c r="C70" s="10" t="str">
        <f>IFERROR(__xludf.DUMMYFUNCTION("""COMPUTED_VALUE"""),"rare")</f>
        <v>rare</v>
      </c>
      <c r="D70" s="10" t="str">
        <f>IFERROR(__xludf.DUMMYFUNCTION("""COMPUTED_VALUE"""),"Wondrous Item, Spellcasting Focus")</f>
        <v>Wondrous Item, Spellcasting Focus</v>
      </c>
      <c r="E70" s="10" t="str">
        <f>IFERROR(__xludf.DUMMYFUNCTION("""COMPUTED_VALUE"""),"requires attunement by a wizard")</f>
        <v>requires attunement by a wizard</v>
      </c>
      <c r="F70" s="10"/>
      <c r="G70" s="10"/>
      <c r="H70" s="10"/>
      <c r="I70" s="10" t="str">
        <f>IFERROR(__xludf.DUMMYFUNCTION("""COMPUTED_VALUE"""),"This brass disc of articulated, concentric rings unfolds into an armillary sphere. As a bonus action, you can unfold it into the sphere or back into a disc. When found, it contains the following spells, which are wizard spells for you while you are attune"&amp;"d to it: augury, divination, find the path, foresight, locate creature, and locate object. It functions as a spellbook for you, with spells encoded on the rings.While you are holding the archive, you can use it as a spellcasting focus for your wizard spel"&amp;"ls.The archive has 3 charges, and it regains 1d3 expended charges daily at dawn. You can use the charges in the following ways while holding it:If you spend 1 minute studying the archive, you can expend 1 charge to replace one of your prepared wizard spel"&amp;"ls with a different spell in the archive. The new spell must be of the divination school. When a creature you can see within 30 feet of you makes an attack roll, an ability check, or a saving throw, you can use your reaction to expend 1 charge and force t"&amp;"he creature to roll a d4 and apply the number rolled as a bonus or penalty (your choice) to the original roll. You can do this after you see the roll but before its effects are applied.")</f>
        <v>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rings.While you are holding the archive, you can use it as a spellcasting focus for your wizard spells.The archive has 3 charges, and it regains 1d3 expended charges daily at dawn. You can use the charges in the following ways while holding it:If you spend 1 minute studying the archive, you can expend 1 charge to replace one of your prepared wizard spells with a different spell in the archive. The new spell must be of the divination school.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v>
      </c>
      <c r="J70" s="18">
        <f>IFERROR(__xludf.DUMMYFUNCTION("""COMPUTED_VALUE"""),750.0)</f>
        <v>750</v>
      </c>
    </row>
    <row r="71">
      <c r="A71" s="8" t="str">
        <f>IFERROR(__xludf.DUMMYFUNCTION("""COMPUTED_VALUE"""),"Protective Verses")</f>
        <v>Protective Verses</v>
      </c>
      <c r="B71" s="8" t="str">
        <f>IFERROR(__xludf.DUMMYFUNCTION("""COMPUTED_VALUE"""),"TCE")</f>
        <v>TCE</v>
      </c>
      <c r="C71" s="8" t="str">
        <f>IFERROR(__xludf.DUMMYFUNCTION("""COMPUTED_VALUE"""),"rare")</f>
        <v>rare</v>
      </c>
      <c r="D71" s="8" t="str">
        <f>IFERROR(__xludf.DUMMYFUNCTION("""COMPUTED_VALUE"""),"Wondrous Item, Spellcasting Focus")</f>
        <v>Wondrous Item, Spellcasting Focus</v>
      </c>
      <c r="E71" s="8" t="str">
        <f>IFERROR(__xludf.DUMMYFUNCTION("""COMPUTED_VALUE"""),"requires attunement by a wizard")</f>
        <v>requires attunement by a wizard</v>
      </c>
      <c r="F71" s="8"/>
      <c r="G71" s="8"/>
      <c r="H71" s="8"/>
      <c r="I71" s="8" t="str">
        <f>IFERROR(__xludf.DUMMYFUNCTION("""COMPUTED_VALUE"""),"This leather-bound spellbook is reinforced with iron and silver fittings and an iron lock (DC 20 to open). As an action, you can touch the book's cover and cause it to lock as if you cast arcane lock on it. When found, the book contains the following spel"&amp;"ls: arcane lock, dispel magic, globe of invulnerability, glyph of warding, Mordenkainen's private sanctum, protection from evil, and symbol. It functions as a spellbook for you. While you are holding the book, you can use it as a spellcasting focus for yo"&amp;"ur wizard spells. The book has 3 charges, and it regains 1d3 expended charges daily at dawn. You can use the charges in the following ways while holding it:If you spend 1 minute studying the book, you can expend 1 charge to replace one of your prepared wi"&amp;"zard spells with a different spell in the book. The new spell must be of the abjuration school. When you cast an abjuration spell, you can expend 1 charge to grant a creature you can see within 30 feet of you 2d10 temporary hit points.")</f>
        <v>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symbol.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abjuration school. When you cast an abjuration spell, you can expend 1 charge to grant a creature you can see within 30 feet of you 2d10 temporary hit points.</v>
      </c>
      <c r="J71" s="19">
        <f>IFERROR(__xludf.DUMMYFUNCTION("""COMPUTED_VALUE"""),750.0)</f>
        <v>750</v>
      </c>
    </row>
    <row r="72">
      <c r="A72" s="10" t="str">
        <f>IFERROR(__xludf.DUMMYFUNCTION("""COMPUTED_VALUE"""),"Crystalline Chronicle")</f>
        <v>Crystalline Chronicle</v>
      </c>
      <c r="B72" s="10" t="str">
        <f>IFERROR(__xludf.DUMMYFUNCTION("""COMPUTED_VALUE"""),"TCE")</f>
        <v>TCE</v>
      </c>
      <c r="C72" s="10" t="str">
        <f>IFERROR(__xludf.DUMMYFUNCTION("""COMPUTED_VALUE"""),"very rare")</f>
        <v>very rare</v>
      </c>
      <c r="D72" s="10" t="str">
        <f>IFERROR(__xludf.DUMMYFUNCTION("""COMPUTED_VALUE"""),"Wondrous Item, Spellcasting Focus")</f>
        <v>Wondrous Item, Spellcasting Focus</v>
      </c>
      <c r="E72" s="10" t="str">
        <f>IFERROR(__xludf.DUMMYFUNCTION("""COMPUTED_VALUE"""),"requires attunement by a wizard")</f>
        <v>requires attunement by a wizard</v>
      </c>
      <c r="F72" s="10"/>
      <c r="G72" s="10"/>
      <c r="H72" s="10"/>
      <c r="I72" s="10" t="str">
        <f>IFERROR(__xludf.DUMMYFUNCTION("""COMPUTED_VALUE"""),"An etched crystal sphere the size of a grapefruit hums faintly and pulses with irregular flares of inner light. While you are touching the crystal, you can retrieve and store information and spells within the crystal at the same rate as reading and writin"&amp;"g. When found, the crystal contains the following spells: detect thoughts, intellect fortress, Rary's telepathic bond, sending, telekinesis, Tasha's mind whip, and Tenser's floating disk. It functions as a spellbook for you, with its spells and other writ"&amp;"ing psychically encoded within it.While you are holding the crystal, you can use it as a spellcasting focus for your wizard spells, and you know the mage hand, mind sliver (appears in this book), and message cantrips if you don't already know them.The cry"&amp;"stal has 3 charges, and it regains 1d3 expended charges daily at dawn. You can use the charges in the following ways while holding it:If you spend 1 minute studying the information within the crystal, you can expend 1 charge to replace one of your prepare"&amp;"d wizard spells with a different spell in the book.When you cast a wizard spell, you can expend 1 charge to cast the spell without verbal, somatic, or material components of up to 100 gp value.")</f>
        <v>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it.While you are holding the crystal, you can use it as a spellcasting focus for your wizard spells, and you know the mage hand, mind sliver (appears in this book), and message cantrips if you don't already know them.The crystal has 3 charges, and it regains 1d3 expended charges daily at dawn. You can use the charges in the following ways while holding it:If you spend 1 minute studying the information within the crystal, you can expend 1 charge to replace one of your prepared wizard spells with a different spell in the book.When you cast a wizard spell, you can expend 1 charge to cast the spell without verbal, somatic, or material components of up to 100 gp value.</v>
      </c>
      <c r="J72" s="18">
        <f>IFERROR(__xludf.DUMMYFUNCTION("""COMPUTED_VALUE"""),750.0)</f>
        <v>750</v>
      </c>
    </row>
    <row r="73">
      <c r="A73" s="8" t="str">
        <f>IFERROR(__xludf.DUMMYFUNCTION("""COMPUTED_VALUE"""),"Fulminating Treatise")</f>
        <v>Fulminating Treatise</v>
      </c>
      <c r="B73" s="8" t="str">
        <f>IFERROR(__xludf.DUMMYFUNCTION("""COMPUTED_VALUE"""),"TCE")</f>
        <v>TCE</v>
      </c>
      <c r="C73" s="8" t="str">
        <f>IFERROR(__xludf.DUMMYFUNCTION("""COMPUTED_VALUE"""),"rare")</f>
        <v>rare</v>
      </c>
      <c r="D73" s="8" t="str">
        <f>IFERROR(__xludf.DUMMYFUNCTION("""COMPUTED_VALUE"""),"Wondrous Item, Spellcasting Focus")</f>
        <v>Wondrous Item, Spellcasting Focus</v>
      </c>
      <c r="E73" s="8" t="str">
        <f>IFERROR(__xludf.DUMMYFUNCTION("""COMPUTED_VALUE"""),"requires attunement by a wizard")</f>
        <v>requires attunement by a wizard</v>
      </c>
      <c r="F73" s="8"/>
      <c r="G73" s="8"/>
      <c r="H73" s="8"/>
      <c r="I73" s="8" t="str">
        <f>IFERROR(__xludf.DUMMYFUNCTION("""COMPUTED_VALUE"""),"This thick, scorched spellbook reeks of smoke and ozone, and sparks of energy crackles along the edges of its pages. When found, the book contains the following spells: contingency, fireball, gust of wind, Leomund's tiny hut, magic missile, thunderwave, a"&amp;"nd wall of force. It functions as a spellbook for you. While you are holding the book, you can use it as a spellcasting focus for your wizard spells. The book has 3 charges, and it regains 1d3 expended charges daily at dawn. You can use the charges in the"&amp;" following ways while holding it:If you spend 1 minute studying the book, you can expend 1 charge to replace one of your prepared wizard spells with a different spell in the book. The new spell must be of the evocation school .When one creature you can se"&amp;"e takes damage from an evocation spell you cast, you can use your reaction and expend 1 charge to deal an extra 2d6 force damage to the creature and knock the creature prone if it is Large or smaller.")</f>
        <v>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v>
      </c>
      <c r="J73" s="19">
        <f>IFERROR(__xludf.DUMMYFUNCTION("""COMPUTED_VALUE"""),950.0)</f>
        <v>950</v>
      </c>
    </row>
    <row r="74">
      <c r="A74" s="10" t="str">
        <f>IFERROR(__xludf.DUMMYFUNCTION("""COMPUTED_VALUE"""),"Libram of Souls and Flesh")</f>
        <v>Libram of Souls and Flesh</v>
      </c>
      <c r="B74" s="10" t="str">
        <f>IFERROR(__xludf.DUMMYFUNCTION("""COMPUTED_VALUE"""),"TCE")</f>
        <v>TCE</v>
      </c>
      <c r="C74" s="10" t="str">
        <f>IFERROR(__xludf.DUMMYFUNCTION("""COMPUTED_VALUE"""),"rare")</f>
        <v>rare</v>
      </c>
      <c r="D74" s="10" t="str">
        <f>IFERROR(__xludf.DUMMYFUNCTION("""COMPUTED_VALUE"""),"Wondrous Item, Spellcasting Focus")</f>
        <v>Wondrous Item, Spellcasting Focus</v>
      </c>
      <c r="E74" s="10" t="str">
        <f>IFERROR(__xludf.DUMMYFUNCTION("""COMPUTED_VALUE"""),"requires attunement by a wizard")</f>
        <v>requires attunement by a wizard</v>
      </c>
      <c r="F74" s="10"/>
      <c r="G74" s="10"/>
      <c r="H74" s="10"/>
      <c r="I74" s="10" t="str">
        <f>IFERROR(__xludf.DUMMYFUNCTION("""COMPUTED_VALUE"""),"With covers made of skin and fittings of bone, this tome is cold to the touch, and it whispers faintly. When found, the book contains the following spells, which are wizard spells for you while you are attuned to the book: animate dead, circle of death, f"&amp;"alse life, finger of death, speak with dead, summon undead, and vampiric touch. It functions as a spellbook for you.While you are holding the book, you can use it as a spellcasting focus for your wizard spells. The book has 3 charges, and it regains 1d3 e"&amp;"xpended charges daily at dawn. You can use the charges in the following ways while holding it:If you spend 1 minute studying the book, you can expend 1 charge to replace one of your prepared wizard spells with a different spell in the book. The new spell "&amp;"must be of the necromancy school. As an action, you can expend 1 charge to take on a semblance of undeath for 10 minutes. For the duration, you take on a deathly appearance, and undead creatures are indifferent to you, unless you have damaged them. You al"&amp;"so appear undead to all outward inspection and to spells used to determine the target's status. The effect ends if you deal damage or force a creature to make a saving throw.")</f>
        <v>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and vampiric touch.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necromancy school.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v>
      </c>
      <c r="J74" s="18">
        <f>IFERROR(__xludf.DUMMYFUNCTION("""COMPUTED_VALUE"""),950.0)</f>
        <v>950</v>
      </c>
    </row>
    <row r="75">
      <c r="A75" s="8" t="str">
        <f>IFERROR(__xludf.DUMMYFUNCTION("""COMPUTED_VALUE"""),"Heart Weaver's Primer")</f>
        <v>Heart Weaver's Primer</v>
      </c>
      <c r="B75" s="8" t="str">
        <f>IFERROR(__xludf.DUMMYFUNCTION("""COMPUTED_VALUE"""),"TCE")</f>
        <v>TCE</v>
      </c>
      <c r="C75" s="8" t="str">
        <f>IFERROR(__xludf.DUMMYFUNCTION("""COMPUTED_VALUE"""),"rare")</f>
        <v>rare</v>
      </c>
      <c r="D75" s="8" t="str">
        <f>IFERROR(__xludf.DUMMYFUNCTION("""COMPUTED_VALUE"""),"Wondrous Item, Spellcasting Focus")</f>
        <v>Wondrous Item, Spellcasting Focus</v>
      </c>
      <c r="E75" s="8" t="str">
        <f>IFERROR(__xludf.DUMMYFUNCTION("""COMPUTED_VALUE"""),"requires attunement by a wizard")</f>
        <v>requires attunement by a wizard</v>
      </c>
      <c r="F75" s="8"/>
      <c r="G75" s="8"/>
      <c r="H75" s="8"/>
      <c r="I75" s="8" t="str">
        <f>IFERROR(__xludf.DUMMYFUNCTION("""COMPUTED_VALUE"""),"This pristine book smells faintly of a random scent you find pleasing. When found, the book contains the following spells: antipathy/sympathy, charm person, dominate person, enthrall, hypnotic pattern, modify memory, and suggestion. It functions as a spel"&amp;"lbook for you. While you are holding the book, you can use it as a spellcasting focus for your wizard spells. The book has 3 charges, and it regains 1d3 expended charges daily at dawn. You can use the charges in the following ways while holding it:If you "&amp;"spend 1 minute studying the book, you can expend 1 charge to replace one of your prepared wizard spells with a different spell in the book. The new spell must be of the enchantment school. When you cast an enchantment spell, you can expend 1 charge to imp"&amp;"ose disadvantage on the first saving throw one target makes against the spell.")</f>
        <v>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enchantment school. When you cast an enchantment spell, you can expend 1 charge to impose disadvantage on the first saving throw one target makes against the spell.</v>
      </c>
      <c r="J75" s="19">
        <f>IFERROR(__xludf.DUMMYFUNCTION("""COMPUTED_VALUE"""),1000.0)</f>
        <v>1000</v>
      </c>
    </row>
    <row r="76">
      <c r="A76" s="10" t="str">
        <f>IFERROR(__xludf.DUMMYFUNCTION("""COMPUTED_VALUE"""),"Planecaller's Codex")</f>
        <v>Planecaller's Codex</v>
      </c>
      <c r="B76" s="10" t="str">
        <f>IFERROR(__xludf.DUMMYFUNCTION("""COMPUTED_VALUE"""),"TCE")</f>
        <v>TCE</v>
      </c>
      <c r="C76" s="10" t="str">
        <f>IFERROR(__xludf.DUMMYFUNCTION("""COMPUTED_VALUE"""),"rare")</f>
        <v>rare</v>
      </c>
      <c r="D76" s="10" t="str">
        <f>IFERROR(__xludf.DUMMYFUNCTION("""COMPUTED_VALUE"""),"Wondrous Item, Spellcasting Focus")</f>
        <v>Wondrous Item, Spellcasting Focus</v>
      </c>
      <c r="E76" s="10" t="str">
        <f>IFERROR(__xludf.DUMMYFUNCTION("""COMPUTED_VALUE"""),"requires attunement by a wizard")</f>
        <v>requires attunement by a wizard</v>
      </c>
      <c r="F76" s="10"/>
      <c r="G76" s="10"/>
      <c r="H76" s="10"/>
      <c r="I76" s="10" t="str">
        <f>IFERROR(__xludf.DUMMYFUNCTION("""COMPUTED_VALUE"""),"The pages of this book are bound in fiend hide, and its cover is embossed with a diagram of the Great Wheel of the multiverse. When found, the book contains the following spells: banishment, find familiar, gate, magic circle, planar binding, and summon el"&amp;"emental. It functions as a spellbook for you. While you are holding the book, you can use it as a spellcasting focus for your wizard spells. The book has 3 charges, and it regains 1d3 expended charges daily at dawn. You can use the charges in the followin"&amp;"g ways while holding it:If you spend 1 minute studying the book, you can expend 1 charge to replace one of your prepared wizard spells with a different spell in the book. The new spell must be of the conjuration school. When you cast a conjuration spell t"&amp;"hat summons or creates one creature, you can expend 1 charge to grant that creature advantage on attack rolls for 1 minute.")</f>
        <v>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cast a conjuration spell that summons or creates one creature, you can expend 1 charge to grant that creature advantage on attack rolls for 1 minute.</v>
      </c>
      <c r="J76" s="20">
        <f>IFERROR(__xludf.DUMMYFUNCTION("""COMPUTED_VALUE"""),1000.0)</f>
        <v>1000</v>
      </c>
    </row>
    <row r="77">
      <c r="A77" s="8" t="str">
        <f>IFERROR(__xludf.DUMMYFUNCTION("""COMPUTED_VALUE"""),"Atlas of Endless Horizons")</f>
        <v>Atlas of Endless Horizons</v>
      </c>
      <c r="B77" s="8" t="str">
        <f>IFERROR(__xludf.DUMMYFUNCTION("""COMPUTED_VALUE"""),"TCE")</f>
        <v>TCE</v>
      </c>
      <c r="C77" s="8" t="str">
        <f>IFERROR(__xludf.DUMMYFUNCTION("""COMPUTED_VALUE"""),"rare")</f>
        <v>rare</v>
      </c>
      <c r="D77" s="8" t="str">
        <f>IFERROR(__xludf.DUMMYFUNCTION("""COMPUTED_VALUE"""),"Wondrous Item, Spellcasting Focus")</f>
        <v>Wondrous Item, Spellcasting Focus</v>
      </c>
      <c r="E77" s="8" t="str">
        <f>IFERROR(__xludf.DUMMYFUNCTION("""COMPUTED_VALUE"""),"requires attunement by a wizard")</f>
        <v>requires attunement by a wizard</v>
      </c>
      <c r="F77" s="8"/>
      <c r="G77" s="8"/>
      <c r="H77" s="8"/>
      <c r="I77" s="8" t="str">
        <f>IFERROR(__xludf.DUMMYFUNCTION("""COMPUTED_VALUE"""),"This thick book is bound in dark leather, crisscrossed with inlaid silver lines suggesting a map or chart. When found, the book contains the following spells, which are wizard spells for you while you are attuned to the book: arcane gate, dimension door, "&amp;"gate, misty step, plane shift, teleportation circle, and word of recall. It functions as a spellbook for you.While you are holding the book, you can use it as a spellcasting focus for your wizard spells. The book has 3 charges, and it regains 1d3 expended"&amp;" charges daily at dawn. You can use the charges in the following ways while holding it:If you spend 1 minute studying the book, you can expend 1 charge to replace one of your prepared wizard spells with a different spell in the book. The new spell must be"&amp;" of the conjuration school. When you are hit by an attack, you can use your reaction to expend 1 charge to teleport up to 10 feet to an unoccupied space you can see. If your new position is out of range of the attack, it misses you.")</f>
        <v>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spellbook for you.While you are holding the book, you can use it as a spellcasting focus for your wizard spells. The book has 3 charges, and it regains 1d3 expended charges daily at dawn. You can use the charges in the following ways while holding it:If you spend 1 minute studying the book, you can expend 1 charge to replace one of your prepared wizard spells with a different spell in the book. The new spell must be of the conjuration school. When you are hit by an attack, you can use your reaction to expend 1 charge to teleport up to 10 feet to an unoccupied space you can see. If your new position is out of range of the attack, it misses you.</v>
      </c>
      <c r="J77" s="19">
        <f>IFERROR(__xludf.DUMMYFUNCTION("""COMPUTED_VALUE"""),1200.0)</f>
        <v>1200</v>
      </c>
    </row>
    <row r="78">
      <c r="A78" s="10" t="str">
        <f>IFERROR(__xludf.DUMMYFUNCTION("""COMPUTED_VALUE"""),"Sun Staff")</f>
        <v>Sun Staff</v>
      </c>
      <c r="B78" s="10" t="str">
        <f>IFERROR(__xludf.DUMMYFUNCTION("""COMPUTED_VALUE"""),"BMT")</f>
        <v>BMT</v>
      </c>
      <c r="C78" s="10" t="str">
        <f>IFERROR(__xludf.DUMMYFUNCTION("""COMPUTED_VALUE"""),"rare")</f>
        <v>rare</v>
      </c>
      <c r="D78" s="10" t="str">
        <f>IFERROR(__xludf.DUMMYFUNCTION("""COMPUTED_VALUE"""),"Simple Weapon, Melee Weapon")</f>
        <v>Simple Weapon, Melee Weapon</v>
      </c>
      <c r="E78" s="10" t="str">
        <f>IFERROR(__xludf.DUMMYFUNCTION("""COMPUTED_VALUE"""),"requires attunement by a cleric, druid, or wizard")</f>
        <v>requires attunement by a cleric, druid, or wizard</v>
      </c>
      <c r="F78" s="10" t="str">
        <f>IFERROR(__xludf.DUMMYFUNCTION("""COMPUTED_VALUE"""),"1d6 Bludgeoning")</f>
        <v>1d6 Bludgeoning</v>
      </c>
      <c r="G78" s="10" t="str">
        <f>IFERROR(__xludf.DUMMYFUNCTION("""COMPUTED_VALUE"""),"versatile (1d8)")</f>
        <v>versatile (1d8)</v>
      </c>
      <c r="H78" s="10"/>
      <c r="I78" s="10" t="str">
        <f>IFERROR(__xludf.DUMMYFUNCTION("""COMPUTED_VALUE"""),"Veins of sunstone run through this wooden staff. This staff can be wielded as a magic quarterstaff. When you hit with an attack roll using this staff, the target takes an extra 1d8 fire damage. Solar Focus. You can use the staff as a spellcasting focus. W"&amp;"hile holding the staff, you can reroll a number of damage dice up to your proficiency bonus when you use a spell slot to cast a spell that deals fire or radiant damage. You must use the new rolls. Once this property is used, it can't be used again until t"&amp;"he next dawn. Sunny Glow. As a bonus action, you can cause the staff to glow with sunlight. While glowing, the staff sheds bright light in a 15-foot radius and dim light for an additional 15 feet. The light lasts until you use another bonus action to exti"&amp;"nguish it. Versatile. This weapon can be used with one or two hands. A damage value in parentheses appears with the property the damage when the weapon is used with two hands to make a melee attack.")</f>
        <v>Veins of sunstone run through this wooden staff. This staff can be wielded as a magic quarterstaff.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 Versatile. This weapon can be used with one or two hands. A damage value in parentheses appears with the property the damage when the weapon is used with two hands to make a melee attack.</v>
      </c>
      <c r="J78" s="18">
        <f>IFERROR(__xludf.DUMMYFUNCTION("""COMPUTED_VALUE"""),1400.0)</f>
        <v>1400</v>
      </c>
    </row>
    <row r="79">
      <c r="A79" s="12"/>
      <c r="B79" s="12"/>
      <c r="C79" s="12"/>
      <c r="D79" s="12"/>
      <c r="E79" s="12"/>
      <c r="F79" s="12"/>
      <c r="G79" s="12"/>
      <c r="H79" s="12"/>
      <c r="I79" s="12"/>
      <c r="J79" s="21"/>
    </row>
    <row r="80">
      <c r="A80" s="6" t="s">
        <v>88</v>
      </c>
      <c r="J80" s="22"/>
    </row>
    <row r="81">
      <c r="A81" s="8" t="str">
        <f>IFERROR(__xludf.DUMMYFUNCTION("FILTER(MasterList_Hidden!A:J,Search(Left(A80,find("" "",A80)-1),MasterList_Hidden!K:K))"),"Wand of the War Mage")</f>
        <v>Wand of the War Mage</v>
      </c>
      <c r="B81" s="8" t="str">
        <f>IFERROR(__xludf.DUMMYFUNCTION("""COMPUTED_VALUE"""),"DMG'24")</f>
        <v>DMG'24</v>
      </c>
      <c r="C81" s="8" t="str">
        <f>IFERROR(__xludf.DUMMYFUNCTION("""COMPUTED_VALUE"""),"uncommon")</f>
        <v>uncommon</v>
      </c>
      <c r="D81" s="8" t="str">
        <f>IFERROR(__xludf.DUMMYFUNCTION("""COMPUTED_VALUE"""),"Wand")</f>
        <v>Wand</v>
      </c>
      <c r="E81" s="8" t="str">
        <f>IFERROR(__xludf.DUMMYFUNCTION("""COMPUTED_VALUE"""),"requires attunement by a spellcaster")</f>
        <v>requires attunement by a spellcaster</v>
      </c>
      <c r="F81" s="8"/>
      <c r="G81" s="8"/>
      <c r="H81" s="8"/>
      <c r="I81" s="8" t="str">
        <f>IFERROR(__xludf.DUMMYFUNCTION("""COMPUTED_VALUE"""),"You ignore Half Cover when making a spell attack roll when using this wand.")</f>
        <v>You ignore Half Cover when making a spell attack roll when using this wand.</v>
      </c>
      <c r="J81" s="19">
        <f>IFERROR(__xludf.DUMMYFUNCTION("""COMPUTED_VALUE"""),200.0)</f>
        <v>200</v>
      </c>
    </row>
    <row r="82">
      <c r="A82" s="10" t="str">
        <f>IFERROR(__xludf.DUMMYFUNCTION("""COMPUTED_VALUE"""),"Enspelled Staff (Cantrip)")</f>
        <v>Enspelled Staff (Cantrip)</v>
      </c>
      <c r="B82" s="10" t="str">
        <f>IFERROR(__xludf.DUMMYFUNCTION("""COMPUTED_VALUE"""),"DMG'24")</f>
        <v>DMG'24</v>
      </c>
      <c r="C82" s="10" t="str">
        <f>IFERROR(__xludf.DUMMYFUNCTION("""COMPUTED_VALUE"""),"uncommon")</f>
        <v>uncommon</v>
      </c>
      <c r="D82" s="10" t="str">
        <f>IFERROR(__xludf.DUMMYFUNCTION("""COMPUTED_VALUE"""),"Simple Weapon, Melee Weapon")</f>
        <v>Simple Weapon, Melee Weapon</v>
      </c>
      <c r="E82" s="10" t="str">
        <f>IFERROR(__xludf.DUMMYFUNCTION("""COMPUTED_VALUE"""),"requires attunement by a Spellcaster")</f>
        <v>requires attunement by a Spellcaster</v>
      </c>
      <c r="F82" s="10" t="str">
        <f>IFERROR(__xludf.DUMMYFUNCTION("""COMPUTED_VALUE"""),"1d6 Bludgeoning")</f>
        <v>1d6 Bludgeoning</v>
      </c>
      <c r="G82" s="10" t="str">
        <f>IFERROR(__xludf.DUMMYFUNCTION("""COMPUTED_VALUE"""),"Versatile (1d8)")</f>
        <v>Versatile (1d8)</v>
      </c>
      <c r="H82" s="10" t="str">
        <f>IFERROR(__xludf.DUMMYFUNCTION("""COMPUTED_VALUE"""),"Mastery: Topple")</f>
        <v>Mastery: Topple</v>
      </c>
      <c r="I82" s="10" t="str">
        <f>IFERROR(__xludf.DUMMYFUNCTION("""COMPUTED_VALUE"""),"Bound into this staff is a cantrip. The cantrip is determined when the staff is created and can be of any school of magic. The staff has 6 charges and regains 1d6 expended charges daily at dawn. While holding the staff, you can expend 1 charge to cast its"&amp;" spell. If you expend the staff's last charge, roll 1d20. On a 1, the staff loses its properties and becomes a nonmagical Quarterstaff.The spell's saving throw DC is 13, and its attack bonus is +5. Versatile. A Versatile weapon can be used with one or two"&amp;" hands. A damage value in parentheses appears with the property. The weapon deals that damage when used with two hands to make a melee attack. Mastery: Topple. If you hit a creature with this weapon, you can force the creature to make a Constitution savin"&amp;"g throw (DC 8 plus the ability modifier used to make the attack roll and your Proficiency Bonus). On a failed save, the creature has the Prone condition.")</f>
        <v>Bound into this staff is a cantrip. The cantrip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82" s="18">
        <f>IFERROR(__xludf.DUMMYFUNCTION("""COMPUTED_VALUE"""),750.0)</f>
        <v>750</v>
      </c>
    </row>
    <row r="83">
      <c r="A83" s="8" t="str">
        <f>IFERROR(__xludf.DUMMYFUNCTION("""COMPUTED_VALUE"""),"Wand of Entangle")</f>
        <v>Wand of Entangle</v>
      </c>
      <c r="B83" s="8" t="str">
        <f>IFERROR(__xludf.DUMMYFUNCTION("""COMPUTED_VALUE"""),"TftYP")</f>
        <v>TftYP</v>
      </c>
      <c r="C83" s="8" t="str">
        <f>IFERROR(__xludf.DUMMYFUNCTION("""COMPUTED_VALUE"""),"uncommon")</f>
        <v>uncommon</v>
      </c>
      <c r="D83" s="8" t="str">
        <f>IFERROR(__xludf.DUMMYFUNCTION("""COMPUTED_VALUE"""),"Wand")</f>
        <v>Wand</v>
      </c>
      <c r="E83" s="8" t="str">
        <f>IFERROR(__xludf.DUMMYFUNCTION("""COMPUTED_VALUE"""),"requires attunement by a spellcaster")</f>
        <v>requires attunement by a spellcaster</v>
      </c>
      <c r="F83" s="8"/>
      <c r="G83" s="8"/>
      <c r="H83" s="8"/>
      <c r="I83" s="8" t="str">
        <f>IFERROR(__xludf.DUMMYFUNCTION("""COMPUTED_VALUE"""),"This wand has 7 charges. While holding it, you can use an action to expend 1 of its charges to cast the entangle spell (save DC 13) from it.The wand regains 1d6 + 1 expended charges daily at dawn. If you expend the wand's last charge, roll a d20. On a 1, "&amp;"the wand crumbles into ashes and is destroyed.")</f>
        <v>This wand has 7 charges. While holding it, you can use an action to expend 1 of its charges to cast the entangle spell (save DC 13) from it.The wand regains 1d6 + 1 expended charges daily at dawn. If you expend the wand's last charge, roll a d20. On a 1, the wand crumbles into ashes and is destroyed.</v>
      </c>
      <c r="J83" s="19">
        <f>IFERROR(__xludf.DUMMYFUNCTION("""COMPUTED_VALUE"""),800.0)</f>
        <v>800</v>
      </c>
    </row>
    <row r="84">
      <c r="A84" s="10" t="str">
        <f>IFERROR(__xludf.DUMMYFUNCTION("""COMPUTED_VALUE"""),"Enspelled Staff (Level 1)")</f>
        <v>Enspelled Staff (Level 1)</v>
      </c>
      <c r="B84" s="10" t="str">
        <f>IFERROR(__xludf.DUMMYFUNCTION("""COMPUTED_VALUE"""),"DMG'24")</f>
        <v>DMG'24</v>
      </c>
      <c r="C84" s="10" t="str">
        <f>IFERROR(__xludf.DUMMYFUNCTION("""COMPUTED_VALUE"""),"uncommon")</f>
        <v>uncommon</v>
      </c>
      <c r="D84" s="10" t="str">
        <f>IFERROR(__xludf.DUMMYFUNCTION("""COMPUTED_VALUE"""),"Simple Weapon, Melee Weapon")</f>
        <v>Simple Weapon, Melee Weapon</v>
      </c>
      <c r="E84" s="10" t="str">
        <f>IFERROR(__xludf.DUMMYFUNCTION("""COMPUTED_VALUE"""),"requires attunement by a Spellcaster")</f>
        <v>requires attunement by a Spellcaster</v>
      </c>
      <c r="F84" s="10" t="str">
        <f>IFERROR(__xludf.DUMMYFUNCTION("""COMPUTED_VALUE"""),"1d6 Bludgeoning")</f>
        <v>1d6 Bludgeoning</v>
      </c>
      <c r="G84" s="10" t="str">
        <f>IFERROR(__xludf.DUMMYFUNCTION("""COMPUTED_VALUE"""),"Versatile (1d8)")</f>
        <v>Versatile (1d8)</v>
      </c>
      <c r="H84" s="10" t="str">
        <f>IFERROR(__xludf.DUMMYFUNCTION("""COMPUTED_VALUE"""),"Mastery: Topple")</f>
        <v>Mastery: Topple</v>
      </c>
      <c r="I84" s="10" t="str">
        <f>IFERROR(__xludf.DUMMYFUNCTION("""COMPUTED_VALUE"""),"Bound into this staff is a level 1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1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84" s="18">
        <f>IFERROR(__xludf.DUMMYFUNCTION("""COMPUTED_VALUE"""),900.0)</f>
        <v>900</v>
      </c>
    </row>
    <row r="85">
      <c r="A85" s="8" t="str">
        <f>IFERROR(__xludf.DUMMYFUNCTION("""COMPUTED_VALUE"""),"Stirring Dragon-Touched Focus")</f>
        <v>Stirring Dragon-Touched Focus</v>
      </c>
      <c r="B85" s="8" t="str">
        <f>IFERROR(__xludf.DUMMYFUNCTION("""COMPUTED_VALUE"""),"FTD")</f>
        <v>FTD</v>
      </c>
      <c r="C85" s="8" t="str">
        <f>IFERROR(__xludf.DUMMYFUNCTION("""COMPUTED_VALUE"""),"rare")</f>
        <v>rare</v>
      </c>
      <c r="D85" s="8" t="str">
        <f>IFERROR(__xludf.DUMMYFUNCTION("""COMPUTED_VALUE"""),"Wondrous Item, Spellcasting Focus")</f>
        <v>Wondrous Item, Spellcasting Focus</v>
      </c>
      <c r="E85" s="8" t="str">
        <f>IFERROR(__xludf.DUMMYFUNCTION("""COMPUTED_VALUE"""),"requires attunement by a spellcaster")</f>
        <v>requires attunement by a spellcaster</v>
      </c>
      <c r="F85" s="8"/>
      <c r="G85" s="8"/>
      <c r="H85" s="8"/>
      <c r="I85" s="8" t="str">
        <f>IFERROR(__xludf.DUMMYFUNCTION("""COMPUTED_VALUE"""),"This wondrous item can be a scepter, an orb, an amulet, a crystal, or another finely crafted object. It typically incorporates imagery of dragons' wings, claws, teeth, or scales. You have advantage on initiative rolls. While you are holding the focus, it "&amp;"can function as a spellcasting focus for all your spells. The focus gains an additional property determined by the family of the dragon in whose hoard it became Stirring:Chromatic. Whenever you use a spell slot to cast a spell that deals acid, cold, fire,"&amp;" lightning, or poison damage, roll a d6, and you gain a bonus equal to the number rolled to one of the spell's damage rolls. Gem. Whenever you use a spell slot to cast a spell, you can immediately teleport to an unoccupied space you can see within 15 feet"&amp;" of you. Metallic. When a creature you can see within 30 feet of you makes a saving throw, you can use your reaction to give that creature advantage on the saving throw.")</f>
        <v>This wondrous item can be a scepter, an orb, an amulet, a crystal, or another finely crafted object. It typically incorporates imagery of dragons' wings, claws, teeth, or scales. You have advantage on initiative rolls. While you are holding the focus, it can function as a spellcasting focus for all your spells. The focus gains an additional property determined by the family of the dragon in whose hoard it became Stirring:Chromatic.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v>
      </c>
      <c r="J85" s="19">
        <f>IFERROR(__xludf.DUMMYFUNCTION("""COMPUTED_VALUE"""),1200.0)</f>
        <v>1200</v>
      </c>
    </row>
    <row r="86">
      <c r="A86" s="10" t="str">
        <f>IFERROR(__xludf.DUMMYFUNCTION("""COMPUTED_VALUE"""),"Enspelled Staff (Level 2)")</f>
        <v>Enspelled Staff (Level 2)</v>
      </c>
      <c r="B86" s="10" t="str">
        <f>IFERROR(__xludf.DUMMYFUNCTION("""COMPUTED_VALUE"""),"DMG'24")</f>
        <v>DMG'24</v>
      </c>
      <c r="C86" s="10" t="str">
        <f>IFERROR(__xludf.DUMMYFUNCTION("""COMPUTED_VALUE"""),"rare")</f>
        <v>rare</v>
      </c>
      <c r="D86" s="10" t="str">
        <f>IFERROR(__xludf.DUMMYFUNCTION("""COMPUTED_VALUE"""),"Simple Weapon, Melee Weapon")</f>
        <v>Simple Weapon, Melee Weapon</v>
      </c>
      <c r="E86" s="10" t="str">
        <f>IFERROR(__xludf.DUMMYFUNCTION("""COMPUTED_VALUE"""),"requires attunement by a Spellcaster")</f>
        <v>requires attunement by a Spellcaster</v>
      </c>
      <c r="F86" s="10" t="str">
        <f>IFERROR(__xludf.DUMMYFUNCTION("""COMPUTED_VALUE"""),"1d6 Bludgeoning")</f>
        <v>1d6 Bludgeoning</v>
      </c>
      <c r="G86" s="10" t="str">
        <f>IFERROR(__xludf.DUMMYFUNCTION("""COMPUTED_VALUE"""),"Versatile (1d8)")</f>
        <v>Versatile (1d8)</v>
      </c>
      <c r="H86" s="10" t="str">
        <f>IFERROR(__xludf.DUMMYFUNCTION("""COMPUTED_VALUE"""),"Mastery: Topple")</f>
        <v>Mastery: Topple</v>
      </c>
      <c r="I86" s="10" t="str">
        <f>IFERROR(__xludf.DUMMYFUNCTION("""COMPUTED_VALUE"""),"Bound into this staff is a level 2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13, and its attack bonus is +5.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2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13, and its attack bonus is +5.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86" s="18">
        <f>IFERROR(__xludf.DUMMYFUNCTION("""COMPUTED_VALUE"""),1500.0)</f>
        <v>1500</v>
      </c>
    </row>
    <row r="87">
      <c r="A87" s="8" t="str">
        <f>IFERROR(__xludf.DUMMYFUNCTION("""COMPUTED_VALUE"""),"Wand of Web")</f>
        <v>Wand of Web</v>
      </c>
      <c r="B87" s="8" t="str">
        <f>IFERROR(__xludf.DUMMYFUNCTION("""COMPUTED_VALUE"""),"DMG'24")</f>
        <v>DMG'24</v>
      </c>
      <c r="C87" s="8" t="str">
        <f>IFERROR(__xludf.DUMMYFUNCTION("""COMPUTED_VALUE"""),"uncommon")</f>
        <v>uncommon</v>
      </c>
      <c r="D87" s="8" t="str">
        <f>IFERROR(__xludf.DUMMYFUNCTION("""COMPUTED_VALUE"""),"Wand")</f>
        <v>Wand</v>
      </c>
      <c r="E87" s="8" t="str">
        <f>IFERROR(__xludf.DUMMYFUNCTION("""COMPUTED_VALUE"""),"requires attunement by a spellcaster")</f>
        <v>requires attunement by a spellcaster</v>
      </c>
      <c r="F87" s="8"/>
      <c r="G87" s="8"/>
      <c r="H87" s="8"/>
      <c r="I87" s="8" t="str">
        <f>IFERROR(__xludf.DUMMYFUNCTION("""COMPUTED_VALUE"""),"This wand has 7 charges. While holding it, you can expend 1 charge to cast Web (save DC 13) from it. Regaining Charges. The wand regains 1d6 + 1 expended charges daily at dawn. If you expend the wand's last charge, roll 1d20. On a 1, the wand crumbles int"&amp;"o ashes and is destroyed.")</f>
        <v>This wand has 7 charges. While holding it, you can expend 1 charge to cast Web (save DC 13) from it. Regaining Charges. The wand regains 1d6 + 1 expended charges daily at dawn. If you expend the wand's last charge, roll 1d20. On a 1, the wand crumbles into ashes and is destroyed.</v>
      </c>
      <c r="J87" s="19">
        <f>IFERROR(__xludf.DUMMYFUNCTION("""COMPUTED_VALUE"""),2150.0)</f>
        <v>2150</v>
      </c>
    </row>
    <row r="88">
      <c r="A88" s="10" t="str">
        <f>IFERROR(__xludf.DUMMYFUNCTION("""COMPUTED_VALUE"""),"Enspelled Staff (Level 3)")</f>
        <v>Enspelled Staff (Level 3)</v>
      </c>
      <c r="B88" s="10" t="str">
        <f>IFERROR(__xludf.DUMMYFUNCTION("""COMPUTED_VALUE"""),"DMG'24")</f>
        <v>DMG'24</v>
      </c>
      <c r="C88" s="10" t="str">
        <f>IFERROR(__xludf.DUMMYFUNCTION("""COMPUTED_VALUE"""),"rare")</f>
        <v>rare</v>
      </c>
      <c r="D88" s="10" t="str">
        <f>IFERROR(__xludf.DUMMYFUNCTION("""COMPUTED_VALUE"""),"Simple Weapon, Melee Weapon")</f>
        <v>Simple Weapon, Melee Weapon</v>
      </c>
      <c r="E88" s="10" t="str">
        <f>IFERROR(__xludf.DUMMYFUNCTION("""COMPUTED_VALUE"""),"requires attunement by a Spellcaster")</f>
        <v>requires attunement by a Spellcaster</v>
      </c>
      <c r="F88" s="10" t="str">
        <f>IFERROR(__xludf.DUMMYFUNCTION("""COMPUTED_VALUE"""),"1d6 Bludgeoning")</f>
        <v>1d6 Bludgeoning</v>
      </c>
      <c r="G88" s="10" t="str">
        <f>IFERROR(__xludf.DUMMYFUNCTION("""COMPUTED_VALUE"""),"Versatile (1d8)")</f>
        <v>Versatile (1d8)</v>
      </c>
      <c r="H88" s="10" t="str">
        <f>IFERROR(__xludf.DUMMYFUNCTION("""COMPUTED_VALUE"""),"Mastery: Topple")</f>
        <v>Mastery: Topple</v>
      </c>
      <c r="I88" s="10" t="str">
        <f>IFERROR(__xludf.DUMMYFUNCTION("""COMPUTED_VALUE"""),"Bound into this staff is a level 3 spell. The spell is determined when the staff is created and can be of any school of magic. The staff has 6 charges and regains 1d6 expended charges daily at dawn. While holding the staff, you can expend 1 charge to cast"&amp;" its spell. If you expend the staff's last charge, roll 1d20. On a 1, the staff loses its properties and becomes a nonmagical Quarterstaff.The spell's saving throw DC is 15, and its attack bonus is +7. Versatile. A Versatile weapon can be used with one or"&amp;" two hands. A damage value in parentheses appears with the property. The weapon deals that damage when used with two hands to make a melee attack. Mastery: Topple. If you hit a creature with this weapon, you can force the creature to make a Constitution s"&amp;"aving throw (DC 8 plus the ability modifier used to make the attack roll and your Proficiency Bonus). On a failed save, the creature has the Prone condition.")</f>
        <v>Bound into this staff is a level 3 spell. The spell is determined when the staff is created and can be of any school of magic. The staff has 6 charges and regains 1d6 expended charges daily at dawn. While holding the staff, you can expend 1 charge to cast its spell. If you expend the staff's last charge, roll 1d20. On a 1, the staff loses its properties and becomes a nonmagical Quarterstaff.The spell's saving throw DC is 15, and its attack bonus is +7.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88" s="18">
        <f>IFERROR(__xludf.DUMMYFUNCTION("""COMPUTED_VALUE"""),2150.0)</f>
        <v>2150</v>
      </c>
    </row>
    <row r="89">
      <c r="A89" s="12"/>
      <c r="B89" s="12"/>
      <c r="C89" s="12"/>
      <c r="D89" s="12"/>
      <c r="E89" s="12"/>
      <c r="F89" s="12"/>
      <c r="G89" s="12"/>
      <c r="H89" s="12"/>
      <c r="I89" s="12"/>
      <c r="J89" s="21"/>
    </row>
  </sheetData>
  <mergeCells count="23">
    <mergeCell ref="A2:J2"/>
    <mergeCell ref="A3:B3"/>
    <mergeCell ref="C3:E3"/>
    <mergeCell ref="F3:H3"/>
    <mergeCell ref="A4:B4"/>
    <mergeCell ref="C4:E4"/>
    <mergeCell ref="F4:H4"/>
    <mergeCell ref="A5:B5"/>
    <mergeCell ref="C5:E5"/>
    <mergeCell ref="F5:H5"/>
    <mergeCell ref="A6:B6"/>
    <mergeCell ref="C6:I6"/>
    <mergeCell ref="A7:I7"/>
    <mergeCell ref="A17:I17"/>
    <mergeCell ref="A66:I66"/>
    <mergeCell ref="A80:I80"/>
    <mergeCell ref="A23:I23"/>
    <mergeCell ref="A29:I29"/>
    <mergeCell ref="A34:I34"/>
    <mergeCell ref="A37:I37"/>
    <mergeCell ref="A42:I42"/>
    <mergeCell ref="A46:I46"/>
    <mergeCell ref="A62:I62"/>
  </mergeCells>
  <hyperlinks>
    <hyperlink display="Artificer" location="Artificer_Class" ref="A3"/>
    <hyperlink display="Bard" location="Bard_Class" ref="F3"/>
    <hyperlink display="Cleric" location="Cleric_Class" ref="I3"/>
    <hyperlink display="Druid" location="Druid_Class" ref="A4"/>
    <hyperlink display="Monk" location="Monk_Class" ref="F4"/>
    <hyperlink display="Paladin" location="Paladin_Class" ref="I4"/>
    <hyperlink display="Ranger" location="Ranger_Class" ref="A5"/>
    <hyperlink display="Sorcerer" location="Sorcerer_Class" ref="F5"/>
    <hyperlink display="Warlock" location="Warlock_Class" ref="I5"/>
    <hyperlink display="Wizard" location="Wizard_Class" ref="A6"/>
    <hyperlink display="Generic Spellcaster Items" location="Spellcaster_Class" ref="C6"/>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hidden="1" min="5" max="5" width="12.63"/>
    <col customWidth="1" min="9" max="9" width="114.88"/>
    <col customWidth="1" min="10" max="10" width="17.38"/>
  </cols>
  <sheetData>
    <row r="1" ht="42.0" customHeight="1">
      <c r="A1" s="1" t="s">
        <v>0</v>
      </c>
      <c r="B1" s="1" t="s">
        <v>1</v>
      </c>
      <c r="C1" s="1" t="s">
        <v>2</v>
      </c>
      <c r="D1" s="1" t="s">
        <v>3</v>
      </c>
      <c r="E1" s="1" t="s">
        <v>4</v>
      </c>
      <c r="F1" s="1" t="s">
        <v>5</v>
      </c>
      <c r="G1" s="1" t="s">
        <v>6</v>
      </c>
      <c r="H1" s="1" t="s">
        <v>7</v>
      </c>
      <c r="I1" s="1" t="s">
        <v>8</v>
      </c>
      <c r="J1" s="1" t="s">
        <v>9</v>
      </c>
    </row>
    <row r="2">
      <c r="A2" s="6" t="s">
        <v>89</v>
      </c>
      <c r="J2" s="13"/>
    </row>
    <row r="3">
      <c r="A3" s="8" t="str">
        <f>IFERROR(__xludf.DUMMYFUNCTION("FILTER(MasterList_Hidden!A:J,Search(""*No Attunement Required*"",MasterList_Hidden!K:K),MasterList_Hidden!C:C&lt;&gt;""none"",MasterList_Hidden!J:J&lt;&gt;""Free to Guild Adventurers with Item Proficiency"",MasterList_Hidden!J:J&lt;&gt;""Free to Guild Adventurers in Good S"&amp;"tanding"",MasterList_Hidden!J:J&lt;&gt;""Artificer Replicate Magic Item Only"")"),"Adventurer's Ring")</f>
        <v>Adventurer's Ring</v>
      </c>
      <c r="B3" s="8" t="str">
        <f>IFERROR(__xludf.DUMMYFUNCTION("""COMPUTED_VALUE"""),"FRHoF")</f>
        <v>FRHoF</v>
      </c>
      <c r="C3" s="8" t="str">
        <f>IFERROR(__xludf.DUMMYFUNCTION("""COMPUTED_VALUE"""),"common")</f>
        <v>common</v>
      </c>
      <c r="D3" s="8" t="str">
        <f>IFERROR(__xludf.DUMMYFUNCTION("""COMPUTED_VALUE"""),"Ring")</f>
        <v>Ring</v>
      </c>
      <c r="E3" s="8"/>
      <c r="F3" s="8"/>
      <c r="G3" s="8"/>
      <c r="H3" s="8"/>
      <c r="I3" s="8" t="str">
        <f>IFERROR(__xludf.DUMMYFUNCTION("""COMPUTED_VALUE"""),"While the cover on this ring is open, the ring produces a flame that creates no heat and consumes no fuel. It sheds Bright Light in a 20-foot radius and Dim Light for an additional 20 feet. As a Bonus Action, you can close the cover, smothering the flame,"&amp;" or open it again.")</f>
        <v>While the cover on this ring is open, the ring produces a flame that creates no heat and consumes no fuel. It sheds Bright Light in a 20-foot radius and Dim Light for an additional 20 feet. As a Bonus Action, you can close the cover, smothering the flame, or open it again.</v>
      </c>
      <c r="J3" s="8">
        <f>IFERROR(__xludf.DUMMYFUNCTION("""COMPUTED_VALUE"""),50.0)</f>
        <v>50</v>
      </c>
    </row>
    <row r="4">
      <c r="A4" s="10" t="str">
        <f>IFERROR(__xludf.DUMMYFUNCTION("""COMPUTED_VALUE"""),"Armor of Gleaming")</f>
        <v>Armor of Gleaming</v>
      </c>
      <c r="B4" s="10" t="str">
        <f>IFERROR(__xludf.DUMMYFUNCTION("""COMPUTED_VALUE"""),"DMG'24")</f>
        <v>DMG'24</v>
      </c>
      <c r="C4" s="10" t="str">
        <f>IFERROR(__xludf.DUMMYFUNCTION("""COMPUTED_VALUE"""),"common")</f>
        <v>common</v>
      </c>
      <c r="D4" s="10" t="str">
        <f>IFERROR(__xludf.DUMMYFUNCTION("""COMPUTED_VALUE"""),"Generic Variant")</f>
        <v>Generic Variant</v>
      </c>
      <c r="E4" s="10"/>
      <c r="F4" s="10"/>
      <c r="G4" s="10"/>
      <c r="H4" s="10"/>
      <c r="I4" s="10" t="str">
        <f>IFERROR(__xludf.DUMMYFUNCTION("""COMPUTED_VALUE"""),"This armor never gets dirty. 
Applied to non-magical Base Equipment.")</f>
        <v>This armor never gets dirty. 
Applied to non-magical Base Equipment.</v>
      </c>
      <c r="J4" s="10">
        <f>IFERROR(__xludf.DUMMYFUNCTION("""COMPUTED_VALUE"""),50.0)</f>
        <v>50</v>
      </c>
    </row>
    <row r="5">
      <c r="A5" s="8" t="str">
        <f>IFERROR(__xludf.DUMMYFUNCTION("""COMPUTED_VALUE"""),"Boots of False Tracks")</f>
        <v>Boots of False Tracks</v>
      </c>
      <c r="B5" s="8" t="str">
        <f>IFERROR(__xludf.DUMMYFUNCTION("""COMPUTED_VALUE"""),"DMG'24")</f>
        <v>DMG'24</v>
      </c>
      <c r="C5" s="8" t="str">
        <f>IFERROR(__xludf.DUMMYFUNCTION("""COMPUTED_VALUE"""),"common")</f>
        <v>common</v>
      </c>
      <c r="D5" s="8" t="str">
        <f>IFERROR(__xludf.DUMMYFUNCTION("""COMPUTED_VALUE"""),"Wondrous Item")</f>
        <v>Wondrous Item</v>
      </c>
      <c r="E5" s="8"/>
      <c r="F5" s="8"/>
      <c r="G5" s="8"/>
      <c r="H5" s="8"/>
      <c r="I5" s="8" t="str">
        <f>IFERROR(__xludf.DUMMYFUNCTION("""COMPUTED_VALUE"""),"While wearing these boots, you can have them leave tracks like those of any kind of Humanoid of your size.")</f>
        <v>While wearing these boots, you can have them leave tracks like those of any kind of Humanoid of your size.</v>
      </c>
      <c r="J5" s="8">
        <f>IFERROR(__xludf.DUMMYFUNCTION("""COMPUTED_VALUE"""),50.0)</f>
        <v>50</v>
      </c>
    </row>
    <row r="6">
      <c r="A6" s="10" t="str">
        <f>IFERROR(__xludf.DUMMYFUNCTION("""COMPUTED_VALUE"""),"Bottle of Boundless Coffee")</f>
        <v>Bottle of Boundless Coffee</v>
      </c>
      <c r="B6" s="10" t="str">
        <f>IFERROR(__xludf.DUMMYFUNCTION("""COMPUTED_VALUE"""),"SCC")</f>
        <v>SCC</v>
      </c>
      <c r="C6" s="10" t="str">
        <f>IFERROR(__xludf.DUMMYFUNCTION("""COMPUTED_VALUE"""),"common")</f>
        <v>common</v>
      </c>
      <c r="D6" s="10" t="str">
        <f>IFERROR(__xludf.DUMMYFUNCTION("""COMPUTED_VALUE"""),"Wondrous Item")</f>
        <v>Wondrous Item</v>
      </c>
      <c r="E6" s="10"/>
      <c r="F6" s="10"/>
      <c r="G6" s="10"/>
      <c r="H6" s="10"/>
      <c r="I6" s="10" t="str">
        <f>IFERROR(__xludf.DUMMYFUNCTION("""COMPUTED_VALUE"""),"This metal bottle carries delicious, warm coffee. The bottle comes with a stopper, which is attached to the bottle by a little chain. Even when open, the bottle won't accept any liquid other than the coffee it produces. The coffee inside is always comfort"&amp;"ably warm, and none of the heat can be felt through the bottle.Each time you drink the coffee, roll a d20. On a 1, the bottle refuses to dispense coffee for the next hour. If you pour coffee from the bottle, rather than drinking from it, the coffee vanish"&amp;"es the moment it leaves the bottle.")</f>
        <v>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bottle.Each time you drink the coffee, roll a d20. On a 1, the bottle refuses to dispense coffee for the next hour. If you pour coffee from the bottle, rather than drinking from it, the coffee vanishes the moment it leaves the bottle.</v>
      </c>
      <c r="J6" s="10">
        <f>IFERROR(__xludf.DUMMYFUNCTION("""COMPUTED_VALUE"""),50.0)</f>
        <v>50</v>
      </c>
    </row>
    <row r="7">
      <c r="A7" s="8" t="str">
        <f>IFERROR(__xludf.DUMMYFUNCTION("""COMPUTED_VALUE"""),"Candle of the Deep")</f>
        <v>Candle of the Deep</v>
      </c>
      <c r="B7" s="8" t="str">
        <f>IFERROR(__xludf.DUMMYFUNCTION("""COMPUTED_VALUE"""),"DMG'24")</f>
        <v>DMG'24</v>
      </c>
      <c r="C7" s="8" t="str">
        <f>IFERROR(__xludf.DUMMYFUNCTION("""COMPUTED_VALUE"""),"common")</f>
        <v>common</v>
      </c>
      <c r="D7" s="8" t="str">
        <f>IFERROR(__xludf.DUMMYFUNCTION("""COMPUTED_VALUE"""),"Wondrous Item")</f>
        <v>Wondrous Item</v>
      </c>
      <c r="E7" s="8"/>
      <c r="F7" s="8"/>
      <c r="G7" s="8"/>
      <c r="H7" s="8"/>
      <c r="I7" s="8" t="str">
        <f>IFERROR(__xludf.DUMMYFUNCTION("""COMPUTED_VALUE"""),"The flame of this candle isn't extinguished when immersed in water. It gives off light and heat like a normal candle.")</f>
        <v>The flame of this candle isn't extinguished when immersed in water. It gives off light and heat like a normal candle.</v>
      </c>
      <c r="J7" s="8">
        <f>IFERROR(__xludf.DUMMYFUNCTION("""COMPUTED_VALUE"""),50.0)</f>
        <v>50</v>
      </c>
    </row>
    <row r="8">
      <c r="A8" s="10" t="str">
        <f>IFERROR(__xludf.DUMMYFUNCTION("""COMPUTED_VALUE"""),"Cast-Off Armor")</f>
        <v>Cast-Off Armor</v>
      </c>
      <c r="B8" s="10" t="str">
        <f>IFERROR(__xludf.DUMMYFUNCTION("""COMPUTED_VALUE"""),"DMG'24")</f>
        <v>DMG'24</v>
      </c>
      <c r="C8" s="10" t="str">
        <f>IFERROR(__xludf.DUMMYFUNCTION("""COMPUTED_VALUE"""),"common")</f>
        <v>common</v>
      </c>
      <c r="D8" s="10" t="str">
        <f>IFERROR(__xludf.DUMMYFUNCTION("""COMPUTED_VALUE"""),"Generic Variant")</f>
        <v>Generic Variant</v>
      </c>
      <c r="E8" s="10"/>
      <c r="F8" s="10"/>
      <c r="G8" s="10"/>
      <c r="H8" s="10"/>
      <c r="I8" s="10" t="str">
        <f>IFERROR(__xludf.DUMMYFUNCTION("""COMPUTED_VALUE"""),"You can doff this armor as a Magic action. 
Applied to non-magical Base Equipment.")</f>
        <v>You can doff this armor as a Magic action. 
Applied to non-magical Base Equipment.</v>
      </c>
      <c r="J8" s="10">
        <f>IFERROR(__xludf.DUMMYFUNCTION("""COMPUTED_VALUE"""),50.0)</f>
        <v>50</v>
      </c>
    </row>
    <row r="9">
      <c r="A9" s="8" t="str">
        <f>IFERROR(__xludf.DUMMYFUNCTION("""COMPUTED_VALUE"""),"Cloak of Billowing")</f>
        <v>Cloak of Billowing</v>
      </c>
      <c r="B9" s="8" t="str">
        <f>IFERROR(__xludf.DUMMYFUNCTION("""COMPUTED_VALUE"""),"DMG'24")</f>
        <v>DMG'24</v>
      </c>
      <c r="C9" s="8" t="str">
        <f>IFERROR(__xludf.DUMMYFUNCTION("""COMPUTED_VALUE"""),"common")</f>
        <v>common</v>
      </c>
      <c r="D9" s="8" t="str">
        <f>IFERROR(__xludf.DUMMYFUNCTION("""COMPUTED_VALUE"""),"Wondrous Item")</f>
        <v>Wondrous Item</v>
      </c>
      <c r="E9" s="8"/>
      <c r="F9" s="8"/>
      <c r="G9" s="8"/>
      <c r="H9" s="8"/>
      <c r="I9" s="8" t="str">
        <f>IFERROR(__xludf.DUMMYFUNCTION("""COMPUTED_VALUE"""),"While wearing this cloak, you can take a Bonus Action to make it billow dramatically for 1 minute.")</f>
        <v>While wearing this cloak, you can take a Bonus Action to make it billow dramatically for 1 minute.</v>
      </c>
      <c r="J9" s="8">
        <f>IFERROR(__xludf.DUMMYFUNCTION("""COMPUTED_VALUE"""),50.0)</f>
        <v>50</v>
      </c>
    </row>
    <row r="10">
      <c r="A10" s="10" t="str">
        <f>IFERROR(__xludf.DUMMYFUNCTION("""COMPUTED_VALUE"""),"Cloak of Many Fashions")</f>
        <v>Cloak of Many Fashions</v>
      </c>
      <c r="B10" s="10" t="str">
        <f>IFERROR(__xludf.DUMMYFUNCTION("""COMPUTED_VALUE"""),"DMG'24")</f>
        <v>DMG'24</v>
      </c>
      <c r="C10" s="10" t="str">
        <f>IFERROR(__xludf.DUMMYFUNCTION("""COMPUTED_VALUE"""),"common")</f>
        <v>common</v>
      </c>
      <c r="D10" s="10" t="str">
        <f>IFERROR(__xludf.DUMMYFUNCTION("""COMPUTED_VALUE"""),"Wondrous Item")</f>
        <v>Wondrous Item</v>
      </c>
      <c r="E10" s="10"/>
      <c r="F10" s="10"/>
      <c r="G10" s="10"/>
      <c r="H10" s="10"/>
      <c r="I10" s="10" t="str">
        <f>IFERROR(__xludf.DUMMYFUNCTION("""COMPUTED_VALUE"""),"While wearing this cloak, you can take a Bonus Action to change the style, color, and apparent quality of the garment. The cloak's weight doesn't change. Regardless of its appearance, the cloak can't be anything but a cloak. Although it can duplicate the "&amp;"appearance of other magic cloaks, it doesn't gain their magical properties.")</f>
        <v>While wearing this cloak, you can take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v>
      </c>
      <c r="J10" s="10">
        <f>IFERROR(__xludf.DUMMYFUNCTION("""COMPUTED_VALUE"""),50.0)</f>
        <v>50</v>
      </c>
    </row>
    <row r="11">
      <c r="A11" s="8" t="str">
        <f>IFERROR(__xludf.DUMMYFUNCTION("""COMPUTED_VALUE"""),"Clothes of Mending")</f>
        <v>Clothes of Mending</v>
      </c>
      <c r="B11" s="8" t="str">
        <f>IFERROR(__xludf.DUMMYFUNCTION("""COMPUTED_VALUE"""),"DMG'24")</f>
        <v>DMG'24</v>
      </c>
      <c r="C11" s="8" t="str">
        <f>IFERROR(__xludf.DUMMYFUNCTION("""COMPUTED_VALUE"""),"common")</f>
        <v>common</v>
      </c>
      <c r="D11" s="8" t="str">
        <f>IFERROR(__xludf.DUMMYFUNCTION("""COMPUTED_VALUE"""),"Wondrous Item")</f>
        <v>Wondrous Item</v>
      </c>
      <c r="E11" s="8"/>
      <c r="F11" s="8"/>
      <c r="G11" s="8"/>
      <c r="H11" s="8"/>
      <c r="I11" s="8" t="str">
        <f>IFERROR(__xludf.DUMMYFUNCTION("""COMPUTED_VALUE"""),"This elegant outfit magically mends itself to counteract daily wear and tear. Pieces of the outfit that are destroyed can't be repaired in this way.")</f>
        <v>This elegant outfit magically mends itself to counteract daily wear and tear. Pieces of the outfit that are destroyed can't be repaired in this way.</v>
      </c>
      <c r="J11" s="8">
        <f>IFERROR(__xludf.DUMMYFUNCTION("""COMPUTED_VALUE"""),50.0)</f>
        <v>50</v>
      </c>
    </row>
    <row r="12">
      <c r="A12" s="10" t="str">
        <f>IFERROR(__xludf.DUMMYFUNCTION("""COMPUTED_VALUE"""),"Dread Helm")</f>
        <v>Dread Helm</v>
      </c>
      <c r="B12" s="10" t="str">
        <f>IFERROR(__xludf.DUMMYFUNCTION("""COMPUTED_VALUE"""),"DMG'24")</f>
        <v>DMG'24</v>
      </c>
      <c r="C12" s="10" t="str">
        <f>IFERROR(__xludf.DUMMYFUNCTION("""COMPUTED_VALUE"""),"common")</f>
        <v>common</v>
      </c>
      <c r="D12" s="10" t="str">
        <f>IFERROR(__xludf.DUMMYFUNCTION("""COMPUTED_VALUE"""),"Wondrous Item")</f>
        <v>Wondrous Item</v>
      </c>
      <c r="E12" s="10"/>
      <c r="F12" s="10"/>
      <c r="G12" s="10"/>
      <c r="H12" s="10"/>
      <c r="I12" s="10" t="str">
        <f>IFERROR(__xludf.DUMMYFUNCTION("""COMPUTED_VALUE"""),"While you're wearing this fearsome steel helm, your eyes glow red and the rest of your face is hidden in shadow.")</f>
        <v>While you're wearing this fearsome steel helm, your eyes glow red and the rest of your face is hidden in shadow.</v>
      </c>
      <c r="J12" s="10">
        <f>IFERROR(__xludf.DUMMYFUNCTION("""COMPUTED_VALUE"""),50.0)</f>
        <v>50</v>
      </c>
    </row>
    <row r="13">
      <c r="A13" s="8" t="str">
        <f>IFERROR(__xludf.DUMMYFUNCTION("""COMPUTED_VALUE"""),"Ear Horn of Hearing")</f>
        <v>Ear Horn of Hearing</v>
      </c>
      <c r="B13" s="8" t="str">
        <f>IFERROR(__xludf.DUMMYFUNCTION("""COMPUTED_VALUE"""),"DMG'24")</f>
        <v>DMG'24</v>
      </c>
      <c r="C13" s="8" t="str">
        <f>IFERROR(__xludf.DUMMYFUNCTION("""COMPUTED_VALUE"""),"common")</f>
        <v>common</v>
      </c>
      <c r="D13" s="8" t="str">
        <f>IFERROR(__xludf.DUMMYFUNCTION("""COMPUTED_VALUE"""),"Wondrous Item")</f>
        <v>Wondrous Item</v>
      </c>
      <c r="E13" s="8"/>
      <c r="F13" s="8"/>
      <c r="G13" s="8"/>
      <c r="H13" s="8"/>
      <c r="I13" s="8" t="str">
        <f>IFERROR(__xludf.DUMMYFUNCTION("""COMPUTED_VALUE"""),"While held up to your ear, this horn suppresses the effects of the Deafened condition on you.")</f>
        <v>While held up to your ear, this horn suppresses the effects of the Deafened condition on you.</v>
      </c>
      <c r="J13" s="8">
        <f>IFERROR(__xludf.DUMMYFUNCTION("""COMPUTED_VALUE"""),50.0)</f>
        <v>50</v>
      </c>
    </row>
    <row r="14">
      <c r="A14" s="10" t="str">
        <f>IFERROR(__xludf.DUMMYFUNCTION("""COMPUTED_VALUE"""),"Moon-Touched Sword")</f>
        <v>Moon-Touched Sword</v>
      </c>
      <c r="B14" s="10" t="str">
        <f>IFERROR(__xludf.DUMMYFUNCTION("""COMPUTED_VALUE"""),"DMG'24")</f>
        <v>DMG'24</v>
      </c>
      <c r="C14" s="10" t="str">
        <f>IFERROR(__xludf.DUMMYFUNCTION("""COMPUTED_VALUE"""),"common")</f>
        <v>common</v>
      </c>
      <c r="D14" s="10" t="str">
        <f>IFERROR(__xludf.DUMMYFUNCTION("""COMPUTED_VALUE"""),"Generic Variant")</f>
        <v>Generic Variant</v>
      </c>
      <c r="E14" s="10"/>
      <c r="F14" s="10"/>
      <c r="G14" s="10"/>
      <c r="H14" s="10"/>
      <c r="I14" s="10" t="str">
        <f>IFERROR(__xludf.DUMMYFUNCTION("""COMPUTED_VALUE"""),"In Darkness, the unsheathed blade of this weapon sheds moonlight, creating Bright Light in a 15-foot radius and Dim Light for an additional 15 feet. 
Applied to non-magical Base Equipment.")</f>
        <v>In Darkness, the unsheathed blade of this weapon sheds moonlight, creating Bright Light in a 15-foot radius and Dim Light for an additional 15 feet. 
Applied to non-magical Base Equipment.</v>
      </c>
      <c r="J14" s="10">
        <f>IFERROR(__xludf.DUMMYFUNCTION("""COMPUTED_VALUE"""),50.0)</f>
        <v>50</v>
      </c>
    </row>
    <row r="15">
      <c r="A15" s="8" t="str">
        <f>IFERROR(__xludf.DUMMYFUNCTION("""COMPUTED_VALUE"""),"Pipe of Remembrance")</f>
        <v>Pipe of Remembrance</v>
      </c>
      <c r="B15" s="8" t="str">
        <f>IFERROR(__xludf.DUMMYFUNCTION("""COMPUTED_VALUE"""),"GoS")</f>
        <v>GoS</v>
      </c>
      <c r="C15" s="8" t="str">
        <f>IFERROR(__xludf.DUMMYFUNCTION("""COMPUTED_VALUE"""),"common")</f>
        <v>common</v>
      </c>
      <c r="D15" s="8" t="str">
        <f>IFERROR(__xludf.DUMMYFUNCTION("""COMPUTED_VALUE"""),"Wondrous Item")</f>
        <v>Wondrous Item</v>
      </c>
      <c r="E15" s="8"/>
      <c r="F15" s="8"/>
      <c r="G15" s="8"/>
      <c r="H15" s="8"/>
      <c r="I15" s="8" t="str">
        <f>IFERROR(__xludf.DUMMYFUNCTION("""COMPUTED_VALUE"""),"This long, delicate wooden pipe features a bowl made from smooth river stone. When the pipe is lit, smoke exhaled from it does not dissipate, instead lingering around the bearer. After 10 minutes, the smoke forms moving shapes that reenact the bearer's mo"&amp;"st impressive and heroic achievements for 5 minutes. When this realistic performance is complete, the smoke dissipates. The pipe can't be used this way again until the next dawn.")</f>
        <v>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v>
      </c>
      <c r="J15" s="8">
        <f>IFERROR(__xludf.DUMMYFUNCTION("""COMPUTED_VALUE"""),50.0)</f>
        <v>50</v>
      </c>
    </row>
    <row r="16">
      <c r="A16" s="10" t="str">
        <f>IFERROR(__xludf.DUMMYFUNCTION("""COMPUTED_VALUE"""),"Pipe of Smoke Monsters")</f>
        <v>Pipe of Smoke Monsters</v>
      </c>
      <c r="B16" s="10" t="str">
        <f>IFERROR(__xludf.DUMMYFUNCTION("""COMPUTED_VALUE"""),"DMG'24")</f>
        <v>DMG'24</v>
      </c>
      <c r="C16" s="10" t="str">
        <f>IFERROR(__xludf.DUMMYFUNCTION("""COMPUTED_VALUE"""),"common")</f>
        <v>common</v>
      </c>
      <c r="D16" s="10" t="str">
        <f>IFERROR(__xludf.DUMMYFUNCTION("""COMPUTED_VALUE"""),"Wondrous Item")</f>
        <v>Wondrous Item</v>
      </c>
      <c r="E16" s="10"/>
      <c r="F16" s="10"/>
      <c r="G16" s="10"/>
      <c r="H16" s="10"/>
      <c r="I16" s="10" t="str">
        <f>IFERROR(__xludf.DUMMYFUNCTION("""COMPUTED_VALUE"""),"While smoking this pipe, you can take a Magic action to exhale a puff of smoke that takes the form of a creature, such as a dragon, a flumph, or a slaad. The form must be small enough to fit in a 1-foot cube and loses its shape after a few seconds, becomi"&amp;"ng an ordinary puff of smoke.")</f>
        <v>While smoking this pipe, you can take a Magic action to exhale a puff of smoke that takes the form of a creature, such as a dragon, a flumph, or a slaad. The form must be small enough to fit in a 1-foot cube and loses its shape after a few seconds, becoming an ordinary puff of smoke.</v>
      </c>
      <c r="J16" s="10">
        <f>IFERROR(__xludf.DUMMYFUNCTION("""COMPUTED_VALUE"""),50.0)</f>
        <v>50</v>
      </c>
    </row>
    <row r="17">
      <c r="A17" s="8" t="str">
        <f>IFERROR(__xludf.DUMMYFUNCTION("""COMPUTED_VALUE"""),"Potion of Healing (singles)")</f>
        <v>Potion of Healing (singles)</v>
      </c>
      <c r="B17" s="8" t="str">
        <f>IFERROR(__xludf.DUMMYFUNCTION("""COMPUTED_VALUE"""),"DMG'24")</f>
        <v>DMG'24</v>
      </c>
      <c r="C17" s="8" t="str">
        <f>IFERROR(__xludf.DUMMYFUNCTION("""COMPUTED_VALUE"""),"common")</f>
        <v>common</v>
      </c>
      <c r="D17" s="8" t="str">
        <f>IFERROR(__xludf.DUMMYFUNCTION("""COMPUTED_VALUE"""),"Potion")</f>
        <v>Potion</v>
      </c>
      <c r="E17" s="8"/>
      <c r="F17" s="8"/>
      <c r="G17" s="8"/>
      <c r="H17" s="8"/>
      <c r="I17" s="8"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f>
        <v>This potion is a magic item. As a Bonus Action, you can drink it or administer it to another creature within 5 feet of yourself. The creature that drinks the magical red fluid in this vial regains 2d4 + 2 Hit Points. The potion's red liquid glimmers when agitated.</v>
      </c>
      <c r="J17" s="8">
        <f>IFERROR(__xludf.DUMMYFUNCTION("""COMPUTED_VALUE"""),50.0)</f>
        <v>50</v>
      </c>
    </row>
    <row r="18">
      <c r="A18" s="10" t="str">
        <f>IFERROR(__xludf.DUMMYFUNCTION("""COMPUTED_VALUE"""),"Rope of Mending")</f>
        <v>Rope of Mending</v>
      </c>
      <c r="B18" s="10" t="str">
        <f>IFERROR(__xludf.DUMMYFUNCTION("""COMPUTED_VALUE"""),"DMG'24")</f>
        <v>DMG'24</v>
      </c>
      <c r="C18" s="10" t="str">
        <f>IFERROR(__xludf.DUMMYFUNCTION("""COMPUTED_VALUE"""),"common")</f>
        <v>common</v>
      </c>
      <c r="D18" s="10" t="str">
        <f>IFERROR(__xludf.DUMMYFUNCTION("""COMPUTED_VALUE"""),"Wondrous Item")</f>
        <v>Wondrous Item</v>
      </c>
      <c r="E18" s="10"/>
      <c r="F18" s="10"/>
      <c r="G18" s="10"/>
      <c r="H18" s="10"/>
      <c r="I18" s="10" t="str">
        <f>IFERROR(__xludf.DUMMYFUNCTION("""COMPUTED_VALUE"""),"This 50-foot coil of rope can repair itself when cut into any number of smaller pieces. As a Magic action, you can cause all pieces of the rope that are in contact with each other and not otherwise in use to knit back together. A Rope of Mending is foreve"&amp;"r shortened if a section of it is lost or destroyed.")</f>
        <v>This 50-foot coil of rope can repair itself when cut into any number of smaller pieces. As a Magic action, you can cause all pieces of the rope that are in contact with each other and not otherwise in use to knit back together. A Rope of Mending is forever shortened if a section of it is lost or destroyed.</v>
      </c>
      <c r="J18" s="10">
        <f>IFERROR(__xludf.DUMMYFUNCTION("""COMPUTED_VALUE"""),50.0)</f>
        <v>50</v>
      </c>
    </row>
    <row r="19">
      <c r="A19" s="8" t="str">
        <f>IFERROR(__xludf.DUMMYFUNCTION("""COMPUTED_VALUE"""),"Shield of Expression")</f>
        <v>Shield of Expression</v>
      </c>
      <c r="B19" s="8" t="str">
        <f>IFERROR(__xludf.DUMMYFUNCTION("""COMPUTED_VALUE"""),"DMG'24")</f>
        <v>DMG'24</v>
      </c>
      <c r="C19" s="8" t="str">
        <f>IFERROR(__xludf.DUMMYFUNCTION("""COMPUTED_VALUE"""),"common")</f>
        <v>common</v>
      </c>
      <c r="D19" s="8" t="str">
        <f>IFERROR(__xludf.DUMMYFUNCTION("""COMPUTED_VALUE"""),"Shield")</f>
        <v>Shield</v>
      </c>
      <c r="E19" s="8"/>
      <c r="F19" s="8" t="str">
        <f>IFERROR(__xludf.DUMMYFUNCTION("""COMPUTED_VALUE"""),"AC +2")</f>
        <v>AC +2</v>
      </c>
      <c r="G19" s="8"/>
      <c r="H19" s="8"/>
      <c r="I19" s="8" t="str">
        <f>IFERROR(__xludf.DUMMYFUNCTION("""COMPUTED_VALUE"""),"The front of this Shield is shaped in the likeness of a face. While bearing the Shield, you can take a Bonus Action to alter the face's expression.")</f>
        <v>The front of this Shield is shaped in the likeness of a face. While bearing the Shield, you can take a Bonus Action to alter the face's expression.</v>
      </c>
      <c r="J19" s="8">
        <f>IFERROR(__xludf.DUMMYFUNCTION("""COMPUTED_VALUE"""),50.0)</f>
        <v>50</v>
      </c>
    </row>
    <row r="20">
      <c r="A20" s="10" t="str">
        <f>IFERROR(__xludf.DUMMYFUNCTION("""COMPUTED_VALUE"""),"Shield of Shouting")</f>
        <v>Shield of Shouting</v>
      </c>
      <c r="B20" s="10" t="str">
        <f>IFERROR(__xludf.DUMMYFUNCTION("""COMPUTED_VALUE"""),"ToA")</f>
        <v>ToA</v>
      </c>
      <c r="C20" s="10" t="str">
        <f>IFERROR(__xludf.DUMMYFUNCTION("""COMPUTED_VALUE"""),"common")</f>
        <v>common</v>
      </c>
      <c r="D20" s="10" t="str">
        <f>IFERROR(__xludf.DUMMYFUNCTION("""COMPUTED_VALUE"""),"Shield")</f>
        <v>Shield</v>
      </c>
      <c r="E20" s="10"/>
      <c r="F20" s="10" t="str">
        <f>IFERROR(__xludf.DUMMYFUNCTION("""COMPUTED_VALUE"""),"AC +2")</f>
        <v>AC +2</v>
      </c>
      <c r="G20" s="10"/>
      <c r="H20" s="10"/>
      <c r="I20" s="10" t="str">
        <f>IFERROR(__xludf.DUMMYFUNCTION("""COMPUTED_VALUE"""),"A detect magic spell reveals an aura of transmutation magic around this shield, which has a minor magical property: words spoken by the shield's bearer are amplified and sound ten times louder than normal.")</f>
        <v>A detect magic spell reveals an aura of transmutation magic around this shield, which has a minor magical property: words spoken by the shield's bearer are amplified and sound ten times louder than normal.</v>
      </c>
      <c r="J20" s="10">
        <f>IFERROR(__xludf.DUMMYFUNCTION("""COMPUTED_VALUE"""),50.0)</f>
        <v>50</v>
      </c>
    </row>
    <row r="21">
      <c r="A21" s="8" t="str">
        <f>IFERROR(__xludf.DUMMYFUNCTION("""COMPUTED_VALUE"""),"Smoldering Armor")</f>
        <v>Smoldering Armor</v>
      </c>
      <c r="B21" s="8" t="str">
        <f>IFERROR(__xludf.DUMMYFUNCTION("""COMPUTED_VALUE"""),"DMG'24")</f>
        <v>DMG'24</v>
      </c>
      <c r="C21" s="8" t="str">
        <f>IFERROR(__xludf.DUMMYFUNCTION("""COMPUTED_VALUE"""),"common")</f>
        <v>common</v>
      </c>
      <c r="D21" s="8" t="str">
        <f>IFERROR(__xludf.DUMMYFUNCTION("""COMPUTED_VALUE"""),"Generic Variant")</f>
        <v>Generic Variant</v>
      </c>
      <c r="E21" s="8"/>
      <c r="F21" s="8"/>
      <c r="G21" s="8"/>
      <c r="H21" s="8"/>
      <c r="I21" s="8" t="str">
        <f>IFERROR(__xludf.DUMMYFUNCTION("""COMPUTED_VALUE"""),"Wisps of harmless, odorless smoke rise from this armor while it is worn. 
Applied to non-magical Base Equipment.")</f>
        <v>Wisps of harmless, odorless smoke rise from this armor while it is worn. 
Applied to non-magical Base Equipment.</v>
      </c>
      <c r="J21" s="8">
        <f>IFERROR(__xludf.DUMMYFUNCTION("""COMPUTED_VALUE"""),50.0)</f>
        <v>50</v>
      </c>
    </row>
    <row r="22">
      <c r="A22" s="10" t="str">
        <f>IFERROR(__xludf.DUMMYFUNCTION("""COMPUTED_VALUE"""),"Staff of Flowers")</f>
        <v>Staff of Flowers</v>
      </c>
      <c r="B22" s="10" t="str">
        <f>IFERROR(__xludf.DUMMYFUNCTION("""COMPUTED_VALUE"""),"DMG'24")</f>
        <v>DMG'24</v>
      </c>
      <c r="C22" s="10" t="str">
        <f>IFERROR(__xludf.DUMMYFUNCTION("""COMPUTED_VALUE"""),"common")</f>
        <v>common</v>
      </c>
      <c r="D22" s="10" t="str">
        <f>IFERROR(__xludf.DUMMYFUNCTION("""COMPUTED_VALUE"""),"Simple Weapon, Melee Weapon")</f>
        <v>Simple Weapon, Melee Weapon</v>
      </c>
      <c r="E22" s="10"/>
      <c r="F22" s="10" t="str">
        <f>IFERROR(__xludf.DUMMYFUNCTION("""COMPUTED_VALUE"""),"1d6 Bludgeoning")</f>
        <v>1d6 Bludgeoning</v>
      </c>
      <c r="G22" s="10" t="str">
        <f>IFERROR(__xludf.DUMMYFUNCTION("""COMPUTED_VALUE"""),"Versatile (1d8)")</f>
        <v>Versatile (1d8)</v>
      </c>
      <c r="H22" s="10" t="str">
        <f>IFERROR(__xludf.DUMMYFUNCTION("""COMPUTED_VALUE"""),"Mastery: Topple")</f>
        <v>Mastery: Topple</v>
      </c>
      <c r="I22" s="10" t="str">
        <f>IFERROR(__xludf.DUMMYFUNCTION("""COMPUTED_VALUE"""),"This wooden staff has 10 charges. While holding it, you can take a Magic action to expend 1 charge from the staff and cause a flower to sprout from a patch of earth or soil within 5 feet of yourself, or from the staff itself. Unless you choose a specific "&amp;"kind of flower, the staff creates a mild-scented daisy. The flower is harmless and nonmagical, and it grows or withers as a normal flower would. Regaining Charges. The staff regains 1d6 + 4 expended charges daily at dawn. If you expend the last charge, ro"&amp;"ll 1d20. On a 1, the staff turns into flower petals and is lost forever. Versatile. A Versatile weapon can be used with one or two hands. A damage value in parentheses appears with the property. The weapon deals that damage when used with two hands to mak"&amp;"e a melee attack. Mastery: Topple. If you hit a creature with this weapon, you can force the creature to make a Constitution saving throw (DC 8 plus the ability modifier used to make the attack roll and your Proficiency Bonus). On a failed save, the creat"&amp;"ure has the Prone condition.")</f>
        <v>This wooden staff has 10 charges. While holding it, you can take a Magic action to expend 1 charge from the staff and cause a flower to sprout from a patch of earth or soil within 5 feet of yourself, or from the staff itself. Unless you choose a specific kind of flower, the staff creates a mild-scented daisy. The flower is harmless and nonmagical, and it grows or withers as a normal flower would. Regaining Charges. The staff regains 1d6 + 4 expended charges daily at dawn. If you expend the last charge, roll 1d20. On a 1, the staff turns into flower petals and is lost forever. Versatile. A Versatile weapon can be used with one or two hands. A damage value in parentheses appears with the property. The weapon deals that damage when used with two hands to make a melee attack. Mastery: Topple. If you hit a creature with this weapon, you can force the creature to make a Constitution saving throw (DC 8 plus the ability modifier used to make the attack roll and your Proficiency Bonus). On a failed save, the creature has the Prone condition.</v>
      </c>
      <c r="J22" s="10">
        <f>IFERROR(__xludf.DUMMYFUNCTION("""COMPUTED_VALUE"""),50.0)</f>
        <v>50</v>
      </c>
    </row>
    <row r="23">
      <c r="A23" s="8" t="str">
        <f>IFERROR(__xludf.DUMMYFUNCTION("""COMPUTED_VALUE"""),"Wand of Conducting")</f>
        <v>Wand of Conducting</v>
      </c>
      <c r="B23" s="8" t="str">
        <f>IFERROR(__xludf.DUMMYFUNCTION("""COMPUTED_VALUE"""),"DMG'24")</f>
        <v>DMG'24</v>
      </c>
      <c r="C23" s="8" t="str">
        <f>IFERROR(__xludf.DUMMYFUNCTION("""COMPUTED_VALUE"""),"common")</f>
        <v>common</v>
      </c>
      <c r="D23" s="8" t="str">
        <f>IFERROR(__xludf.DUMMYFUNCTION("""COMPUTED_VALUE"""),"Wand")</f>
        <v>Wand</v>
      </c>
      <c r="E23" s="8"/>
      <c r="F23" s="8"/>
      <c r="G23" s="8"/>
      <c r="H23" s="8"/>
      <c r="I23" s="8" t="str">
        <f>IFERROR(__xludf.DUMMYFUNCTION("""COMPUTED_VALUE"""),"This wand has 3 charges. While holding it, you can take a Magic action to expend 1 charge and create orchestral music by waving it around. The music can be heard out to 120 feet and ends when you stop waving the wand. Regaining Charges. The wand regains a"&amp;"ll expended charges daily at dawn. If you expend the wand's last charge, roll 1d20. On a 1, a sad tuba sound plays as the wand crumbles into dust and is destroyed.")</f>
        <v>This wand has 3 charges. While holding it, you can take a Magic action to expend 1 charge and create orchestral music by waving it around. The music can be heard out to 120 feet and ends when you stop waving the wand. Regaining Charges. The wand regains all expended charges daily at dawn. If you expend the wand's last charge, roll 1d20. On a 1, a sad tuba sound plays as the wand crumbles into dust and is destroyed.</v>
      </c>
      <c r="J23" s="8">
        <f>IFERROR(__xludf.DUMMYFUNCTION("""COMPUTED_VALUE"""),50.0)</f>
        <v>50</v>
      </c>
    </row>
    <row r="24">
      <c r="A24" s="10" t="str">
        <f>IFERROR(__xludf.DUMMYFUNCTION("""COMPUTED_VALUE"""),"Wand of Pyrotechnics")</f>
        <v>Wand of Pyrotechnics</v>
      </c>
      <c r="B24" s="10" t="str">
        <f>IFERROR(__xludf.DUMMYFUNCTION("""COMPUTED_VALUE"""),"DMG'24")</f>
        <v>DMG'24</v>
      </c>
      <c r="C24" s="10" t="str">
        <f>IFERROR(__xludf.DUMMYFUNCTION("""COMPUTED_VALUE"""),"common")</f>
        <v>common</v>
      </c>
      <c r="D24" s="10" t="str">
        <f>IFERROR(__xludf.DUMMYFUNCTION("""COMPUTED_VALUE"""),"Wand")</f>
        <v>Wand</v>
      </c>
      <c r="E24" s="10"/>
      <c r="F24" s="10"/>
      <c r="G24" s="10"/>
      <c r="H24" s="10"/>
      <c r="I24" s="10" t="str">
        <f>IFERROR(__xludf.DUMMYFUNCTION("""COMPUTED_VALUE"""),"This wand has 7 charges. While holding it, you can take a Magic action to expend 1 charge and create a harmless burst of multicolored light at a point you can see up to 120 feet away. The burst of light is accompanied by a crackling noise that can be hear"&amp;"d up to 300 feet away. The light is as bright as a torch flame but lasts only a second. Regaining Charges. The wand regains 1d6 + 1 expended charges daily at dawn. If you expend the wand's last charge, roll 1d20. On a 1, the wand erupts in a harmless pyro"&amp;"technic display and is destroyed.")</f>
        <v>This wand has 7 charges. While holding it, you can take a Magic action to expend 1 charge and create a harmless burst of multicolored light at a point you can see up to 120 feet away. The burst of light is accompanied by a crackling noise that can be heard up to 300 feet away. The light is as bright as a torch flame but lasts only a second. Regaining Charges. The wand regains 1d6 + 1 expended charges daily at dawn. If you expend the wand's last charge, roll 1d20. On a 1, the wand erupts in a harmless pyrotechnic display and is destroyed.</v>
      </c>
      <c r="J24" s="10">
        <f>IFERROR(__xludf.DUMMYFUNCTION("""COMPUTED_VALUE"""),50.0)</f>
        <v>50</v>
      </c>
    </row>
    <row r="25">
      <c r="A25" s="8" t="str">
        <f>IFERROR(__xludf.DUMMYFUNCTION("""COMPUTED_VALUE"""),"Wand of Scowls")</f>
        <v>Wand of Scowls</v>
      </c>
      <c r="B25" s="8" t="str">
        <f>IFERROR(__xludf.DUMMYFUNCTION("""COMPUTED_VALUE"""),"XGE")</f>
        <v>XGE</v>
      </c>
      <c r="C25" s="8" t="str">
        <f>IFERROR(__xludf.DUMMYFUNCTION("""COMPUTED_VALUE"""),"common")</f>
        <v>common</v>
      </c>
      <c r="D25" s="8" t="str">
        <f>IFERROR(__xludf.DUMMYFUNCTION("""COMPUTED_VALUE"""),"Wand")</f>
        <v>Wand</v>
      </c>
      <c r="E25" s="8"/>
      <c r="F25" s="8"/>
      <c r="G25" s="8"/>
      <c r="H25" s="8"/>
      <c r="I25" s="8" t="str">
        <f>IFERROR(__xludf.DUMMYFUNCTION("""COMPUTED_VALUE"""),"This wand has 3 charges. While holding it, you can use an action to expend 1 of its charges and target a humanoid you can see within 30 feet of you. The target must succeed on a DC 10 Charisma saving throw or be forced to scowl for 1 minute.The wand regai"&amp;"ns all expended charges daily at dawn. If you expend the wand's last charge, roll a d20. On a 1, the wand transforms into a wand of smiles.")</f>
        <v>This wand has 3 charges. While holding it, you can use an action to expend 1 of its charges and target a humanoid you can see within 30 feet of you. The target must succeed on a DC 10 Charisma saving throw or be forced to scowl for 1 minute.The wand regains all expended charges daily at dawn. If you expend the wand's last charge, roll a d20. On a 1, the wand transforms into a wand of smiles.</v>
      </c>
      <c r="J25" s="8">
        <f>IFERROR(__xludf.DUMMYFUNCTION("""COMPUTED_VALUE"""),50.0)</f>
        <v>50</v>
      </c>
    </row>
    <row r="26">
      <c r="A26" s="10" t="str">
        <f>IFERROR(__xludf.DUMMYFUNCTION("""COMPUTED_VALUE"""),"Wand of Smiles")</f>
        <v>Wand of Smiles</v>
      </c>
      <c r="B26" s="10" t="str">
        <f>IFERROR(__xludf.DUMMYFUNCTION("""COMPUTED_VALUE"""),"XGE")</f>
        <v>XGE</v>
      </c>
      <c r="C26" s="10" t="str">
        <f>IFERROR(__xludf.DUMMYFUNCTION("""COMPUTED_VALUE"""),"common")</f>
        <v>common</v>
      </c>
      <c r="D26" s="10" t="str">
        <f>IFERROR(__xludf.DUMMYFUNCTION("""COMPUTED_VALUE"""),"Wand")</f>
        <v>Wand</v>
      </c>
      <c r="E26" s="10"/>
      <c r="F26" s="10"/>
      <c r="G26" s="10"/>
      <c r="H26" s="10"/>
      <c r="I26" s="10" t="str">
        <f>IFERROR(__xludf.DUMMYFUNCTION("""COMPUTED_VALUE"""),"This wand has 3 charges. While holding it, you can use an action to expend 1 of its charges and target a humanoid you can see within 30 feet of you. The target must succeed on a DC 10 Charisma saving throw or be forced to smile for 1 minute.The wand regai"&amp;"ns all expended charges daily at dawn. If you expend the wand's last charge, roll a d20. On a 1, the wand transforms into a wand of scowls.")</f>
        <v>This wand has 3 charges. While holding it, you can use an action to expend 1 of its charges and target a humanoid you can see within 30 feet of you. The target must succeed on a DC 10 Charisma saving throw or be forced to smile for 1 minute.The wand regains all expended charges daily at dawn. If you expend the wand's last charge, roll a d20. On a 1, the wand transforms into a wand of scowls.</v>
      </c>
      <c r="J26" s="10">
        <f>IFERROR(__xludf.DUMMYFUNCTION("""COMPUTED_VALUE"""),50.0)</f>
        <v>50</v>
      </c>
    </row>
    <row r="27">
      <c r="A27" s="8" t="str">
        <f>IFERROR(__xludf.DUMMYFUNCTION("""COMPUTED_VALUE"""),"Instrument of Illusions")</f>
        <v>Instrument of Illusions</v>
      </c>
      <c r="B27" s="8" t="str">
        <f>IFERROR(__xludf.DUMMYFUNCTION("""COMPUTED_VALUE"""),"DMG'24")</f>
        <v>DMG'24</v>
      </c>
      <c r="C27" s="8" t="str">
        <f>IFERROR(__xludf.DUMMYFUNCTION("""COMPUTED_VALUE"""),"common")</f>
        <v>common</v>
      </c>
      <c r="D27" s="8" t="str">
        <f>IFERROR(__xludf.DUMMYFUNCTION("""COMPUTED_VALUE"""),"Wondrous Item, Instrument")</f>
        <v>Wondrous Item, Instrument</v>
      </c>
      <c r="E27" s="8"/>
      <c r="F27" s="8"/>
      <c r="G27" s="8"/>
      <c r="H27" s="8"/>
      <c r="I27" s="8" t="str">
        <f>IFERROR(__xludf.DUMMYFUNCTION("""COMPUTED_VALUE"""),"While you are playing this musical instrument, you can take a Magic action to create harmless, illusory visual effects within a 5-foot Emanation originating from the instrument. If you are a Bard, the size of the Emanation increases to 15 feet. Sample vis"&amp;"ual effects include luminous musical notes, a spectral dancer, butterflies, and gently falling snow. The magical effects have neither substance nor sound, and they are obviously illusory. The effects end when you stop playing.")</f>
        <v>While you are playing this musical instrument, you can take a Magic action to create harmless, illusory visual effects within a 5-foot Emanation originating from the instrument. If you are a Bard, the size of the Emanation increases to 15 feet. Sample visual effects include luminous musical notes, a spectral dancer, butterflies, and gently falling snow. The magical effects have neither substance nor sound, and they are obviously illusory. The effects end when you stop playing.</v>
      </c>
      <c r="J27" s="8">
        <f>IFERROR(__xludf.DUMMYFUNCTION("""COMPUTED_VALUE"""),100.0)</f>
        <v>100</v>
      </c>
    </row>
    <row r="28">
      <c r="A28" s="10" t="str">
        <f>IFERROR(__xludf.DUMMYFUNCTION("""COMPUTED_VALUE"""),"Potion of Healing")</f>
        <v>Potion of Healing</v>
      </c>
      <c r="B28" s="10" t="str">
        <f>IFERROR(__xludf.DUMMYFUNCTION("""COMPUTED_VALUE"""),"DMG'24")</f>
        <v>DMG'24</v>
      </c>
      <c r="C28" s="10" t="str">
        <f>IFERROR(__xludf.DUMMYFUNCTION("""COMPUTED_VALUE"""),"common")</f>
        <v>common</v>
      </c>
      <c r="D28" s="10" t="str">
        <f>IFERROR(__xludf.DUMMYFUNCTION("""COMPUTED_VALUE"""),"Potion")</f>
        <v>Potion</v>
      </c>
      <c r="E28" s="10"/>
      <c r="F28" s="10"/>
      <c r="G28" s="10"/>
      <c r="H28" s="10"/>
      <c r="I28" s="10" t="str">
        <f>IFERROR(__xludf.DUMMYFUNCTION("""COMPUTED_VALUE"""),"This potion is a magic item. As a Bonus Action, you can drink it or administer it to another creature within 5 feet of yourself. The creature that drinks the magical red fluid in this vial regains 2d4 + 2 Hit Points. The potion's red liquid glimmers when "&amp;"agitated.  Purchasing this gives an adventurer 1 use of this item per guild mission they go on, and does not stack unless you purchase more than 1.")</f>
        <v>This potion is a magic item. As a Bonus Action, you can drink it or administer it to another creature within 5 feet of yourself. The creature that drinks the magical red fluid in this vial regains 2d4 + 2 Hit Points. The potion's red liquid glimmers when agitated.  Purchasing this gives an adventurer 1 use of this item per guild mission they go on, and does not stack unless you purchase more than 1.</v>
      </c>
      <c r="J28" s="10">
        <f>IFERROR(__xludf.DUMMYFUNCTION("""COMPUTED_VALUE"""),100.0)</f>
        <v>100</v>
      </c>
    </row>
    <row r="29">
      <c r="A29" s="8" t="str">
        <f>IFERROR(__xludf.DUMMYFUNCTION("""COMPUTED_VALUE"""),"Bag of Holding")</f>
        <v>Bag of Holding</v>
      </c>
      <c r="B29" s="8" t="str">
        <f>IFERROR(__xludf.DUMMYFUNCTION("""COMPUTED_VALUE"""),"DMG'24")</f>
        <v>DMG'24</v>
      </c>
      <c r="C29" s="8" t="str">
        <f>IFERROR(__xludf.DUMMYFUNCTION("""COMPUTED_VALUE"""),"uncommon")</f>
        <v>uncommon</v>
      </c>
      <c r="D29" s="8" t="str">
        <f>IFERROR(__xludf.DUMMYFUNCTION("""COMPUTED_VALUE"""),"Wondrous Item")</f>
        <v>Wondrous Item</v>
      </c>
      <c r="E29" s="8"/>
      <c r="F29" s="8"/>
      <c r="G29" s="8"/>
      <c r="H29" s="8"/>
      <c r="I29" s="8" t="str">
        <f>IFERROR(__xludf.DUMMYFUNCTION("""COMPUTED_VALUE"""),"This bag has an interior space considerably larger than its outside dimensionsâroughly 2 feet square and 4 feet deep on the inside. The bag can hold up to 500 pounds, not exceeding a volume of 64 cubic feet. The bag weighs 5 pounds, regardless of its co"&amp;"ntents. Retrieving an item from the bag requires a Utilize action.If the bag is overloaded, pierced, or torn, it is destroyed, and its contents are scattered in the Astral Plane. If the bag is turned inside out, its contents spill forth unharmed, but the "&amp;"bag must be put right before it can be used again. The bag holds enough air for 10 minutes of breathing, divided by the number of breathing creatures inside.Placing a Bag of Holding inside an extradimensional space created by a Heward's Handy Haversack, P"&amp;"ortable Hole, or similar item instantly destroys both items and opens a gate to the Astral Plane. The gate originates where the one item was placed inside the other. Any creature within a 10-foot-radius Sphere centered on the gate is sucked through it to "&amp;"a random location on the Astral Plane. The gate then closes. The gate is one-way and can't be reopened.  You are only allowed to own one of these items.")</f>
        <v>This bag has an interior space considerably larger than its outside dimensionsâ_x0080__x0094_roughly 2 feet square and 4 feet deep on the inside. The bag can hold up to 500 pounds, not exceeding a volume of 64 cubic feet. The bag weighs 5 pounds, regardless of its contents. Retrieving an item from the bag requires a Utilize action.If the bag is overloaded, pierced, or torn, it is destroyed, and its contents are scattered in the Astral Plane. If the bag is turned inside out, its contents spill forth unharmed, but the bag must be put right before it can be used again. The bag holds enough air for 10 minutes of breathing, divided by the number of breathing creatures inside.Placing a Bag of Holding inside an extradimensional space created by a Heward's Handy Haversack, Portable Hole, or similar item instantly destroys both items and opens a gate to the Astral Plane. The gate originates where the one item was placed inside the other. Any creature within a 10-foot-radius Sphere centered on the gate is sucked through it to a random location on the Astral Plane. The gate then closes. The gate is one-way and can't be reopened.  You are only allowed to own one of these items.</v>
      </c>
      <c r="J29" s="8">
        <f>IFERROR(__xludf.DUMMYFUNCTION("""COMPUTED_VALUE"""),100.0)</f>
        <v>100</v>
      </c>
    </row>
    <row r="30">
      <c r="A30" s="10" t="str">
        <f>IFERROR(__xludf.DUMMYFUNCTION("""COMPUTED_VALUE"""),"Potion of Climbing")</f>
        <v>Potion of Climbing</v>
      </c>
      <c r="B30" s="10" t="str">
        <f>IFERROR(__xludf.DUMMYFUNCTION("""COMPUTED_VALUE"""),"DMG'24")</f>
        <v>DMG'24</v>
      </c>
      <c r="C30" s="10" t="str">
        <f>IFERROR(__xludf.DUMMYFUNCTION("""COMPUTED_VALUE"""),"common")</f>
        <v>common</v>
      </c>
      <c r="D30" s="10" t="str">
        <f>IFERROR(__xludf.DUMMYFUNCTION("""COMPUTED_VALUE"""),"Potion")</f>
        <v>Potion</v>
      </c>
      <c r="E30" s="10"/>
      <c r="F30" s="10"/>
      <c r="G30" s="10"/>
      <c r="H30" s="10"/>
      <c r="I30" s="10" t="str">
        <f>IFERROR(__xludf.DUMMYFUNCTION("""COMPUTED_VALUE"""),"When you drink this potion, you gain a Climb Speed equal to your Speed for 1 hour. During this time, you have Advantage on Strength (Athletics) checks to climb.This potion is separated into brown, silver, and gray layers resembling bands of stone. Shaking"&amp;" the bottle fails to mix the colors.  Purchasing this gives an adventurer 1 use of this item per guild mission they go on, and does not stack unless you purchase more than 1.")</f>
        <v>When you drink this potion, you gain a Climb Speed equal to your Speed for 1 hour. During this time, you have Advantage on Strength (Athletics) checks to climb.This potion is separated into brown, silver, and gray layers resembling bands of stone. Shaking the bottle fails to mix the colors.  Purchasing this gives an adventurer 1 use of this item per guild mission they go on, and does not stack unless you purchase more than 1.</v>
      </c>
      <c r="J30" s="10">
        <f>IFERROR(__xludf.DUMMYFUNCTION("""COMPUTED_VALUE"""),150.0)</f>
        <v>150</v>
      </c>
    </row>
    <row r="31">
      <c r="A31" s="8" t="str">
        <f>IFERROR(__xludf.DUMMYFUNCTION("""COMPUTED_VALUE"""),"Potion of Comprehension")</f>
        <v>Potion of Comprehension</v>
      </c>
      <c r="B31" s="8" t="str">
        <f>IFERROR(__xludf.DUMMYFUNCTION("""COMPUTED_VALUE"""),"DMG'24")</f>
        <v>DMG'24</v>
      </c>
      <c r="C31" s="8" t="str">
        <f>IFERROR(__xludf.DUMMYFUNCTION("""COMPUTED_VALUE"""),"common")</f>
        <v>common</v>
      </c>
      <c r="D31" s="8" t="str">
        <f>IFERROR(__xludf.DUMMYFUNCTION("""COMPUTED_VALUE"""),"Potion")</f>
        <v>Potion</v>
      </c>
      <c r="E31" s="8"/>
      <c r="F31" s="8"/>
      <c r="G31" s="8"/>
      <c r="H31" s="8"/>
      <c r="I31" s="8" t="str">
        <f>IFERROR(__xludf.DUMMYFUNCTION("""COMPUTED_VALUE"""),"When you drink this potion, you gain the effect of the Comprehend Languages spell for 1 hour.This potion's liquid is a clear concoction with bits of salt and soot swirling in it.  Purchasing this gives an adventurer 1 use of this item per guild mission th"&amp;"ey go on, and does not stack unless you purchase more than 1.")</f>
        <v>When you drink this potion, you gain the effect of the Comprehend Languages spell for 1 hour.This potion's liquid is a clear concoction with bits of salt and soot swirling in it.  Purchasing this gives an adventurer 1 use of this item per guild mission they go on, and does not stack unless you purchase more than 1.</v>
      </c>
      <c r="J31" s="8">
        <f>IFERROR(__xludf.DUMMYFUNCTION("""COMPUTED_VALUE"""),150.0)</f>
        <v>150</v>
      </c>
    </row>
    <row r="32">
      <c r="A32" s="10" t="str">
        <f>IFERROR(__xludf.DUMMYFUNCTION("""COMPUTED_VALUE"""),"Emerald Pen")</f>
        <v>Emerald Pen</v>
      </c>
      <c r="B32" s="10" t="str">
        <f>IFERROR(__xludf.DUMMYFUNCTION("""COMPUTED_VALUE"""),"FTD")</f>
        <v>FTD</v>
      </c>
      <c r="C32" s="10" t="str">
        <f>IFERROR(__xludf.DUMMYFUNCTION("""COMPUTED_VALUE"""),"uncommon")</f>
        <v>uncommon</v>
      </c>
      <c r="D32" s="10" t="str">
        <f>IFERROR(__xludf.DUMMYFUNCTION("""COMPUTED_VALUE"""),"Wondrous Item")</f>
        <v>Wondrous Item</v>
      </c>
      <c r="E32" s="10"/>
      <c r="F32" s="10"/>
      <c r="G32" s="10"/>
      <c r="H32" s="10"/>
      <c r="I32" s="10" t="str">
        <f>IFERROR(__xludf.DUMMYFUNCTION("""COMPUTED_VALUE"""),"This pen is tipped with an emerald nib and requires no ink to write. While holding this pen, you can cast illusory script at will, requiring no material components.")</f>
        <v>This pen is tipped with an emerald nib and requires no ink to write. While holding this pen, you can cast illusory script at will, requiring no material components.</v>
      </c>
      <c r="J32" s="10">
        <f>IFERROR(__xludf.DUMMYFUNCTION("""COMPUTED_VALUE"""),150.0)</f>
        <v>150</v>
      </c>
    </row>
    <row r="33">
      <c r="A33" s="8" t="str">
        <f>IFERROR(__xludf.DUMMYFUNCTION("""COMPUTED_VALUE"""),"Rope of Climbing")</f>
        <v>Rope of Climbing</v>
      </c>
      <c r="B33" s="8" t="str">
        <f>IFERROR(__xludf.DUMMYFUNCTION("""COMPUTED_VALUE"""),"DMG'24")</f>
        <v>DMG'24</v>
      </c>
      <c r="C33" s="8" t="str">
        <f>IFERROR(__xludf.DUMMYFUNCTION("""COMPUTED_VALUE"""),"uncommon")</f>
        <v>uncommon</v>
      </c>
      <c r="D33" s="8" t="str">
        <f>IFERROR(__xludf.DUMMYFUNCTION("""COMPUTED_VALUE"""),"Wondrous Item")</f>
        <v>Wondrous Item</v>
      </c>
      <c r="E33" s="8"/>
      <c r="F33" s="8"/>
      <c r="G33" s="8"/>
      <c r="H33" s="8"/>
      <c r="I33" s="8" t="str">
        <f>IFERROR(__xludf.DUMMYFUNCTION("""COMPUTED_VALUE"""),"This 60-foot length of rope can hold up to 3,000 pounds. While holding one end of the rope, you can take a Magic action to command the other end of the rope to animate and move toward a destination you choose, up to the rope's length away from you. That e"&amp;"nd moves 10 feet on your turn when you first command it and 10 feet at the start of each of your subsequent turns until reaching its destination or until you tell it to stop. You can also tell the rope to fasten itself securely to an object or to unfasten"&amp;" itself, to knot or unknot itself, or to coil itself for carrying.If you tell the rope to knot, large knots appear at 1-foot intervals along the rope. While knotted, the rope shortens to a 50-foot length and grants Advantage on ability checks made to clim"&amp;"b using the rope.The rope has AC 20, HP 20, and Immunity to Poison and Psychic damage. It regains 1 Hit Point every 5 minutes as long as it has at least 1 Hit Point. If the rope drops to 0 Hit Points, it is destroyed.")</f>
        <v>This 60-foot length of rope can hold up to 3,000 pounds. While holding one end of the rope, you can take a Magic action to command the other end of the rope to animate and move toward a destination you choose, up to the rope's length away from you. That end moves 10 feet on your turn when you first command it and 10 feet at the start of each of your subsequent turns until reaching its destination or until you tell it to stop. You can also tell the rope to fasten itself securely to an object or to unfasten itself, to knot or unknot itself, or to coil itself for carrying.If you tell the rope to knot, large knots appear at 1-foot intervals along the rope. While knotted, the rope shortens to a 50-foot length and grants Advantage on ability checks made to climb using the rope.The rope has AC 20, HP 20, and Immunity to Poison and Psychic damage. It regains 1 Hit Point every 5 minutes as long as it has at least 1 Hit Point. If the rope drops to 0 Hit Points, it is destroyed.</v>
      </c>
      <c r="J33" s="8">
        <f>IFERROR(__xludf.DUMMYFUNCTION("""COMPUTED_VALUE"""),150.0)</f>
        <v>150</v>
      </c>
    </row>
    <row r="34">
      <c r="A34" s="10" t="str">
        <f>IFERROR(__xludf.DUMMYFUNCTION("""COMPUTED_VALUE"""),"Potion of Water Breathing")</f>
        <v>Potion of Water Breathing</v>
      </c>
      <c r="B34" s="10" t="str">
        <f>IFERROR(__xludf.DUMMYFUNCTION("""COMPUTED_VALUE"""),"DMG'24")</f>
        <v>DMG'24</v>
      </c>
      <c r="C34" s="10" t="str">
        <f>IFERROR(__xludf.DUMMYFUNCTION("""COMPUTED_VALUE"""),"uncommon")</f>
        <v>uncommon</v>
      </c>
      <c r="D34" s="10" t="str">
        <f>IFERROR(__xludf.DUMMYFUNCTION("""COMPUTED_VALUE"""),"Potion")</f>
        <v>Potion</v>
      </c>
      <c r="E34" s="10"/>
      <c r="F34" s="10"/>
      <c r="G34" s="10"/>
      <c r="H34" s="10"/>
      <c r="I34" s="10" t="str">
        <f>IFERROR(__xludf.DUMMYFUNCTION("""COMPUTED_VALUE"""),"You can breathe underwater for 24 hours after drinking this potion.This potion's cloudy green fluid smells of the sea and has a jellyfish-like bubble floating in it.  Purchasing this gives an adventurer 1 use of this item per guild mission they go on, and"&amp;" does not stack unless you purchase more than 1.")</f>
        <v>You can breathe underwater for 24 hours after drinking this potion.This potion's cloudy green fluid smells of the sea and has a jellyfish-like bubble floating in it.  Purchasing this gives an adventurer 1 use of this item per guild mission they go on, and does not stack unless you purchase more than 1.</v>
      </c>
      <c r="J34" s="10">
        <f>IFERROR(__xludf.DUMMYFUNCTION("""COMPUTED_VALUE"""),200.0)</f>
        <v>200</v>
      </c>
    </row>
    <row r="35">
      <c r="A35" s="8" t="str">
        <f>IFERROR(__xludf.DUMMYFUNCTION("""COMPUTED_VALUE"""),"Adamantine Armor")</f>
        <v>Adamantine Armor</v>
      </c>
      <c r="B35" s="8" t="str">
        <f>IFERROR(__xludf.DUMMYFUNCTION("""COMPUTED_VALUE"""),"DMG'24")</f>
        <v>DMG'24</v>
      </c>
      <c r="C35" s="8" t="str">
        <f>IFERROR(__xludf.DUMMYFUNCTION("""COMPUTED_VALUE"""),"uncommon")</f>
        <v>uncommon</v>
      </c>
      <c r="D35" s="8" t="str">
        <f>IFERROR(__xludf.DUMMYFUNCTION("""COMPUTED_VALUE"""),"Generic Variant")</f>
        <v>Generic Variant</v>
      </c>
      <c r="E35" s="8"/>
      <c r="F35" s="8"/>
      <c r="G35" s="8"/>
      <c r="H35" s="8"/>
      <c r="I35" s="8" t="str">
        <f>IFERROR(__xludf.DUMMYFUNCTION("""COMPUTED_VALUE"""),"This suit of armor is reinforced with adamantine, one of the hardest substances in existence. While you're wearing it, any Critical Hit against you becomes a normal hit. 
Applied to non-magical Base Equipment.")</f>
        <v>This suit of armor is reinforced with adamantine, one of the hardest substances in existence. While you're wearing it, any Critical Hit against you becomes a normal hit. 
Applied to non-magical Base Equipment.</v>
      </c>
      <c r="J35" s="8">
        <f>IFERROR(__xludf.DUMMYFUNCTION("""COMPUTED_VALUE"""),250.0)</f>
        <v>250</v>
      </c>
    </row>
    <row r="36">
      <c r="A36" s="10" t="str">
        <f>IFERROR(__xludf.DUMMYFUNCTION("""COMPUTED_VALUE"""),"+1 Spell attack Roll")</f>
        <v>+1 Spell attack Roll</v>
      </c>
      <c r="B36" s="10" t="str">
        <f>IFERROR(__xludf.DUMMYFUNCTION("""COMPUTED_VALUE"""),"Custom rule")</f>
        <v>Custom rule</v>
      </c>
      <c r="C36" s="10" t="str">
        <f>IFERROR(__xludf.DUMMYFUNCTION("""COMPUTED_VALUE"""),"Uncommon")</f>
        <v>Uncommon</v>
      </c>
      <c r="D36" s="10" t="str">
        <f>IFERROR(__xludf.DUMMYFUNCTION("""COMPUTED_VALUE"""),"Generic Variant")</f>
        <v>Generic Variant</v>
      </c>
      <c r="E36" s="10"/>
      <c r="F36" s="10"/>
      <c r="G36" s="10"/>
      <c r="H36" s="10"/>
      <c r="I36" s="10" t="str">
        <f>IFERROR(__xludf.DUMMYFUNCTION("""COMPUTED_VALUE"""),"You have a +1 bonus to spell attack rolls when using this focus. Available to level 5+.")</f>
        <v>You have a +1 bonus to spell attack rolls when using this focus. Available to level 5+.</v>
      </c>
      <c r="J36" s="10">
        <f>IFERROR(__xludf.DUMMYFUNCTION("""COMPUTED_VALUE"""),300.0)</f>
        <v>300</v>
      </c>
    </row>
    <row r="37">
      <c r="A37" s="8" t="str">
        <f>IFERROR(__xludf.DUMMYFUNCTION("""COMPUTED_VALUE"""),"+1 Weapon")</f>
        <v>+1 Weapon</v>
      </c>
      <c r="B37" s="8" t="str">
        <f>IFERROR(__xludf.DUMMYFUNCTION("""COMPUTED_VALUE"""),"DMG'24")</f>
        <v>DMG'24</v>
      </c>
      <c r="C37" s="8" t="str">
        <f>IFERROR(__xludf.DUMMYFUNCTION("""COMPUTED_VALUE"""),"uncommon")</f>
        <v>uncommon</v>
      </c>
      <c r="D37" s="8" t="str">
        <f>IFERROR(__xludf.DUMMYFUNCTION("""COMPUTED_VALUE"""),"Generic Variant")</f>
        <v>Generic Variant</v>
      </c>
      <c r="E37" s="8"/>
      <c r="F37" s="8"/>
      <c r="G37" s="8"/>
      <c r="H37" s="8"/>
      <c r="I37" s="8" t="str">
        <f>IFERROR(__xludf.DUMMYFUNCTION("""COMPUTED_VALUE"""),"You have a +1 bonus to attack and damage rolls made with this magic weapon.
Available to level 5+.")</f>
        <v>You have a +1 bonus to attack and damage rolls made with this magic weapon.
Available to level 5+.</v>
      </c>
      <c r="J37" s="8">
        <f>IFERROR(__xludf.DUMMYFUNCTION("""COMPUTED_VALUE"""),300.0)</f>
        <v>300</v>
      </c>
    </row>
    <row r="38">
      <c r="A38" s="10" t="str">
        <f>IFERROR(__xludf.DUMMYFUNCTION("""COMPUTED_VALUE"""),"Armor of Fungal Spores")</f>
        <v>Armor of Fungal Spores</v>
      </c>
      <c r="B38" s="10" t="str">
        <f>IFERROR(__xludf.DUMMYFUNCTION("""COMPUTED_VALUE"""),"BMT")</f>
        <v>BMT</v>
      </c>
      <c r="C38" s="10" t="str">
        <f>IFERROR(__xludf.DUMMYFUNCTION("""COMPUTED_VALUE"""),"uncommon")</f>
        <v>uncommon</v>
      </c>
      <c r="D38" s="10" t="str">
        <f>IFERROR(__xludf.DUMMYFUNCTION("""COMPUTED_VALUE"""),"Generic Variant")</f>
        <v>Generic Variant</v>
      </c>
      <c r="E38" s="10"/>
      <c r="F38" s="10"/>
      <c r="G38" s="10"/>
      <c r="H38" s="10"/>
      <c r="I38" s="10" t="str">
        <f>IFERROR(__xludf.DUMMYFUNCTION("""COMPUTED_VALUE"""),"While wearing this armor, you can take a bonus action to make the armor emit poisonous spores, which fill a 10-foot-radius sphere centered on yourself. Each creature in that area must succeed on a DC 15 Constitution saving throw or have the poisoned condi"&amp;"tion until the end of your next turn. Once this property is used, it can't be used again until the next dawn. 
Applied to non-magical Base Equipment.")</f>
        <v>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 
Applied to non-magical Base Equipment.</v>
      </c>
      <c r="J38" s="10">
        <f>IFERROR(__xludf.DUMMYFUNCTION("""COMPUTED_VALUE"""),300.0)</f>
        <v>300</v>
      </c>
    </row>
    <row r="39">
      <c r="A39" s="8" t="str">
        <f>IFERROR(__xludf.DUMMYFUNCTION("""COMPUTED_VALUE"""),"Goggles of Night")</f>
        <v>Goggles of Night</v>
      </c>
      <c r="B39" s="8" t="str">
        <f>IFERROR(__xludf.DUMMYFUNCTION("""COMPUTED_VALUE"""),"DMG'24")</f>
        <v>DMG'24</v>
      </c>
      <c r="C39" s="8" t="str">
        <f>IFERROR(__xludf.DUMMYFUNCTION("""COMPUTED_VALUE"""),"uncommon")</f>
        <v>uncommon</v>
      </c>
      <c r="D39" s="8" t="str">
        <f>IFERROR(__xludf.DUMMYFUNCTION("""COMPUTED_VALUE"""),"Wondrous Item")</f>
        <v>Wondrous Item</v>
      </c>
      <c r="E39" s="8"/>
      <c r="F39" s="8"/>
      <c r="G39" s="8"/>
      <c r="H39" s="8"/>
      <c r="I39" s="8" t="str">
        <f>IFERROR(__xludf.DUMMYFUNCTION("""COMPUTED_VALUE"""),"While wearing these dark lenses, you have Darkvision out to 60 feet. If you already have Darkvision, wearing the goggles increases its range by 60 feet.")</f>
        <v>While wearing these dark lenses, you have Darkvision out to 60 feet. If you already have Darkvision, wearing the goggles increases its range by 60 feet.</v>
      </c>
      <c r="J39" s="8">
        <f>IFERROR(__xludf.DUMMYFUNCTION("""COMPUTED_VALUE"""),300.0)</f>
        <v>300</v>
      </c>
    </row>
    <row r="40">
      <c r="A40" s="10" t="str">
        <f>IFERROR(__xludf.DUMMYFUNCTION("""COMPUTED_VALUE"""),"Lantern of Revealing")</f>
        <v>Lantern of Revealing</v>
      </c>
      <c r="B40" s="10" t="str">
        <f>IFERROR(__xludf.DUMMYFUNCTION("""COMPUTED_VALUE"""),"DMG'24")</f>
        <v>DMG'24</v>
      </c>
      <c r="C40" s="10" t="str">
        <f>IFERROR(__xludf.DUMMYFUNCTION("""COMPUTED_VALUE"""),"uncommon")</f>
        <v>uncommon</v>
      </c>
      <c r="D40" s="10" t="str">
        <f>IFERROR(__xludf.DUMMYFUNCTION("""COMPUTED_VALUE"""),"Wondrous Item")</f>
        <v>Wondrous Item</v>
      </c>
      <c r="E40" s="10"/>
      <c r="F40" s="10"/>
      <c r="G40" s="10"/>
      <c r="H40" s="10"/>
      <c r="I40" s="10" t="str">
        <f>IFERROR(__xludf.DUMMYFUNCTION("""COMPUTED_VALUE"""),"While lit, this hooded lantern burns for 6 hours on 1 pint of oil, shedding Bright Light in a 30-foot radius and Dim Light for an additional 30 feet. Invisible creatures and objects are visible as long as they are in the lantern's Bright Light. You can ta"&amp;"ke a Utilize action to lower the hood, reducing the lantern's light to Dim Light in a 5-foot radius.")</f>
        <v>While lit, this hooded lantern burns for 6 hours on 1 pint of oil, shedding Bright Light in a 30-foot radius and Dim Light for an additional 30 feet. Invisible creatures and objects are visible as long as they are in the lantern's Bright Light. You can take a Utilize action to lower the hood, reducing the lantern's light to Dim Light in a 5-foot radius.</v>
      </c>
      <c r="J40" s="10">
        <f>IFERROR(__xludf.DUMMYFUNCTION("""COMPUTED_VALUE"""),300.0)</f>
        <v>300</v>
      </c>
    </row>
    <row r="41">
      <c r="A41" s="8" t="str">
        <f>IFERROR(__xludf.DUMMYFUNCTION("""COMPUTED_VALUE"""),"Potion of Psionic Fortitude")</f>
        <v>Potion of Psionic Fortitude</v>
      </c>
      <c r="B41" s="8" t="str">
        <f>IFERROR(__xludf.DUMMYFUNCTION("""COMPUTED_VALUE"""),"PaBTSO")</f>
        <v>PaBTSO</v>
      </c>
      <c r="C41" s="8" t="str">
        <f>IFERROR(__xludf.DUMMYFUNCTION("""COMPUTED_VALUE"""),"uncommon")</f>
        <v>uncommon</v>
      </c>
      <c r="D41" s="8" t="str">
        <f>IFERROR(__xludf.DUMMYFUNCTION("""COMPUTED_VALUE"""),"Potion")</f>
        <v>Potion</v>
      </c>
      <c r="E41" s="8"/>
      <c r="F41" s="8"/>
      <c r="G41" s="8"/>
      <c r="H41" s="8"/>
      <c r="I41" s="8" t="str">
        <f>IFERROR(__xludf.DUMMYFUNCTION("""COMPUTED_VALUE"""),"When you drink this potion, you have advantage for 1 hour on saving throws you make to avoid or end the charmed or stunned condition on yourself. This black potion swirls with shimmering flecks of pink and purple.  Purchasing this gives an adventurer 1 us"&amp;"e of this item per guild mission they go on, and does not stack unless you purchase more than 1.")</f>
        <v>When you drink this potion, you have advantage for 1 hour on saving throws you make to avoid or end the charmed or stunned condition on yourself. This black potion swirls with shimmering flecks of pink and purple.  Purchasing this gives an adventurer 1 use of this item per guild mission they go on, and does not stack unless you purchase more than 1.</v>
      </c>
      <c r="J41" s="8">
        <f>IFERROR(__xludf.DUMMYFUNCTION("""COMPUTED_VALUE"""),300.0)</f>
        <v>300</v>
      </c>
    </row>
    <row r="42">
      <c r="A42" s="10" t="str">
        <f>IFERROR(__xludf.DUMMYFUNCTION("""COMPUTED_VALUE"""),"Wraps of Unarmed Power +1")</f>
        <v>Wraps of Unarmed Power +1</v>
      </c>
      <c r="B42" s="10" t="str">
        <f>IFERROR(__xludf.DUMMYFUNCTION("""COMPUTED_VALUE"""),"DMG'24")</f>
        <v>DMG'24</v>
      </c>
      <c r="C42" s="10" t="str">
        <f>IFERROR(__xludf.DUMMYFUNCTION("""COMPUTED_VALUE"""),"uncommon")</f>
        <v>uncommon</v>
      </c>
      <c r="D42" s="10" t="str">
        <f>IFERROR(__xludf.DUMMYFUNCTION("""COMPUTED_VALUE"""),"Wondrous Item")</f>
        <v>Wondrous Item</v>
      </c>
      <c r="E42" s="10"/>
      <c r="F42" s="10"/>
      <c r="G42" s="10"/>
      <c r="H42" s="10"/>
      <c r="I42" s="10" t="str">
        <f>IFERROR(__xludf.DUMMYFUNCTION("""COMPUTED_VALUE"""),"While wearing these wraps, you have a +1 bonus to attack rolls and damage rolls made with your Unarmed Strikes. Those strikes deal your choice of Force damage or their normal damage type. Available to level 5+.")</f>
        <v>While wearing these wraps, you have a +1 bonus to attack rolls and damage rolls made with your Unarmed Strikes. Those strikes deal your choice of Force damage or their normal damage type. Available to level 5+.</v>
      </c>
      <c r="J42" s="10">
        <f>IFERROR(__xludf.DUMMYFUNCTION("""COMPUTED_VALUE"""),300.0)</f>
        <v>300</v>
      </c>
    </row>
    <row r="43">
      <c r="A43" s="8" t="str">
        <f>IFERROR(__xludf.DUMMYFUNCTION("""COMPUTED_VALUE"""),"Potion of Mind Reading")</f>
        <v>Potion of Mind Reading</v>
      </c>
      <c r="B43" s="8" t="str">
        <f>IFERROR(__xludf.DUMMYFUNCTION("""COMPUTED_VALUE"""),"DMG'24")</f>
        <v>DMG'24</v>
      </c>
      <c r="C43" s="8" t="str">
        <f>IFERROR(__xludf.DUMMYFUNCTION("""COMPUTED_VALUE"""),"rare")</f>
        <v>rare</v>
      </c>
      <c r="D43" s="8" t="str">
        <f>IFERROR(__xludf.DUMMYFUNCTION("""COMPUTED_VALUE"""),"Potion")</f>
        <v>Potion</v>
      </c>
      <c r="E43" s="8"/>
      <c r="F43" s="8"/>
      <c r="G43" s="8"/>
      <c r="H43" s="8"/>
      <c r="I43" s="8" t="str">
        <f>IFERROR(__xludf.DUMMYFUNCTION("""COMPUTED_VALUE"""),"When you drink this potion, you gain the effect of the Detect Thoughts spell (save DC 13) for 10 minutes (no Concentration required).This potion's dense, purple liquid has an ovoid cloud of pink floating in it.  Purchasing this gives an adventurer 1 use o"&amp;"f this item per guild mission they go on, and does not stack unless you purchase more than 1.")</f>
        <v>When you drink this potion, you gain the effect of the Detect Thoughts spell (save DC 13) for 10 minutes (no Concentration required).This potion's dense, purple liquid has an ovoid cloud of pink floating in it.  Purchasing this gives an adventurer 1 use of this item per guild mission they go on, and does not stack unless you purchase more than 1.</v>
      </c>
      <c r="J43" s="8">
        <f>IFERROR(__xludf.DUMMYFUNCTION("""COMPUTED_VALUE"""),300.0)</f>
        <v>300</v>
      </c>
    </row>
    <row r="44">
      <c r="A44" s="10" t="str">
        <f>IFERROR(__xludf.DUMMYFUNCTION("""COMPUTED_VALUE"""),"Dust of Dryness")</f>
        <v>Dust of Dryness</v>
      </c>
      <c r="B44" s="10" t="str">
        <f>IFERROR(__xludf.DUMMYFUNCTION("""COMPUTED_VALUE"""),"DMG'24")</f>
        <v>DMG'24</v>
      </c>
      <c r="C44" s="10" t="str">
        <f>IFERROR(__xludf.DUMMYFUNCTION("""COMPUTED_VALUE"""),"uncommon")</f>
        <v>uncommon</v>
      </c>
      <c r="D44" s="10" t="str">
        <f>IFERROR(__xludf.DUMMYFUNCTION("""COMPUTED_VALUE"""),"Wondrous Item")</f>
        <v>Wondrous Item</v>
      </c>
      <c r="E44" s="10"/>
      <c r="F44" s="10"/>
      <c r="G44" s="10"/>
      <c r="H44" s="10"/>
      <c r="I44" s="10" t="str">
        <f>IFERROR(__xludf.DUMMYFUNCTION("""COMPUTED_VALUE"""),"This small packet contains 1d6 + 4 pinches of dust. As a Utilize action, you can sprinkle a pinch of the dust over water, turning up to a 15-foot Cube of water into one marble-sized pellet, which floats or rests near where the dust was sprinkled. The pell"&amp;"et's weight is negligible. A creature can take a Utilize action to smash the pellet against a hard surface, causing the pellet to shatter and release the water the dust absorbed. Doing so destroys the pellet and ends its magic.As a Utilize action, you can"&amp;" sprinkle a pinch of the dust on an Elemental within 5 feet of yourself that is composed mostly of water (such as a Water Elemental or a Water Weird). Such a creature exposed to a pinch of the dust makes a DC 13 Constitution saving throw, taking 10d6 Necr"&amp;"otic damage on a failed save or half as much damage on a successful one.  Purchasing this gives an adventurer 1 use of this item per guild mission they go on, and does not stack unless you purchase more than 1.")</f>
        <v>This small packet contains 1d6 + 4 pinches of dust. As a Utilize action, you can sprinkle a pinch of the dust over water, turning up to a 15-foot Cube of water into one marble-sized pellet, which floats or rests near where the dust was sprinkled. The pellet's weight is negligible. A creature can take a Utilize action to smash the pellet against a hard surface, causing the pellet to shatter and release the water the dust absorbed. Doing so destroys the pellet and ends its magic.As a Utilize action, you can sprinkle a pinch of the dust on an Elemental within 5 feet of yourself that is composed mostly of water (such as a Water Elemental or a Water Weird). Such a creature exposed to a pinch of the dust makes a DC 13 Constitution saving throw, taking 10d6 Necrotic damage on a failed save or half as much damage on a successful one.  Purchasing this gives an adventurer 1 use of this item per guild mission they go on, and does not stack unless you purchase more than 1.</v>
      </c>
      <c r="J44" s="10">
        <f>IFERROR(__xludf.DUMMYFUNCTION("""COMPUTED_VALUE"""),350.0)</f>
        <v>350</v>
      </c>
    </row>
    <row r="45">
      <c r="A45" s="8" t="str">
        <f>IFERROR(__xludf.DUMMYFUNCTION("""COMPUTED_VALUE"""),"Mithral Armor")</f>
        <v>Mithral Armor</v>
      </c>
      <c r="B45" s="8" t="str">
        <f>IFERROR(__xludf.DUMMYFUNCTION("""COMPUTED_VALUE"""),"DMG'24")</f>
        <v>DMG'24</v>
      </c>
      <c r="C45" s="8" t="str">
        <f>IFERROR(__xludf.DUMMYFUNCTION("""COMPUTED_VALUE"""),"uncommon")</f>
        <v>uncommon</v>
      </c>
      <c r="D45" s="8" t="str">
        <f>IFERROR(__xludf.DUMMYFUNCTION("""COMPUTED_VALUE"""),"Generic Variant")</f>
        <v>Generic Variant</v>
      </c>
      <c r="E45" s="8"/>
      <c r="F45" s="8"/>
      <c r="G45" s="8"/>
      <c r="H45" s="8"/>
      <c r="I45" s="8" t="str">
        <f>IFERROR(__xludf.DUMMYFUNCTION("""COMPUTED_VALUE"""),"Mithral is a light, flexible metal. A mithral chain shirt or breastplate can be worn under normal clothes.If the armor normally imposes disadvantage on Dexterity (Stealth) checks or has a Strength requirement, the mithral version of the armor doesn't. 
Ap"&amp;"plied to non-magical Base Equipment.")</f>
        <v>Mithral is a light, flexible metal. A mithral chain shirt or breastplate can be worn under normal clothes.If the armor normally imposes disadvantage on Dexterity (Stealth) checks or has a Strength requirement, the mithral version of the armor doesn't. 
Applied to non-magical Base Equipment.</v>
      </c>
      <c r="J45" s="8">
        <f>IFERROR(__xludf.DUMMYFUNCTION("""COMPUTED_VALUE"""),350.0)</f>
        <v>350</v>
      </c>
    </row>
    <row r="46">
      <c r="A46" s="10" t="str">
        <f>IFERROR(__xludf.DUMMYFUNCTION("""COMPUTED_VALUE"""),"Cap of Water Breathing")</f>
        <v>Cap of Water Breathing</v>
      </c>
      <c r="B46" s="10" t="str">
        <f>IFERROR(__xludf.DUMMYFUNCTION("""COMPUTED_VALUE"""),"DMG'24")</f>
        <v>DMG'24</v>
      </c>
      <c r="C46" s="10" t="str">
        <f>IFERROR(__xludf.DUMMYFUNCTION("""COMPUTED_VALUE"""),"uncommon")</f>
        <v>uncommon</v>
      </c>
      <c r="D46" s="10" t="str">
        <f>IFERROR(__xludf.DUMMYFUNCTION("""COMPUTED_VALUE"""),"Wondrous Item")</f>
        <v>Wondrous Item</v>
      </c>
      <c r="E46" s="10"/>
      <c r="F46" s="10"/>
      <c r="G46" s="10"/>
      <c r="H46" s="10"/>
      <c r="I46" s="10" t="str">
        <f>IFERROR(__xludf.DUMMYFUNCTION("""COMPUTED_VALUE"""),"While wearing this cap underwater, you can take a Magic action to create a bubble of air around your head. This bubble allows you to breathe normally underwater. This bubble stays with you until the cap is removed or you are no longer underwater.")</f>
        <v>While wearing this cap underwater, you can take a Magic action to create a bubble of air around your head. This bubble allows you to breathe normally underwater. This bubble stays with you until the cap is removed or you are no longer underwater.</v>
      </c>
      <c r="J46" s="10">
        <f>IFERROR(__xludf.DUMMYFUNCTION("""COMPUTED_VALUE"""),400.0)</f>
        <v>400</v>
      </c>
    </row>
    <row r="47">
      <c r="A47" s="8" t="str">
        <f>IFERROR(__xludf.DUMMYFUNCTION("""COMPUTED_VALUE"""),"Decanter of Endless Water")</f>
        <v>Decanter of Endless Water</v>
      </c>
      <c r="B47" s="8" t="str">
        <f>IFERROR(__xludf.DUMMYFUNCTION("""COMPUTED_VALUE"""),"DMG'24")</f>
        <v>DMG'24</v>
      </c>
      <c r="C47" s="8" t="str">
        <f>IFERROR(__xludf.DUMMYFUNCTION("""COMPUTED_VALUE"""),"uncommon")</f>
        <v>uncommon</v>
      </c>
      <c r="D47" s="8" t="str">
        <f>IFERROR(__xludf.DUMMYFUNCTION("""COMPUTED_VALUE"""),"Wondrous Item")</f>
        <v>Wondrous Item</v>
      </c>
      <c r="E47" s="8"/>
      <c r="F47" s="8"/>
      <c r="G47" s="8"/>
      <c r="H47" s="8"/>
      <c r="I47" s="8" t="str">
        <f>IFERROR(__xludf.DUMMYFUNCTION("""COMPUTED_VALUE"""),"This stoppered flask sloshes when shaken, as if it contains water. The decanter weighs 2 pounds.You can take a Magic action to remove the stopper and issue one of three command words, whereupon an amount of fresh water or salt water (your choice) pours ou"&amp;"t of the flask. The water stops pouring out at the start of your next turn. Choose from the following command words:Splash. The decanter produces 1 gallon of water.Fountain. The decanter produces 5 gallons of water.Geyser. The decanter produces 30 gallons"&amp;" of water that gushes forth in a Line 30 feet long and 1 foot wide. If you're holding the decanter, you can aim the geyser in one direction (no action required). One creature of your choice in the Line must succeed on a DC 13 Strength saving throw or take"&amp;" 1d4 Bludgeoning damage and have the Prone condition. Instead of a creature, you can target one object in the Line that isn't being worn or carried and that weighs no more than 200 pounds. The object is knocked over by the geyser.")</f>
        <v>This stoppered flask sloshes when shaken, as if it contains water. The decanter weighs 2 pounds.You can take a Magic action to remove the stopper and issue one of three command words, whereupon an amount of fresh water or salt water (your choice) pours out of the flask. The water stops pouring out at the start of your next turn. Choose from the following command words:Splash. The decanter produces 1 gallon of water.Fountain. The decanter produces 5 gallons of water.Geyser. The decanter produces 30 gallons of water that gushes forth in a Line 30 feet long and 1 foot wide. If you're holding the decanter, you can aim the geyser in one direction (no action required). One creature of your choice in the Line must succeed on a DC 13 Strength saving throw or take 1d4 Bludgeoning damage and have the Prone condition. Instead of a creature, you can target one object in the Line that isn't being worn or carried and that weighs no more than 200 pounds. The object is knocked over by the geyser.</v>
      </c>
      <c r="J47" s="8">
        <f>IFERROR(__xludf.DUMMYFUNCTION("""COMPUTED_VALUE"""),400.0)</f>
        <v>400</v>
      </c>
    </row>
    <row r="48">
      <c r="A48" s="10" t="str">
        <f>IFERROR(__xludf.DUMMYFUNCTION("""COMPUTED_VALUE"""),"Eyes of Minute Seeing")</f>
        <v>Eyes of Minute Seeing</v>
      </c>
      <c r="B48" s="10" t="str">
        <f>IFERROR(__xludf.DUMMYFUNCTION("""COMPUTED_VALUE"""),"DMG'24")</f>
        <v>DMG'24</v>
      </c>
      <c r="C48" s="10" t="str">
        <f>IFERROR(__xludf.DUMMYFUNCTION("""COMPUTED_VALUE"""),"uncommon")</f>
        <v>uncommon</v>
      </c>
      <c r="D48" s="10" t="str">
        <f>IFERROR(__xludf.DUMMYFUNCTION("""COMPUTED_VALUE"""),"Wondrous Item")</f>
        <v>Wondrous Item</v>
      </c>
      <c r="E48" s="10"/>
      <c r="F48" s="10"/>
      <c r="G48" s="10"/>
      <c r="H48" s="10"/>
      <c r="I48" s="10" t="str">
        <f>IFERROR(__xludf.DUMMYFUNCTION("""COMPUTED_VALUE"""),"These crystal lenses fit over the eyes. While wearing them, your vision improves significantly out to a range of 1 foot, granting you Darkvision within that range and Advantage on Intelligence (Investigation) checks made to examine something within that r"&amp;"ange.")</f>
        <v>These crystal lenses fit over the eyes. While wearing them, your vision improves significantly out to a range of 1 foot, granting you Darkvision within that range and Advantage on Intelligence (Investigation) checks made to examine something within that range.</v>
      </c>
      <c r="J48" s="10">
        <f>IFERROR(__xludf.DUMMYFUNCTION("""COMPUTED_VALUE"""),400.0)</f>
        <v>400</v>
      </c>
    </row>
    <row r="49">
      <c r="A49" s="8" t="str">
        <f>IFERROR(__xludf.DUMMYFUNCTION("""COMPUTED_VALUE"""),"Potion of Growth")</f>
        <v>Potion of Growth</v>
      </c>
      <c r="B49" s="8" t="str">
        <f>IFERROR(__xludf.DUMMYFUNCTION("""COMPUTED_VALUE"""),"DMG'24")</f>
        <v>DMG'24</v>
      </c>
      <c r="C49" s="8" t="str">
        <f>IFERROR(__xludf.DUMMYFUNCTION("""COMPUTED_VALUE"""),"uncommon")</f>
        <v>uncommon</v>
      </c>
      <c r="D49" s="8" t="str">
        <f>IFERROR(__xludf.DUMMYFUNCTION("""COMPUTED_VALUE"""),"Potion")</f>
        <v>Potion</v>
      </c>
      <c r="E49" s="8"/>
      <c r="F49" s="8"/>
      <c r="G49" s="8"/>
      <c r="H49" s="8"/>
      <c r="I49" s="8" t="str">
        <f>IFERROR(__xludf.DUMMYFUNCTION("""COMPUTED_VALUE"""),"When you drink this potion, you gain the ""enlarge"" effect of the Enlarge/Reduce spell for 10 minutes (no Concentration required).The red in the potion's liquid continuously expands from a tiny bead to color the clear liquid around it and then contracts."&amp;" Shaking the bottle fails to interrupt this process.  Purchasing this gives an adventurer 1 use of this item per guild mission they go on, and does not stack unless you purchase more than 1.")</f>
        <v>When you drink this potion, you gain the "enlarge" effect of the Enlarge/Reduce spell for 10 minutes (no Concentration required).The red in the potion's liquid continuously expands from a tiny bead to color the clear liquid around it and then contracts. Shaking the bottle fails to interrupt this process.  Purchasing this gives an adventurer 1 use of this item per guild mission they go on, and does not stack unless you purchase more than 1.</v>
      </c>
      <c r="J49" s="8">
        <f>IFERROR(__xludf.DUMMYFUNCTION("""COMPUTED_VALUE"""),400.0)</f>
        <v>400</v>
      </c>
    </row>
    <row r="50">
      <c r="A50" s="10" t="str">
        <f>IFERROR(__xludf.DUMMYFUNCTION("""COMPUTED_VALUE"""),"Wand of Magic Detection")</f>
        <v>Wand of Magic Detection</v>
      </c>
      <c r="B50" s="10" t="str">
        <f>IFERROR(__xludf.DUMMYFUNCTION("""COMPUTED_VALUE"""),"DMG'24")</f>
        <v>DMG'24</v>
      </c>
      <c r="C50" s="10" t="str">
        <f>IFERROR(__xludf.DUMMYFUNCTION("""COMPUTED_VALUE"""),"uncommon")</f>
        <v>uncommon</v>
      </c>
      <c r="D50" s="10" t="str">
        <f>IFERROR(__xludf.DUMMYFUNCTION("""COMPUTED_VALUE"""),"Wand")</f>
        <v>Wand</v>
      </c>
      <c r="E50" s="10"/>
      <c r="F50" s="10"/>
      <c r="G50" s="10"/>
      <c r="H50" s="10"/>
      <c r="I50" s="10" t="str">
        <f>IFERROR(__xludf.DUMMYFUNCTION("""COMPUTED_VALUE"""),"This wand has 3 charges. While holding it, you can expend 1 charge to cast Detect Magic from it. The wand regains 1d3 expended charges daily at dawn.")</f>
        <v>This wand has 3 charges. While holding it, you can expend 1 charge to cast Detect Magic from it. The wand regains 1d3 expended charges daily at dawn.</v>
      </c>
      <c r="J50" s="10">
        <f>IFERROR(__xludf.DUMMYFUNCTION("""COMPUTED_VALUE"""),400.0)</f>
        <v>400</v>
      </c>
    </row>
    <row r="51">
      <c r="A51" s="8" t="str">
        <f>IFERROR(__xludf.DUMMYFUNCTION("""COMPUTED_VALUE"""),"Potion of Diminution")</f>
        <v>Potion of Diminution</v>
      </c>
      <c r="B51" s="8" t="str">
        <f>IFERROR(__xludf.DUMMYFUNCTION("""COMPUTED_VALUE"""),"DMG'24")</f>
        <v>DMG'24</v>
      </c>
      <c r="C51" s="8" t="str">
        <f>IFERROR(__xludf.DUMMYFUNCTION("""COMPUTED_VALUE"""),"rare")</f>
        <v>rare</v>
      </c>
      <c r="D51" s="8" t="str">
        <f>IFERROR(__xludf.DUMMYFUNCTION("""COMPUTED_VALUE"""),"Potion")</f>
        <v>Potion</v>
      </c>
      <c r="E51" s="8"/>
      <c r="F51" s="8"/>
      <c r="G51" s="8"/>
      <c r="H51" s="8"/>
      <c r="I51" s="8" t="str">
        <f>IFERROR(__xludf.DUMMYFUNCTION("""COMPUTED_VALUE"""),"When you drink this potion, you gain the ""reduce"" effect of the Enlarge/Reduce spell for 1d4 hours (no Concentration required).The red in the potion's liquid continuously contracts to a tiny bead and then expands to color the clear liquid around it. Sha"&amp;"king the bottle fails to interrupt this process.  Purchasing this gives an adventurer 1 use of this item per guild mission they go on, and does not stack unless you purchase more than 1.")</f>
        <v>When you drink this potion, you gain the "reduce" effect of the Enlarge/Reduce spell for 1d4 hours (no Concentration required).The red in the potion's liquid continuously contracts to a tiny bead and then expands to color the clear liquid around it. Shaking the bottle fails to interrupt this process.  Purchasing this gives an adventurer 1 use of this item per guild mission they go on, and does not stack unless you purchase more than 1.</v>
      </c>
      <c r="J51" s="8">
        <f>IFERROR(__xludf.DUMMYFUNCTION("""COMPUTED_VALUE"""),400.0)</f>
        <v>400</v>
      </c>
    </row>
    <row r="52">
      <c r="A52" s="10" t="str">
        <f>IFERROR(__xludf.DUMMYFUNCTION("""COMPUTED_VALUE"""),"Dust of Disappearance")</f>
        <v>Dust of Disappearance</v>
      </c>
      <c r="B52" s="10" t="str">
        <f>IFERROR(__xludf.DUMMYFUNCTION("""COMPUTED_VALUE"""),"DMG'24")</f>
        <v>DMG'24</v>
      </c>
      <c r="C52" s="10" t="str">
        <f>IFERROR(__xludf.DUMMYFUNCTION("""COMPUTED_VALUE"""),"uncommon")</f>
        <v>uncommon</v>
      </c>
      <c r="D52" s="10" t="str">
        <f>IFERROR(__xludf.DUMMYFUNCTION("""COMPUTED_VALUE"""),"Wondrous Item")</f>
        <v>Wondrous Item</v>
      </c>
      <c r="E52" s="10"/>
      <c r="F52" s="10"/>
      <c r="G52" s="10"/>
      <c r="H52" s="10"/>
      <c r="I52" s="10" t="str">
        <f>IFERROR(__xludf.DUMMYFUNCTION("""COMPUTED_VALUE"""),"This powder resembles fine sand. There is enough of it for one use. When you take a Utilize action to throw the dust into the air, you and each creature and object within a 10-foot Emanation originating from you have the Invisible condition for 2d4 minute"&amp;"s. The duration is the same for all subjects, and the dust is consumed when its magic takes effect. Immediately after an affected creature makes an attack roll, deals damage, or casts a spell, the Invisible condition ends for that creature.  Purchasing th"&amp;"is gives an adventurer 1 use of this item per guild mission they go on, and does not stack unless you purchase more than 1.")</f>
        <v>This powder resembles fine sand. There is enough of it for one use. When you take a Utilize action to throw the dust into the air, you and each creature and object within a 10-foot Emanation originating from you have the Invisible condition for 2d4 minutes. The duration is the same for all subjects, and the dust is consumed when its magic takes effect. Immediately after an affected creature makes an attack roll, deals damage, or casts a spell, the Invisible condition ends for that creature.  Purchasing this gives an adventurer 1 use of this item per guild mission they go on, and does not stack unless you purchase more than 1.</v>
      </c>
      <c r="J52" s="10">
        <f>IFERROR(__xludf.DUMMYFUNCTION("""COMPUTED_VALUE"""),450.0)</f>
        <v>450</v>
      </c>
    </row>
    <row r="53">
      <c r="A53" s="8" t="str">
        <f>IFERROR(__xludf.DUMMYFUNCTION("""COMPUTED_VALUE"""),"Eyes of the Eagle")</f>
        <v>Eyes of the Eagle</v>
      </c>
      <c r="B53" s="8" t="str">
        <f>IFERROR(__xludf.DUMMYFUNCTION("""COMPUTED_VALUE"""),"DMG'24")</f>
        <v>DMG'24</v>
      </c>
      <c r="C53" s="8" t="str">
        <f>IFERROR(__xludf.DUMMYFUNCTION("""COMPUTED_VALUE"""),"uncommon")</f>
        <v>uncommon</v>
      </c>
      <c r="D53" s="8" t="str">
        <f>IFERROR(__xludf.DUMMYFUNCTION("""COMPUTED_VALUE"""),"Wondrous Item")</f>
        <v>Wondrous Item</v>
      </c>
      <c r="E53" s="8"/>
      <c r="F53" s="8"/>
      <c r="G53" s="8"/>
      <c r="H53" s="8"/>
      <c r="I53" s="8" t="str">
        <f>IFERROR(__xludf.DUMMYFUNCTION("""COMPUTED_VALUE"""),"These crystal lenses fit over the eyes. While wearing them, you have Advantage on Wisdom (Perception) checks that rely on sight. In conditions of clear visibility, you can make out details of even extremely distant creatures and objects as small as 2 feet"&amp;" across.")</f>
        <v>These crystal lenses fit over the eyes. While wearing them, you have Advantage on Wisdom (Perception) checks that rely on sight. In conditions of clear visibility, you can make out details of even extremely distant creatures and objects as small as 2 feet across.</v>
      </c>
      <c r="J53" s="8">
        <f>IFERROR(__xludf.DUMMYFUNCTION("""COMPUTED_VALUE"""),450.0)</f>
        <v>450</v>
      </c>
    </row>
    <row r="54">
      <c r="A54" s="10" t="str">
        <f>IFERROR(__xludf.DUMMYFUNCTION("""COMPUTED_VALUE"""),"Potion of Invisibility")</f>
        <v>Potion of Invisibility</v>
      </c>
      <c r="B54" s="10" t="str">
        <f>IFERROR(__xludf.DUMMYFUNCTION("""COMPUTED_VALUE"""),"DMG'24")</f>
        <v>DMG'24</v>
      </c>
      <c r="C54" s="10" t="str">
        <f>IFERROR(__xludf.DUMMYFUNCTION("""COMPUTED_VALUE"""),"rare")</f>
        <v>rare</v>
      </c>
      <c r="D54" s="10" t="str">
        <f>IFERROR(__xludf.DUMMYFUNCTION("""COMPUTED_VALUE"""),"Potion")</f>
        <v>Potion</v>
      </c>
      <c r="E54" s="10"/>
      <c r="F54" s="10"/>
      <c r="G54" s="10"/>
      <c r="H54" s="10"/>
      <c r="I54" s="10" t="str">
        <f>IFERROR(__xludf.DUMMYFUNCTION("""COMPUTED_VALUE"""),"This potion's container looks empty but feels as though it holds liquid. When you drink the potion, you have the Invisible condition for 1 hour. The effect ends early if you make an attack roll, deal damage, or cast a spell.  Purchasing this gives an adve"&amp;"nturer 1 use of this item per guild mission they go on, and does not stack unless you purchase more than 1.")</f>
        <v>This potion's container looks empty but feels as though it holds liquid. When you drink the potion, you have the Invisible condition for 1 hour. The effect ends early if you make an attack roll, deal damage, or cast a spell.  Purchasing this gives an adventurer 1 use of this item per guild mission they go on, and does not stack unless you purchase more than 1.</v>
      </c>
      <c r="J54" s="10">
        <f>IFERROR(__xludf.DUMMYFUNCTION("""COMPUTED_VALUE"""),450.0)</f>
        <v>450</v>
      </c>
    </row>
    <row r="55">
      <c r="A55" s="8" t="str">
        <f>IFERROR(__xludf.DUMMYFUNCTION("""COMPUTED_VALUE"""),"Driftglobe")</f>
        <v>Driftglobe</v>
      </c>
      <c r="B55" s="8" t="str">
        <f>IFERROR(__xludf.DUMMYFUNCTION("""COMPUTED_VALUE"""),"DMG'24")</f>
        <v>DMG'24</v>
      </c>
      <c r="C55" s="8" t="str">
        <f>IFERROR(__xludf.DUMMYFUNCTION("""COMPUTED_VALUE"""),"uncommon")</f>
        <v>uncommon</v>
      </c>
      <c r="D55" s="8" t="str">
        <f>IFERROR(__xludf.DUMMYFUNCTION("""COMPUTED_VALUE"""),"Wondrous Item")</f>
        <v>Wondrous Item</v>
      </c>
      <c r="E55" s="8"/>
      <c r="F55" s="8"/>
      <c r="G55" s="8"/>
      <c r="H55" s="8"/>
      <c r="I55" s="8" t="str">
        <f>IFERROR(__xludf.DUMMYFUNCTION("""COMPUTED_VALUE"""),"This small sphere of thick glass weighs 1 pound. If you are within 60 feet of it, you can command it to emanate light equivalent to that of the Light or Daylight spell (your choice). Once used, the Daylight effect can't be used again until the next dawn.Y"&amp;"ou can issue another command as a Magic action to make the illuminated globe rise into the air and float no more than 5 feet off the ground. The globe hovers in this way until you or another creature grasps it. If you move more than 60 feet from the hover"&amp;"ing globe, it follows you until it is within 60 feet of you. It takes the shortest route to do so. If prevented from moving, the globe sinks gently to the ground and becomes inactive, and its light winks out.")</f>
        <v>This small sphere of thick glass weighs 1 pound. If you are within 60 feet of it, you can command it to emanate light equivalent to that of the Light or Daylight spell (your choice). Once used, the Daylight effect can't be used again until the next dawn.You can issue another command as a Magic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v>
      </c>
      <c r="J55" s="8">
        <f>IFERROR(__xludf.DUMMYFUNCTION("""COMPUTED_VALUE"""),500.0)</f>
        <v>500</v>
      </c>
    </row>
    <row r="56">
      <c r="A56" s="10" t="str">
        <f>IFERROR(__xludf.DUMMYFUNCTION("""COMPUTED_VALUE"""),"Helm of Comprehending Languages")</f>
        <v>Helm of Comprehending Languages</v>
      </c>
      <c r="B56" s="10" t="str">
        <f>IFERROR(__xludf.DUMMYFUNCTION("""COMPUTED_VALUE"""),"DMG'24")</f>
        <v>DMG'24</v>
      </c>
      <c r="C56" s="10" t="str">
        <f>IFERROR(__xludf.DUMMYFUNCTION("""COMPUTED_VALUE"""),"uncommon")</f>
        <v>uncommon</v>
      </c>
      <c r="D56" s="10" t="str">
        <f>IFERROR(__xludf.DUMMYFUNCTION("""COMPUTED_VALUE"""),"Wondrous Item")</f>
        <v>Wondrous Item</v>
      </c>
      <c r="E56" s="10"/>
      <c r="F56" s="10"/>
      <c r="G56" s="10"/>
      <c r="H56" s="10"/>
      <c r="I56" s="10" t="str">
        <f>IFERROR(__xludf.DUMMYFUNCTION("""COMPUTED_VALUE"""),"While wearing this helm, you can cast Comprehend Languages from it.")</f>
        <v>While wearing this helm, you can cast Comprehend Languages from it.</v>
      </c>
      <c r="J56" s="10">
        <f>IFERROR(__xludf.DUMMYFUNCTION("""COMPUTED_VALUE"""),500.0)</f>
        <v>500</v>
      </c>
    </row>
    <row r="57">
      <c r="A57" s="8" t="str">
        <f>IFERROR(__xludf.DUMMYFUNCTION("""COMPUTED_VALUE"""),"Immovable Rod")</f>
        <v>Immovable Rod</v>
      </c>
      <c r="B57" s="8" t="str">
        <f>IFERROR(__xludf.DUMMYFUNCTION("""COMPUTED_VALUE"""),"DMG'24")</f>
        <v>DMG'24</v>
      </c>
      <c r="C57" s="8" t="str">
        <f>IFERROR(__xludf.DUMMYFUNCTION("""COMPUTED_VALUE"""),"uncommon")</f>
        <v>uncommon</v>
      </c>
      <c r="D57" s="8" t="str">
        <f>IFERROR(__xludf.DUMMYFUNCTION("""COMPUTED_VALUE"""),"Rod")</f>
        <v>Rod</v>
      </c>
      <c r="E57" s="8"/>
      <c r="F57" s="8"/>
      <c r="G57" s="8"/>
      <c r="H57" s="8"/>
      <c r="I57" s="8" t="str">
        <f>IFERROR(__xludf.DUMMYFUNCTION("""COMPUTED_VALUE"""),"This iron rod has a button on one end. You can take a Utilize action to press the button, which causes the rod to become magically fixed in place. Until you or another creature takes a Utilize action to push the button again, the rod doesn't move, even if"&amp;" it defies gravity. The rod can hold up to 8,000 pounds of weight. More weight causes the rod to deactivate and fall. A creature can take a Utilize action to make a DC 30 Strength (Athletics) check, moving the fixed rod up to 10 feet on a successful check"&amp;".")</f>
        <v>This iron rod has a button on one end. You can take a Utilize action to press the button, which causes the rod to become magically fixed in place. Until you or another creature takes a Utilize action to push the button again, the rod doesn't move, even if it defies gravity. The rod can hold up to 8,000 pounds of weight. More weight causes the rod to deactivate and fall. A creature can take a Utilize action to make a DC 30 Strength (Athletics) check, moving the fixed rod up to 10 feet on a successful check.</v>
      </c>
      <c r="J57" s="8">
        <f>IFERROR(__xludf.DUMMYFUNCTION("""COMPUTED_VALUE"""),500.0)</f>
        <v>500</v>
      </c>
    </row>
    <row r="58">
      <c r="A58" s="10" t="str">
        <f>IFERROR(__xludf.DUMMYFUNCTION("""COMPUTED_VALUE"""),"Arcane Battery")</f>
        <v>Arcane Battery</v>
      </c>
      <c r="B58" s="10" t="str">
        <f>IFERROR(__xludf.DUMMYFUNCTION("""COMPUTED_VALUE"""),"NF")</f>
        <v>NF</v>
      </c>
      <c r="C58" s="10" t="str">
        <f>IFERROR(__xludf.DUMMYFUNCTION("""COMPUTED_VALUE"""),"uncommon")</f>
        <v>uncommon</v>
      </c>
      <c r="D58" s="10" t="str">
        <f>IFERROR(__xludf.DUMMYFUNCTION("""COMPUTED_VALUE"""),"Wondrous Item")</f>
        <v>Wondrous Item</v>
      </c>
      <c r="E58" s="10"/>
      <c r="F58" s="10"/>
      <c r="G58" s="10"/>
      <c r="H58" s="10"/>
      <c r="I58" s="10" t="str">
        <f>IFERROR(__xludf.DUMMYFUNCTION("""COMPUTED_VALUE"""),"This smooth, oval stone is etched with faintly glowing, magical symbols. While holding the battery, you can take a Magic action to touch the battery to one magic item. If that magic item normally regains expended charges daily, it immediately regains 1d4 "&amp;"+ 1 expended charges, and the battery loses its magic.  Purchasing this gives an adventurer 1 use of this item per guild mission they go on, and does not stack unless you purchase more than 1.")</f>
        <v>This smooth, oval stone is etched with faintly glowing, magical symbols. While holding the battery, you can take a Magic action to touch the battery to one magic item. If that magic item normally regains expended charges daily, it immediately regains 1d4 + 1 expended charges, and the battery loses its magic.  Purchasing this gives an adventurer 1 use of this item per guild mission they go on, and does not stack unless you purchase more than 1.</v>
      </c>
      <c r="J58" s="10">
        <f>IFERROR(__xludf.DUMMYFUNCTION("""COMPUTED_VALUE"""),550.0)</f>
        <v>550</v>
      </c>
    </row>
    <row r="59">
      <c r="A59" s="8" t="str">
        <f>IFERROR(__xludf.DUMMYFUNCTION("""COMPUTED_VALUE"""),"Card Sharp's Deck")</f>
        <v>Card Sharp's Deck</v>
      </c>
      <c r="B59" s="8" t="str">
        <f>IFERROR(__xludf.DUMMYFUNCTION("""COMPUTED_VALUE"""),"BMT")</f>
        <v>BMT</v>
      </c>
      <c r="C59" s="8" t="str">
        <f>IFERROR(__xludf.DUMMYFUNCTION("""COMPUTED_VALUE"""),"uncommon")</f>
        <v>uncommon</v>
      </c>
      <c r="D59" s="8" t="str">
        <f>IFERROR(__xludf.DUMMYFUNCTION("""COMPUTED_VALUE"""),"Wondrous Item")</f>
        <v>Wondrous Item</v>
      </c>
      <c r="E59" s="8"/>
      <c r="F59" s="8"/>
      <c r="G59" s="8"/>
      <c r="H59" s="8"/>
      <c r="I59" s="8" t="str">
        <f>IFERROR(__xludf.DUMMYFUNCTION("""COMPUTED_VALUE"""),"The cards of this deck shimmer around the edges. While holding this deck, you can use the following properties:Deadly Deal. As an action, you can use this deck to make a ranged spell attack by throwing a spectral card and using Dexterity for the attack ro"&amp;"ll. The card has a range of 120 feet and deals 1d8 force damage on a hit. Spray of Cards. As an action, you can shuffle the deck and cast the Spray of Cards spell at 3rd level from the deck (spell save DC 15). Once the deck has cast the spell, it can't ca"&amp;"st the spell again until the next dawn.")</f>
        <v>The cards of this deck shimmer around the edges. While holding this deck, you can use the following properties:Deadly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v>
      </c>
      <c r="J59" s="8">
        <f>IFERROR(__xludf.DUMMYFUNCTION("""COMPUTED_VALUE"""),550.0)</f>
        <v>550</v>
      </c>
    </row>
    <row r="60">
      <c r="A60" s="10" t="str">
        <f>IFERROR(__xludf.DUMMYFUNCTION("""COMPUTED_VALUE"""),"Dust of Corrosion")</f>
        <v>Dust of Corrosion</v>
      </c>
      <c r="B60" s="10" t="str">
        <f>IFERROR(__xludf.DUMMYFUNCTION("""COMPUTED_VALUE"""),"WBtW")</f>
        <v>WBtW</v>
      </c>
      <c r="C60" s="10" t="str">
        <f>IFERROR(__xludf.DUMMYFUNCTION("""COMPUTED_VALUE"""),"uncommon")</f>
        <v>uncommon</v>
      </c>
      <c r="D60" s="10" t="str">
        <f>IFERROR(__xludf.DUMMYFUNCTION("""COMPUTED_VALUE"""),"Wondrous Item")</f>
        <v>Wondrous Item</v>
      </c>
      <c r="E60" s="10"/>
      <c r="F60" s="10"/>
      <c r="G60" s="10"/>
      <c r="H60" s="10"/>
      <c r="I60" s="10" t="str">
        <f>IFERROR(__xludf.DUMMYFUNCTION("""COMPUTED_VALUE"""),"As an action, you can throw this dust into the air, filling a 10-foot cube that extends out from you. Surfaces and objects made of nonmagical ferrous metal in the area instantly corrode and turn to dust, becoming useless and unsalvageable. Any creature in"&amp;" the area that is made wholly or partly out of ferrous metal must make a DC 13 Constitution saving throw, taking 4d8 necrotic damage on a failed save, or half as much damage on a successful one.Found in a small packet, this dust is made from finely ground"&amp;" rust monster antennae. There is enough dust in each packet for one use.  Purchasing this gives an adventurer 1 use of this item per guild mission they go on, and does not stack unless you purchase more than 1.")</f>
        <v>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one.Found in a small packet, this dust is made from finely ground rust monster antennae. There is enough dust in each packet for one use.  Purchasing this gives an adventurer 1 use of this item per guild mission they go on, and does not stack unless you purchase more than 1.</v>
      </c>
      <c r="J60" s="10">
        <f>IFERROR(__xludf.DUMMYFUNCTION("""COMPUTED_VALUE"""),550.0)</f>
        <v>550</v>
      </c>
    </row>
    <row r="61">
      <c r="A61" s="8" t="str">
        <f>IFERROR(__xludf.DUMMYFUNCTION("""COMPUTED_VALUE"""),"Javelin of Lightning")</f>
        <v>Javelin of Lightning</v>
      </c>
      <c r="B61" s="8" t="str">
        <f>IFERROR(__xludf.DUMMYFUNCTION("""COMPUTED_VALUE"""),"DMG'24")</f>
        <v>DMG'24</v>
      </c>
      <c r="C61" s="8" t="str">
        <f>IFERROR(__xludf.DUMMYFUNCTION("""COMPUTED_VALUE"""),"uncommon")</f>
        <v>uncommon</v>
      </c>
      <c r="D61" s="8" t="str">
        <f>IFERROR(__xludf.DUMMYFUNCTION("""COMPUTED_VALUE"""),"Simple Weapon, Melee Weapon")</f>
        <v>Simple Weapon, Melee Weapon</v>
      </c>
      <c r="E61" s="8"/>
      <c r="F61" s="8" t="str">
        <f>IFERROR(__xludf.DUMMYFUNCTION("""COMPUTED_VALUE"""),"1d6 Piercing")</f>
        <v>1d6 Piercing</v>
      </c>
      <c r="G61" s="8" t="str">
        <f>IFERROR(__xludf.DUMMYFUNCTION("""COMPUTED_VALUE"""),"Thrown (30/120ft.)")</f>
        <v>Thrown (30/120ft.)</v>
      </c>
      <c r="H61" s="8" t="str">
        <f>IFERROR(__xludf.DUMMYFUNCTION("""COMPUTED_VALUE"""),"Mastery: Slow")</f>
        <v>Mastery: Slow</v>
      </c>
      <c r="I61" s="8" t="str">
        <f>IFERROR(__xludf.DUMMYFUNCTION("""COMPUTED_VALUE"""),"Each time you make an attack roll with this magic weapon and hit, you can have it deal Lightning damage instead of Piercing damage. Lightning Bolt. When you throw this weapon at a target no farther than 120 feet from you, you can forgo making a ranged att"&amp;"ack roll and instead turn the weapon into a bolt of lightning. This bolt forms a 5-foot-wide Line between you and the target. The target and each other creature in the Line (excluding you) makes a DC 13 Dexterity saving throw, taking 4d6 Lightning damage "&amp;"on a failed save or half as much damage on a successful one. Immediately after dealing this damage, the weapon reappears in your hand. This property can't be used again until the next dawn. Thrown. If a weapon has the Thrown property, you can throw the we"&amp;"apon to make a ranged attack, and you can draw that weapon as part of the attack. If the weapon is a Melee weapon, use the same ability modifier for the attack and damage rolls that you use for a melee attack with that weapon. Mastery: Slow. If you hit a "&amp;"creature with this weapon and deal damage to it, you can reduce its Speed by 10 feet until the start of your next turn. If the creature is hit more than once by weapons that have this property, the Speed reduction doesn't exceed 10 feet.")</f>
        <v>Each time you make an attack roll with this magic weapon and hit, you can have it deal Lightning damage instead of Piercing damage. Lightning Bolt. When you throw this weapon at a target no farther than 120 feet from you, you can forgo making a ranged attack roll and instead turn the weapon into a bolt of lightning. This bolt forms a 5-foot-wide Line between you and the target. The target and each other creature in the Line (excluding you) makes a DC 13 Dexterity saving throw, taking 4d6 Lightning damage on a failed save or half as much damage on a successful one. Immediately after dealing this damage, the weapon reappears in your hand. This property can't be used again until the next dawn.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Slow. If you hit a creature with this weapon and deal damage to it, you can reduce its Speed by 10 feet until the start of your next turn. If the creature is hit more than once by weapons that have this property, the Speed reduction doesn't exceed 10 feet.</v>
      </c>
      <c r="J61" s="8">
        <f>IFERROR(__xludf.DUMMYFUNCTION("""COMPUTED_VALUE"""),550.0)</f>
        <v>550</v>
      </c>
    </row>
    <row r="62">
      <c r="A62" s="10" t="str">
        <f>IFERROR(__xludf.DUMMYFUNCTION("""COMPUTED_VALUE"""),"Potion of Fire Breath")</f>
        <v>Potion of Fire Breath</v>
      </c>
      <c r="B62" s="10" t="str">
        <f>IFERROR(__xludf.DUMMYFUNCTION("""COMPUTED_VALUE"""),"DMG'24")</f>
        <v>DMG'24</v>
      </c>
      <c r="C62" s="10" t="str">
        <f>IFERROR(__xludf.DUMMYFUNCTION("""COMPUTED_VALUE"""),"uncommon")</f>
        <v>uncommon</v>
      </c>
      <c r="D62" s="10" t="str">
        <f>IFERROR(__xludf.DUMMYFUNCTION("""COMPUTED_VALUE"""),"Potion")</f>
        <v>Potion</v>
      </c>
      <c r="E62" s="10"/>
      <c r="F62" s="10"/>
      <c r="G62" s="10"/>
      <c r="H62" s="10"/>
      <c r="I62" s="10" t="str">
        <f>IFERROR(__xludf.DUMMYFUNCTION("""COMPUTED_VALUE"""),"After drinking this potion, you can take a Bonus Action to exhale fire at a target within 30 feet of yourself. The target makes a DC 13 Dexterity saving throw, taking 4d6 Fire damage on a failed save or half as much damage on a successful one. The effect "&amp;"ends after you exhale the fire three times or when 1 hour has passed.This potion's orange liquid flickers, and smoke fills the top of the container and wafts out whenever it is opened.  Purchasing this gives an adventurer 1 use of this item per guild miss"&amp;"ion they go on, and does not stack unless you purchase more than 1.")</f>
        <v>After drinking this potion, you can take a Bonus Action to exhale fire at a target within 30 feet of yourself. The target makes a DC 13 Dexterity saving throw, taking 4d6 Fire damage on a failed save or half as much damage on a successful one. The effect ends after you exhale the fire three times or when 1 hour has passed.This potion's orange liquid flickers, and smoke fills the top of the container and wafts out whenever it is opened.  Purchasing this gives an adventurer 1 use of this item per guild mission they go on, and does not stack unless you purchase more than 1.</v>
      </c>
      <c r="J62" s="10">
        <f>IFERROR(__xludf.DUMMYFUNCTION("""COMPUTED_VALUE"""),550.0)</f>
        <v>550</v>
      </c>
    </row>
    <row r="63">
      <c r="A63" s="8" t="str">
        <f>IFERROR(__xludf.DUMMYFUNCTION("""COMPUTED_VALUE"""),"Ring of Puzzler's Wit")</f>
        <v>Ring of Puzzler's Wit</v>
      </c>
      <c r="B63" s="8" t="str">
        <f>IFERROR(__xludf.DUMMYFUNCTION("""COMPUTED_VALUE"""),"BMT")</f>
        <v>BMT</v>
      </c>
      <c r="C63" s="8" t="str">
        <f>IFERROR(__xludf.DUMMYFUNCTION("""COMPUTED_VALUE"""),"uncommon")</f>
        <v>uncommon</v>
      </c>
      <c r="D63" s="8" t="str">
        <f>IFERROR(__xludf.DUMMYFUNCTION("""COMPUTED_VALUE"""),"Ring")</f>
        <v>Ring</v>
      </c>
      <c r="E63" s="8"/>
      <c r="F63" s="8"/>
      <c r="G63" s="8"/>
      <c r="H63" s="8"/>
      <c r="I63" s="8" t="str">
        <f>IFERROR(__xludf.DUMMYFUNCTION("""COMPUTED_VALUE"""),"This gold ring bears a fluorite stone and is enchanted to sharpen the wearer's mind.The ring has 3 charges and regains 1d4 - 1 expended charges daily at dawn. When you make an Intelligence check, you can expend 1 charge to grant yourself advantage on the "&amp;"check.")</f>
        <v>This gold ring bears a fluorite stone and is enchanted to sharpen the wearer's mind.The ring has 3 charges and regains 1d4 - 1 expended charges daily at dawn. When you make an Intelligence check, you can expend 1 charge to grant yourself advantage on the check.</v>
      </c>
      <c r="J63" s="8">
        <f>IFERROR(__xludf.DUMMYFUNCTION("""COMPUTED_VALUE"""),550.0)</f>
        <v>550</v>
      </c>
    </row>
    <row r="64">
      <c r="A64" s="10" t="str">
        <f>IFERROR(__xludf.DUMMYFUNCTION("""COMPUTED_VALUE"""),"Ring of Water Walking")</f>
        <v>Ring of Water Walking</v>
      </c>
      <c r="B64" s="10" t="str">
        <f>IFERROR(__xludf.DUMMYFUNCTION("""COMPUTED_VALUE"""),"DMG'24")</f>
        <v>DMG'24</v>
      </c>
      <c r="C64" s="10" t="str">
        <f>IFERROR(__xludf.DUMMYFUNCTION("""COMPUTED_VALUE"""),"uncommon")</f>
        <v>uncommon</v>
      </c>
      <c r="D64" s="10" t="str">
        <f>IFERROR(__xludf.DUMMYFUNCTION("""COMPUTED_VALUE"""),"Ring")</f>
        <v>Ring</v>
      </c>
      <c r="E64" s="10"/>
      <c r="F64" s="10"/>
      <c r="G64" s="10"/>
      <c r="H64" s="10"/>
      <c r="I64" s="10" t="str">
        <f>IFERROR(__xludf.DUMMYFUNCTION("""COMPUTED_VALUE"""),"While wearing this ring, you cast Water Walk from it, targeting only yourself.")</f>
        <v>While wearing this ring, you cast Water Walk from it, targeting only yourself.</v>
      </c>
      <c r="J64" s="10">
        <f>IFERROR(__xludf.DUMMYFUNCTION("""COMPUTED_VALUE"""),550.0)</f>
        <v>550</v>
      </c>
    </row>
    <row r="65">
      <c r="A65" s="8" t="str">
        <f>IFERROR(__xludf.DUMMYFUNCTION("""COMPUTED_VALUE"""),"Storm Boomerang")</f>
        <v>Storm Boomerang</v>
      </c>
      <c r="B65" s="8" t="str">
        <f>IFERROR(__xludf.DUMMYFUNCTION("""COMPUTED_VALUE"""),"PotA")</f>
        <v>PotA</v>
      </c>
      <c r="C65" s="8" t="str">
        <f>IFERROR(__xludf.DUMMYFUNCTION("""COMPUTED_VALUE"""),"uncommon")</f>
        <v>uncommon</v>
      </c>
      <c r="D65" s="8" t="str">
        <f>IFERROR(__xludf.DUMMYFUNCTION("""COMPUTED_VALUE"""),"Simple Weapon, Ranged Weapon")</f>
        <v>Simple Weapon, Ranged Weapon</v>
      </c>
      <c r="E65" s="8"/>
      <c r="F65" s="8" t="str">
        <f>IFERROR(__xludf.DUMMYFUNCTION("""COMPUTED_VALUE"""),"1d4 Bludgeoning")</f>
        <v>1d4 Bludgeoning</v>
      </c>
      <c r="G65" s="8" t="str">
        <f>IFERROR(__xludf.DUMMYFUNCTION("""COMPUTED_VALUE"""),"range 60/120 ft.")</f>
        <v>range 60/120 ft.</v>
      </c>
      <c r="H65" s="8"/>
      <c r="I65" s="8" t="str">
        <f>IFERROR(__xludf.DUMMYFUNCTION("""COMPUTED_VALUE"""),"This boomerang is a ranged weapon carved from griffon bone and etched with the symbol of elemental air. When thrown, it has a range of 60/120 feet, and any creature that is proficient with the javelin is also proficient with this weapon. On a hit, the boo"&amp;"merang deals 1d4 bludgeoning damage and 3d4 thunder damage, and the target must succeed on a DC 10 Constitution saving throw or be stunned until the end of its next turn. On a miss, the boomerang returns to the thrower's hand.Once the boomerang deals thun"&amp;"der damage to a target, the weapon loses its ability to deal thunder damage and its ability to stun a target. These properties return after the boomerang spends at least 1 hour inside an elemental air node. Range. A weapon that can be used to make a range"&amp;"d attack has a range shown in parentheses after the ammunition or thrown property. The range lists two numbers. The first is the weapon's normal range in feet, and the second indicates the weapon's maximum range. When attacking a target beyond normal rang"&amp;"e, you have disadvantage on the attack roll. You can't attack a target beyond the weapon's long range.")</f>
        <v>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hand.Once the boomerang deals thunder damage to a target, the weapon loses its ability to deal thunder damage and its ability to stun a target. These properties return after the boomerang spends at least 1 hour inside an elemental air node.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J65" s="8">
        <f>IFERROR(__xludf.DUMMYFUNCTION("""COMPUTED_VALUE"""),550.0)</f>
        <v>550</v>
      </c>
    </row>
    <row r="66">
      <c r="A66" s="10" t="str">
        <f>IFERROR(__xludf.DUMMYFUNCTION("""COMPUTED_VALUE"""),"Eversmoking Bottle")</f>
        <v>Eversmoking Bottle</v>
      </c>
      <c r="B66" s="10" t="str">
        <f>IFERROR(__xludf.DUMMYFUNCTION("""COMPUTED_VALUE"""),"DMG'24")</f>
        <v>DMG'24</v>
      </c>
      <c r="C66" s="10" t="str">
        <f>IFERROR(__xludf.DUMMYFUNCTION("""COMPUTED_VALUE"""),"uncommon")</f>
        <v>uncommon</v>
      </c>
      <c r="D66" s="10" t="str">
        <f>IFERROR(__xludf.DUMMYFUNCTION("""COMPUTED_VALUE"""),"Wondrous Item")</f>
        <v>Wondrous Item</v>
      </c>
      <c r="E66" s="10"/>
      <c r="F66" s="10"/>
      <c r="G66" s="10"/>
      <c r="H66" s="10"/>
      <c r="I66" s="10" t="str">
        <f>IFERROR(__xludf.DUMMYFUNCTION("""COMPUTED_VALUE"""),"As a Magic action, you can open or close this bottle. Opening the bottle causes thick smoke to billow out, forming a cloud that fills a 60-foot Emanation originating from the bottle. The area within the smoke is Heavily Obscured. Each minute the bottle re"&amp;"mains open, the size of the Emanation increases by 10 feet until it reaches its maximum size of 120 feet. Closing the bottle causes the cloud to become fixed in place until it disperses after 10 minutes. A strong wind (such as that created by the Gust of "&amp;"Wind spell) disperses the cloud after 1 minute.")</f>
        <v>As a Magic action, you can open or close this bottle. Opening the bottle causes thick smoke to billow out, forming a cloud that fills a 60-foot Emanation originating from the bottle. The area within the smoke is Heavily Obscured. Each minute the bottle remains open, the size of the Emanation increases by 10 feet until it reaches its maximum size of 120 feet. Closing the bottle causes the cloud to become fixed in place until it disperses after 10 minutes. A strong wind (such as that created by the Gust of Wind spell) disperses the cloud after 1 minute.</v>
      </c>
      <c r="J66" s="10">
        <f>IFERROR(__xludf.DUMMYFUNCTION("""COMPUTED_VALUE"""),650.0)</f>
        <v>650</v>
      </c>
    </row>
    <row r="67">
      <c r="A67" s="8" t="str">
        <f>IFERROR(__xludf.DUMMYFUNCTION("""COMPUTED_VALUE"""),"Gloves of Thievery")</f>
        <v>Gloves of Thievery</v>
      </c>
      <c r="B67" s="8" t="str">
        <f>IFERROR(__xludf.DUMMYFUNCTION("""COMPUTED_VALUE"""),"DMG'24")</f>
        <v>DMG'24</v>
      </c>
      <c r="C67" s="8" t="str">
        <f>IFERROR(__xludf.DUMMYFUNCTION("""COMPUTED_VALUE"""),"uncommon")</f>
        <v>uncommon</v>
      </c>
      <c r="D67" s="8" t="str">
        <f>IFERROR(__xludf.DUMMYFUNCTION("""COMPUTED_VALUE"""),"Wondrous Item")</f>
        <v>Wondrous Item</v>
      </c>
      <c r="E67" s="8"/>
      <c r="F67" s="8"/>
      <c r="G67" s="8"/>
      <c r="H67" s="8"/>
      <c r="I67" s="8" t="str">
        <f>IFERROR(__xludf.DUMMYFUNCTION("""COMPUTED_VALUE"""),"These gloves are imperceptible while worn. While wearing them, you gain a +5 bonus to Dexterity (Sleight of Hand) checks.")</f>
        <v>These gloves are imperceptible while worn. While wearing them, you gain a +5 bonus to Dexterity (Sleight of Hand) checks.</v>
      </c>
      <c r="J67" s="8">
        <f>IFERROR(__xludf.DUMMYFUNCTION("""COMPUTED_VALUE"""),750.0)</f>
        <v>750</v>
      </c>
    </row>
    <row r="68">
      <c r="A68" s="10" t="str">
        <f>IFERROR(__xludf.DUMMYFUNCTION("""COMPUTED_VALUE"""),"Cape of the Mountebank")</f>
        <v>Cape of the Mountebank</v>
      </c>
      <c r="B68" s="10" t="str">
        <f>IFERROR(__xludf.DUMMYFUNCTION("""COMPUTED_VALUE"""),"DMG'24")</f>
        <v>DMG'24</v>
      </c>
      <c r="C68" s="10" t="str">
        <f>IFERROR(__xludf.DUMMYFUNCTION("""COMPUTED_VALUE"""),"rare")</f>
        <v>rare</v>
      </c>
      <c r="D68" s="10" t="str">
        <f>IFERROR(__xludf.DUMMYFUNCTION("""COMPUTED_VALUE"""),"Wondrous Item")</f>
        <v>Wondrous Item</v>
      </c>
      <c r="E68" s="10"/>
      <c r="F68" s="10"/>
      <c r="G68" s="10"/>
      <c r="H68" s="10"/>
      <c r="I68" s="10" t="str">
        <f>IFERROR(__xludf.DUMMYFUNCTION("""COMPUTED_VALUE"""),"This cape smells faintly of brimstone. While wearing it, you can use it to cast Dimension Door as a Magic action. This property can't be used again until the next dawn.When you teleport with that spell, you leave behind a cloud of smoke. The space you lef"&amp;"t is Lightly Obscured by that smoke until the end of your next turn.")</f>
        <v>This cape smells faintly of brimstone. While wearing it, you can use it to cast Dimension Door as a Magic action. This property can't be used again until the next dawn.When you teleport with that spell, you leave behind a cloud of smoke. The space you left is Lightly Obscured by that smoke until the end of your next turn.</v>
      </c>
      <c r="J68" s="10">
        <f>IFERROR(__xludf.DUMMYFUNCTION("""COMPUTED_VALUE"""),750.0)</f>
        <v>750</v>
      </c>
    </row>
    <row r="69">
      <c r="A69" s="8" t="str">
        <f>IFERROR(__xludf.DUMMYFUNCTION("""COMPUTED_VALUE"""),"Grasping Whip")</f>
        <v>Grasping Whip</v>
      </c>
      <c r="B69" s="8" t="str">
        <f>IFERROR(__xludf.DUMMYFUNCTION("""COMPUTED_VALUE"""),"BMT")</f>
        <v>BMT</v>
      </c>
      <c r="C69" s="8" t="str">
        <f>IFERROR(__xludf.DUMMYFUNCTION("""COMPUTED_VALUE"""),"rare")</f>
        <v>rare</v>
      </c>
      <c r="D69" s="8" t="str">
        <f>IFERROR(__xludf.DUMMYFUNCTION("""COMPUTED_VALUE"""),"Martial Weapon, Melee Weapon")</f>
        <v>Martial Weapon, Melee Weapon</v>
      </c>
      <c r="E69" s="8"/>
      <c r="F69" s="8" t="str">
        <f>IFERROR(__xludf.DUMMYFUNCTION("""COMPUTED_VALUE"""),"1d4 Slashing")</f>
        <v>1d4 Slashing</v>
      </c>
      <c r="G69" s="8" t="str">
        <f>IFERROR(__xludf.DUMMYFUNCTION("""COMPUTED_VALUE"""),"finesse, reach")</f>
        <v>finesse, reach</v>
      </c>
      <c r="H69" s="8"/>
      <c r="I69" s="8" t="str">
        <f>IFERROR(__xludf.DUMMYFUNCTION("""COMPUTED_VALUE""")," When you hit a creature or object that is Large or smaller with this whip, you can pull that creature or object 5 feet toward you instead of dealing damage. Finesse. When making an attack with a finesse weapon, you use your choice of your Strength or Dex"&amp;"terity modifier for the attack and damage rolls. You must use the same modifier for both rolls. Reach. This weapon adds 5 feet to your reach when you attack with it. This property also determines your reach for opportunity attacks with a reach weapon.")</f>
        <v> When you hit a creature or object that is Large or smaller with this whip, you can pull that creature or object 5 feet toward you instead of dealing damage.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J69" s="8">
        <f>IFERROR(__xludf.DUMMYFUNCTION("""COMPUTED_VALUE"""),750.0)</f>
        <v>750</v>
      </c>
    </row>
    <row r="70">
      <c r="A70" s="10" t="str">
        <f>IFERROR(__xludf.DUMMYFUNCTION("""COMPUTED_VALUE"""),"Saddle of the Cavalier")</f>
        <v>Saddle of the Cavalier</v>
      </c>
      <c r="B70" s="10" t="str">
        <f>IFERROR(__xludf.DUMMYFUNCTION("""COMPUTED_VALUE"""),"DMG'24")</f>
        <v>DMG'24</v>
      </c>
      <c r="C70" s="10" t="str">
        <f>IFERROR(__xludf.DUMMYFUNCTION("""COMPUTED_VALUE"""),"uncommon")</f>
        <v>uncommon</v>
      </c>
      <c r="D70" s="10" t="str">
        <f>IFERROR(__xludf.DUMMYFUNCTION("""COMPUTED_VALUE"""),"Wondrous Item")</f>
        <v>Wondrous Item</v>
      </c>
      <c r="E70" s="10"/>
      <c r="F70" s="10"/>
      <c r="G70" s="10"/>
      <c r="H70" s="10"/>
      <c r="I70" s="10" t="str">
        <f>IFERROR(__xludf.DUMMYFUNCTION("""COMPUTED_VALUE"""),"While in this saddle on a mount, you can't be dismounted against your will if you're conscious, and attack rolls against the mount have disadvantage.")</f>
        <v>While in this saddle on a mount, you can't be dismounted against your will if you're conscious, and attack rolls against the mount have disadvantage.</v>
      </c>
      <c r="J70" s="10">
        <f>IFERROR(__xludf.DUMMYFUNCTION("""COMPUTED_VALUE"""),800.0)</f>
        <v>800</v>
      </c>
    </row>
    <row r="71">
      <c r="A71" s="8" t="str">
        <f>IFERROR(__xludf.DUMMYFUNCTION("""COMPUTED_VALUE"""),"Ring of Poison Resistance")</f>
        <v>Ring of Poison Resistance</v>
      </c>
      <c r="B71" s="8" t="str">
        <f>IFERROR(__xludf.DUMMYFUNCTION("""COMPUTED_VALUE"""),"DMG'24")</f>
        <v>DMG'24</v>
      </c>
      <c r="C71" s="8" t="str">
        <f>IFERROR(__xludf.DUMMYFUNCTION("""COMPUTED_VALUE"""),"rare")</f>
        <v>rare</v>
      </c>
      <c r="D71" s="8" t="str">
        <f>IFERROR(__xludf.DUMMYFUNCTION("""COMPUTED_VALUE"""),"Ring")</f>
        <v>Ring</v>
      </c>
      <c r="E71" s="8"/>
      <c r="F71" s="8"/>
      <c r="G71" s="8"/>
      <c r="H71" s="8"/>
      <c r="I71" s="8" t="str">
        <f>IFERROR(__xludf.DUMMYFUNCTION("""COMPUTED_VALUE"""),"You have Resistance to Poison damage while wearing this ring. The ring is set with amethyst.")</f>
        <v>You have Resistance to Poison damage while wearing this ring. The ring is set with amethyst.</v>
      </c>
      <c r="J71" s="8">
        <f>IFERROR(__xludf.DUMMYFUNCTION("""COMPUTED_VALUE"""),800.0)</f>
        <v>800</v>
      </c>
    </row>
    <row r="72">
      <c r="A72" s="10" t="str">
        <f>IFERROR(__xludf.DUMMYFUNCTION("""COMPUTED_VALUE"""),"Boots of Elvenkind")</f>
        <v>Boots of Elvenkind</v>
      </c>
      <c r="B72" s="10" t="str">
        <f>IFERROR(__xludf.DUMMYFUNCTION("""COMPUTED_VALUE"""),"DMG'24")</f>
        <v>DMG'24</v>
      </c>
      <c r="C72" s="10" t="str">
        <f>IFERROR(__xludf.DUMMYFUNCTION("""COMPUTED_VALUE"""),"uncommon")</f>
        <v>uncommon</v>
      </c>
      <c r="D72" s="10" t="str">
        <f>IFERROR(__xludf.DUMMYFUNCTION("""COMPUTED_VALUE"""),"Wondrous Item")</f>
        <v>Wondrous Item</v>
      </c>
      <c r="E72" s="10"/>
      <c r="F72" s="10"/>
      <c r="G72" s="10"/>
      <c r="H72" s="10"/>
      <c r="I72" s="10" t="str">
        <f>IFERROR(__xludf.DUMMYFUNCTION("""COMPUTED_VALUE"""),"While you wear these boots, your steps make no sound, regardless of the surface you are moving across. You also have Advantage on Dexterity (Stealth) checks.")</f>
        <v>While you wear these boots, your steps make no sound, regardless of the surface you are moving across. You also have Advantage on Dexterity (Stealth) checks.</v>
      </c>
      <c r="J72" s="10">
        <f>IFERROR(__xludf.DUMMYFUNCTION("""COMPUTED_VALUE"""),850.0)</f>
        <v>850</v>
      </c>
    </row>
    <row r="73">
      <c r="A73" s="8" t="str">
        <f>IFERROR(__xludf.DUMMYFUNCTION("""COMPUTED_VALUE"""),"Oil of Slipperiness")</f>
        <v>Oil of Slipperiness</v>
      </c>
      <c r="B73" s="8" t="str">
        <f>IFERROR(__xludf.DUMMYFUNCTION("""COMPUTED_VALUE"""),"DMG'24")</f>
        <v>DMG'24</v>
      </c>
      <c r="C73" s="8" t="str">
        <f>IFERROR(__xludf.DUMMYFUNCTION("""COMPUTED_VALUE"""),"uncommon")</f>
        <v>uncommon</v>
      </c>
      <c r="D73" s="8" t="str">
        <f>IFERROR(__xludf.DUMMYFUNCTION("""COMPUTED_VALUE"""),"Potion")</f>
        <v>Potion</v>
      </c>
      <c r="E73" s="8"/>
      <c r="F73" s="8"/>
      <c r="G73" s="8"/>
      <c r="H73" s="8"/>
      <c r="I73" s="8" t="str">
        <f>IFERROR(__xludf.DUMMYFUNCTION("""COMPUTED_VALUE"""),"One vial of this oil can cover one Medium or smaller creature, along with the equipment it's wearing and carrying (one additional vial is required for each size category above Medium). Applying the oil takes 10 minutes. The affected creature then gains th"&amp;"e effect of the Freedom of Movement spell for 8 hours.Alternatively, the oil can be poured on the ground as a Magic action, where it covers a 10-foot square, duplicating the effect of the Grease spell in that area for 8 hours.This sticky, black unguent is"&amp;" thick and heavy, but it flows quickly when poured.  Purchasing this gives an adventurer 1 use of this item per guild mission they go on, and does not stack unless you purchase more than 1.")</f>
        <v>One vial of this oil can cover one Medium or smaller creature, along with the equipment it's wearing and carrying (one additional vial is required for each size category above Medium). Applying the oil takes 10 minutes. The affected creature then gains the effect of the Freedom of Movement spell for 8 hours.Alternatively, the oil can be poured on the ground as a Magic action, where it covers a 10-foot square, duplicating the effect of the Grease spell in that area for 8 hours.This sticky, black unguent is thick and heavy, but it flows quickly when poured.  Purchasing this gives an adventurer 1 use of this item per guild mission they go on, and does not stack unless you purchase more than 1.</v>
      </c>
      <c r="J73" s="8">
        <f>IFERROR(__xludf.DUMMYFUNCTION("""COMPUTED_VALUE"""),850.0)</f>
        <v>850</v>
      </c>
    </row>
    <row r="74">
      <c r="A74" s="10" t="str">
        <f>IFERROR(__xludf.DUMMYFUNCTION("""COMPUTED_VALUE"""),"Potion of Heroism")</f>
        <v>Potion of Heroism</v>
      </c>
      <c r="B74" s="10" t="str">
        <f>IFERROR(__xludf.DUMMYFUNCTION("""COMPUTED_VALUE"""),"DMG'24")</f>
        <v>DMG'24</v>
      </c>
      <c r="C74" s="10" t="str">
        <f>IFERROR(__xludf.DUMMYFUNCTION("""COMPUTED_VALUE"""),"rare")</f>
        <v>rare</v>
      </c>
      <c r="D74" s="10" t="str">
        <f>IFERROR(__xludf.DUMMYFUNCTION("""COMPUTED_VALUE"""),"Potion")</f>
        <v>Potion</v>
      </c>
      <c r="E74" s="10"/>
      <c r="F74" s="10"/>
      <c r="G74" s="10"/>
      <c r="H74" s="10"/>
      <c r="I74" s="10" t="str">
        <f>IFERROR(__xludf.DUMMYFUNCTION("""COMPUTED_VALUE"""),"When you drink this potion, you gain 10 Temporary Hit Points that last for 1 hour. For the same duration, you are under the effect of the Bless spell (no Concentration required).This potion's blue liquid bubbles and steams as if boiling.  Purchasing this "&amp;"gives an adventurer 1 use of this item per guild mission they go on, and does not stack unless you purchase more than 1.")</f>
        <v>When you drink this potion, you gain 10 Temporary Hit Points that last for 1 hour. For the same duration, you are under the effect of the Bless spell (no Concentration required).This potion's blue liquid bubbles and steams as if boiling.  Purchasing this gives an adventurer 1 use of this item per guild mission they go on, and does not stack unless you purchase more than 1.</v>
      </c>
      <c r="J74" s="10">
        <f>IFERROR(__xludf.DUMMYFUNCTION("""COMPUTED_VALUE"""),850.0)</f>
        <v>850</v>
      </c>
    </row>
    <row r="75">
      <c r="A75" s="8" t="str">
        <f>IFERROR(__xludf.DUMMYFUNCTION("""COMPUTED_VALUE"""),"Rope of Entanglement")</f>
        <v>Rope of Entanglement</v>
      </c>
      <c r="B75" s="8" t="str">
        <f>IFERROR(__xludf.DUMMYFUNCTION("""COMPUTED_VALUE"""),"DMG'24")</f>
        <v>DMG'24</v>
      </c>
      <c r="C75" s="8" t="str">
        <f>IFERROR(__xludf.DUMMYFUNCTION("""COMPUTED_VALUE"""),"rare")</f>
        <v>rare</v>
      </c>
      <c r="D75" s="8" t="str">
        <f>IFERROR(__xludf.DUMMYFUNCTION("""COMPUTED_VALUE"""),"Wondrous Item")</f>
        <v>Wondrous Item</v>
      </c>
      <c r="E75" s="8"/>
      <c r="F75" s="8"/>
      <c r="G75" s="8"/>
      <c r="H75" s="8"/>
      <c r="I75" s="8" t="str">
        <f>IFERROR(__xludf.DUMMYFUNCTION("""COMPUTED_VALUE"""),"This rope is 30 feet long. While holding one end of the rope, you can take a Magic action to command the other end to dart forward and entangle one creature you can see within 20 feet of yourself. The target must succeed on a DC 15 Dexterity saving throw "&amp;"or have the Restrained condition. You can release the target by letting go of your end of the rope (causing the rope to coil up in the target's space) or by using a Bonus Action to repeat the command (causing the rope to coil up in your hand).A target Res"&amp;"trained by the rope can take an action to make its choice of a DC 15 Strength (Athletics) or Dexterity (Acrobatics) check. On a successful check, the target is no longer Restrained by the rope. If you're still holding onto the rope when a target escapes f"&amp;"rom it, you can take a Reaction to command the rope to coil up in your hand; otherwise, the rope coils up in the target's space.The rope has AC 20, HP 20, and Immunity to Poison and Psychic damage. It regains 1 Hit Point every 5 minutes as long as it has "&amp;"at least 1 Hit Point. If the rope drops to 0 Hit Points, it is destroyed.")</f>
        <v>This rope is 30 feet long. While holding one end of the rope, you can take a Magic action to command the other end to dart forward and entangle one creature you can see within 20 feet of yourself. The target must succeed on a DC 15 Dexterity saving throw or have the Restrained condition. You can release the target by letting go of your end of the rope (causing the rope to coil up in the target's space) or by using a Bonus Action to repeat the command (causing the rope to coil up in your hand).A target Restrained by the rope can take an action to make its choice of a DC 15 Strength (Athletics) or Dexterity (Acrobatics) check. On a successful check, the target is no longer Restrained by the rope. If you're still holding onto the rope when a target escapes from it, you can take a Reaction to command the rope to coil up in your hand; otherwise, the rope coils up in the target's space.The rope has AC 20, HP 20, and Immunity to Poison and Psychic damage. It regains 1 Hit Point every 5 minutes as long as it has at least 1 Hit Point. If the rope drops to 0 Hit Points, it is destroyed.</v>
      </c>
      <c r="J75" s="8">
        <f>IFERROR(__xludf.DUMMYFUNCTION("""COMPUTED_VALUE"""),850.0)</f>
        <v>850</v>
      </c>
    </row>
    <row r="76">
      <c r="A76" s="10" t="str">
        <f>IFERROR(__xludf.DUMMYFUNCTION("""COMPUTED_VALUE"""),"Dwarven Plate")</f>
        <v>Dwarven Plate</v>
      </c>
      <c r="B76" s="10" t="str">
        <f>IFERROR(__xludf.DUMMYFUNCTION("""COMPUTED_VALUE"""),"DMG'24")</f>
        <v>DMG'24</v>
      </c>
      <c r="C76" s="10" t="str">
        <f>IFERROR(__xludf.DUMMYFUNCTION("""COMPUTED_VALUE"""),"very rare")</f>
        <v>very rare</v>
      </c>
      <c r="D76" s="10" t="str">
        <f>IFERROR(__xludf.DUMMYFUNCTION("""COMPUTED_VALUE"""),"Generic Variant")</f>
        <v>Generic Variant</v>
      </c>
      <c r="E76" s="10"/>
      <c r="F76" s="10"/>
      <c r="G76" s="10"/>
      <c r="H76" s="10"/>
      <c r="I76" s="10" t="str">
        <f>IFERROR(__xludf.DUMMYFUNCTION("""COMPUTED_VALUE"""),"If an effect moves you against your will along the ground, you can take a Reaction to reduce the distance you are moved by up to 10 feet. 
Applied to non-magical Base Equipment.")</f>
        <v>If an effect moves you against your will along the ground, you can take a Reaction to reduce the distance you are moved by up to 10 feet. 
Applied to non-magical Base Equipment.</v>
      </c>
      <c r="J76" s="10">
        <f>IFERROR(__xludf.DUMMYFUNCTION("""COMPUTED_VALUE"""),850.0)</f>
        <v>850</v>
      </c>
    </row>
    <row r="77">
      <c r="A77" s="8" t="str">
        <f>IFERROR(__xludf.DUMMYFUNCTION("""COMPUTED_VALUE"""),"Dagger of Venom")</f>
        <v>Dagger of Venom</v>
      </c>
      <c r="B77" s="8" t="str">
        <f>IFERROR(__xludf.DUMMYFUNCTION("""COMPUTED_VALUE"""),"DMG'24")</f>
        <v>DMG'24</v>
      </c>
      <c r="C77" s="8" t="str">
        <f>IFERROR(__xludf.DUMMYFUNCTION("""COMPUTED_VALUE"""),"rare")</f>
        <v>rare</v>
      </c>
      <c r="D77" s="8" t="str">
        <f>IFERROR(__xludf.DUMMYFUNCTION("""COMPUTED_VALUE"""),"Simple Weapon, Melee Weapon")</f>
        <v>Simple Weapon, Melee Weapon</v>
      </c>
      <c r="E77" s="8"/>
      <c r="F77" s="8" t="str">
        <f>IFERROR(__xludf.DUMMYFUNCTION("""COMPUTED_VALUE"""),"1d4 Piercing")</f>
        <v>1d4 Piercing</v>
      </c>
      <c r="G77" s="8" t="str">
        <f>IFERROR(__xludf.DUMMYFUNCTION("""COMPUTED_VALUE"""),"Finesse, Light, Thrown (20/60 ft.)")</f>
        <v>Finesse, Light, Thrown (20/60 ft.)</v>
      </c>
      <c r="H77" s="8" t="str">
        <f>IFERROR(__xludf.DUMMYFUNCTION("""COMPUTED_VALUE"""),"Mastery: Nick")</f>
        <v>Mastery: Nick</v>
      </c>
      <c r="I77" s="8" t="str">
        <f>IFERROR(__xludf.DUMMYFUNCTION("""COMPUTED_VALUE"""),"You can take a Bonus Action to magically coat the blade with poison. The poison remains for 1 minute or until an attack using this weapon hits a creature. That creature must succeed on a DC 15 Constitution saving throw or take 2d10 Poison damage and have "&amp;"the Poisoned condition for 1 minute. The weapon can't be used this way again until the next dawn. Finesse. When making an attack with a Finesse weapon, use your choice of your Strength or Dexterity modifier for the attack and damage rolls. You must use th"&amp;"e same modifier for both rolls. Light. When you take the Attack action on your turn and attack with a Light weapon, you can make one extra attack as a Bonus Action later on the same turn. That extra attack must be made with a different Light weapon, and y"&amp;"ou don't add your ability modifier to the extra attack's damage unless that modifier is negative. For example, you can attack with a Shortsword in one hand and a Dagger in the other using the Attack action and a Bonus Action, but you don't add your Streng"&amp;"th or Dexterity modifier to the damage roll of the Bonus Action unless that modifier is negative. Thrown. If a weapon has the Thrown property, you can throw the weapon to make a ranged attack, and you can draw that weapon as part of the attack. If the wea"&amp;"pon is a Melee weapon, use the same ability modifier for the attack and damage rolls that you use for a melee attack with that weapon. Mastery: Nick. When you make the extra attack of the Light property, you can make it as part of the Attack action instea"&amp;"d of as a Bonus Action. You can make this extra attack only once per turn.")</f>
        <v>You can take a Bonus Action to magically coat the blade with poison. The poison remains for 1 minute or until an attack using this weapon hits a creature. That creature must succeed on a DC 15 Constitution saving throw or take 2d10 Poison damage and have the Poisoned condition for 1 minute. The weapon can't be used this way again until the next dawn.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Mastery: Nick. When you make the extra attack of the Light property, you can make it as part of the Attack action instead of as a Bonus Action. You can make this extra attack only once per turn.</v>
      </c>
      <c r="J77" s="8">
        <f>IFERROR(__xludf.DUMMYFUNCTION("""COMPUTED_VALUE"""),950.0)</f>
        <v>950</v>
      </c>
    </row>
    <row r="78">
      <c r="A78" s="10" t="str">
        <f>IFERROR(__xludf.DUMMYFUNCTION("""COMPUTED_VALUE"""),"Lash of Immolation")</f>
        <v>Lash of Immolation</v>
      </c>
      <c r="B78" s="10" t="str">
        <f>IFERROR(__xludf.DUMMYFUNCTION("""COMPUTED_VALUE"""),"BGG")</f>
        <v>BGG</v>
      </c>
      <c r="C78" s="10" t="str">
        <f>IFERROR(__xludf.DUMMYFUNCTION("""COMPUTED_VALUE"""),"rare")</f>
        <v>rare</v>
      </c>
      <c r="D78" s="10" t="str">
        <f>IFERROR(__xludf.DUMMYFUNCTION("""COMPUTED_VALUE"""),"Martial Weapon, Melee Weapon")</f>
        <v>Martial Weapon, Melee Weapon</v>
      </c>
      <c r="E78" s="10"/>
      <c r="F78" s="10" t="str">
        <f>IFERROR(__xludf.DUMMYFUNCTION("""COMPUTED_VALUE"""),"1d4 Slashing")</f>
        <v>1d4 Slashing</v>
      </c>
      <c r="G78" s="10" t="str">
        <f>IFERROR(__xludf.DUMMYFUNCTION("""COMPUTED_VALUE"""),"finesse, reach")</f>
        <v>finesse, reach</v>
      </c>
      <c r="H78" s="10"/>
      <c r="I78" s="10" t="str">
        <f>IFERROR(__xludf.DUMMYFUNCTION("""COMPUTED_VALUE"""),"The handle of this dark leather whip bears the fire rune, and embers dance around the whip's tail. On a hit, the whip deals an extra 1d6 fire damage. When you score a critical hit with an attack using this whip, the target also has the restrained conditio"&amp;"n until the start of your next turn, as fiery bands lash around the target. Invoking the Rune. When you make an attack with the whip and hit, you can use your reaction to invoke the whip's rune. Doing so increases the extra fire damage dealt by the whip t"&amp;"o 2d6.Once the rune has been invoked, it can't be invoked again until the next dawn. Finesse. When making an attack with a finesse weapon, you use your choice of your Strength or Dexterity modifier for the attack and damage rolls. You must use the same mo"&amp;"difier for both rolls. Reach. This weapon adds 5 feet to your reach when you attack with it. This property also determines your reach for opportunity attacks with a reach weapon.")</f>
        <v>The handle of this dark leather whip bears the fire rune, and embers dance around the whip's tail.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2d6.Once the rune has been invoked, it can't be invoked again until the next dawn.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J78" s="10">
        <f>IFERROR(__xludf.DUMMYFUNCTION("""COMPUTED_VALUE"""),950.0)</f>
        <v>950</v>
      </c>
    </row>
    <row r="79">
      <c r="A79" s="8" t="str">
        <f>IFERROR(__xludf.DUMMYFUNCTION("""COMPUTED_VALUE"""),"Iron Bands of Bilarro")</f>
        <v>Iron Bands of Bilarro</v>
      </c>
      <c r="B79" s="8" t="str">
        <f>IFERROR(__xludf.DUMMYFUNCTION("""COMPUTED_VALUE"""),"DMG'24")</f>
        <v>DMG'24</v>
      </c>
      <c r="C79" s="8" t="str">
        <f>IFERROR(__xludf.DUMMYFUNCTION("""COMPUTED_VALUE"""),"rare")</f>
        <v>rare</v>
      </c>
      <c r="D79" s="8" t="str">
        <f>IFERROR(__xludf.DUMMYFUNCTION("""COMPUTED_VALUE"""),"Wondrous Item")</f>
        <v>Wondrous Item</v>
      </c>
      <c r="E79" s="8"/>
      <c r="F79" s="8"/>
      <c r="G79" s="8"/>
      <c r="H79" s="8"/>
      <c r="I79" s="8" t="str">
        <f>IFERROR(__xludf.DUMMYFUNCTION("""COMPUTED_VALUE"""),"This rusty iron sphere measures 3 inches in diameter and weighs 1 pound. You can take a Magic action to throw the sphere at a Huge or smaller creature you can see within 60 feet of yourself. As the sphere moves through the air, it opens into a tangle of m"&amp;"etal bands.Make a ranged attack roll with an attack bonus equal to your Dexterity modifier plus your Proficiency Bonus. On a hit, the target has the Restrained condition until you take a Bonus Action to issue a command that releases it. Doing so or missin"&amp;"g with the attack causes the bands to contract and become a sphere once more.A creature that can touch the bands, including the one Restrained, can take an action to make a DC 20 Strength (Athletics) check to break the iron bands. On a successful check, t"&amp;"he item is destroyed, and the Restrained creature is freed. On a failed check, any further attempts made by that creature automatically fail until 24 hours have elapsed.Once the bands are used, they can't be used again until the next dawn.")</f>
        <v>This rusty iron sphere measures 3 inches in diameter and weighs 1 pound. You can take a Magic action to throw the sphere at a Huge or smaller creature you can see within 60 feet of yourself. As the sphere moves through the air, it opens into a tangle of metal bands.Make a ranged attack roll with an attack bonus equal to your Dexterity modifier plus your Proficiency Bonus. On a hit, the target has the Restrained condition until you take a Bonus Action to issue a command that releases it. Doing so or missing with the attack causes the bands to contract and become a sphere once more.A creature that can touch the bands, including the one Restrained, can take an action to make a DC 20 Strength (Athletics) check to break the iron bands. On a successful check, the item is destroyed, and the Restrained creature is freed. On a failed check, any further attempts made by that creature automatically fail until 24 hours have elapsed.Once the bands are used, they can't be used again until the next dawn.</v>
      </c>
      <c r="J79" s="8">
        <f>IFERROR(__xludf.DUMMYFUNCTION("""COMPUTED_VALUE"""),1000.0)</f>
        <v>1000</v>
      </c>
    </row>
    <row r="80">
      <c r="A80" s="10" t="str">
        <f>IFERROR(__xludf.DUMMYFUNCTION("""COMPUTED_VALUE"""),"Mizzium Armor")</f>
        <v>Mizzium Armor</v>
      </c>
      <c r="B80" s="10" t="str">
        <f>IFERROR(__xludf.DUMMYFUNCTION("""COMPUTED_VALUE"""),"GGR")</f>
        <v>GGR</v>
      </c>
      <c r="C80" s="10" t="str">
        <f>IFERROR(__xludf.DUMMYFUNCTION("""COMPUTED_VALUE"""),"rare")</f>
        <v>rare</v>
      </c>
      <c r="D80" s="10" t="str">
        <f>IFERROR(__xludf.DUMMYFUNCTION("""COMPUTED_VALUE"""),"Generic Variant")</f>
        <v>Generic Variant</v>
      </c>
      <c r="E80" s="10"/>
      <c r="F80" s="10"/>
      <c r="G80" s="10"/>
      <c r="H80" s="10"/>
      <c r="I80" s="10" t="str">
        <f>IFERROR(__xludf.DUMMYFUNCTION("""COMPUTED_VALUE"""),"This suit of armor is reinforced with a magically enhanced metal alloy called mizzium, which is made in Izzet foundries. While you're wearing the armor, any critical hit against you becomes a normal hit. In addition, when you are subjected to a magical ef"&amp;"fect that allows you to make a Strength or Constitution saving throw to take only half damage, you instead take no damage if you succeed on the saving throw. 
Applied to non-magical Base Equipment.")</f>
        <v>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 
Applied to non-magical Base Equipment.</v>
      </c>
      <c r="J80" s="10">
        <f>IFERROR(__xludf.DUMMYFUNCTION("""COMPUTED_VALUE"""),1000.0)</f>
        <v>1000</v>
      </c>
    </row>
    <row r="81">
      <c r="A81" s="8" t="str">
        <f>IFERROR(__xludf.DUMMYFUNCTION("""COMPUTED_VALUE"""),"Ring of Acid Resistance")</f>
        <v>Ring of Acid Resistance</v>
      </c>
      <c r="B81" s="8" t="str">
        <f>IFERROR(__xludf.DUMMYFUNCTION("""COMPUTED_VALUE"""),"DMG'24")</f>
        <v>DMG'24</v>
      </c>
      <c r="C81" s="8" t="str">
        <f>IFERROR(__xludf.DUMMYFUNCTION("""COMPUTED_VALUE"""),"rare")</f>
        <v>rare</v>
      </c>
      <c r="D81" s="8" t="str">
        <f>IFERROR(__xludf.DUMMYFUNCTION("""COMPUTED_VALUE"""),"Ring")</f>
        <v>Ring</v>
      </c>
      <c r="E81" s="8"/>
      <c r="F81" s="8"/>
      <c r="G81" s="8"/>
      <c r="H81" s="8"/>
      <c r="I81" s="8" t="str">
        <f>IFERROR(__xludf.DUMMYFUNCTION("""COMPUTED_VALUE"""),"You have Resistance to Acid damage while wearing this ring. The ring is set with pearl.")</f>
        <v>You have Resistance to Acid damage while wearing this ring. The ring is set with pearl.</v>
      </c>
      <c r="J81" s="8">
        <f>IFERROR(__xludf.DUMMYFUNCTION("""COMPUTED_VALUE"""),1000.0)</f>
        <v>1000</v>
      </c>
    </row>
    <row r="82">
      <c r="A82" s="10" t="str">
        <f>IFERROR(__xludf.DUMMYFUNCTION("""COMPUTED_VALUE"""),"Ring of Cold Resistance")</f>
        <v>Ring of Cold Resistance</v>
      </c>
      <c r="B82" s="10" t="str">
        <f>IFERROR(__xludf.DUMMYFUNCTION("""COMPUTED_VALUE"""),"DMG'24")</f>
        <v>DMG'24</v>
      </c>
      <c r="C82" s="10" t="str">
        <f>IFERROR(__xludf.DUMMYFUNCTION("""COMPUTED_VALUE"""),"rare")</f>
        <v>rare</v>
      </c>
      <c r="D82" s="10" t="str">
        <f>IFERROR(__xludf.DUMMYFUNCTION("""COMPUTED_VALUE"""),"Ring")</f>
        <v>Ring</v>
      </c>
      <c r="E82" s="10"/>
      <c r="F82" s="10"/>
      <c r="G82" s="10"/>
      <c r="H82" s="10"/>
      <c r="I82" s="10" t="str">
        <f>IFERROR(__xludf.DUMMYFUNCTION("""COMPUTED_VALUE"""),"You have Resistance to Cold damage while wearing this ring. The ring is set with tourmaline.")</f>
        <v>You have Resistance to Cold damage while wearing this ring. The ring is set with tourmaline.</v>
      </c>
      <c r="J82" s="10">
        <f>IFERROR(__xludf.DUMMYFUNCTION("""COMPUTED_VALUE"""),1000.0)</f>
        <v>1000</v>
      </c>
    </row>
    <row r="83">
      <c r="A83" s="8" t="str">
        <f>IFERROR(__xludf.DUMMYFUNCTION("""COMPUTED_VALUE"""),"Ring of Fire Resistance")</f>
        <v>Ring of Fire Resistance</v>
      </c>
      <c r="B83" s="8" t="str">
        <f>IFERROR(__xludf.DUMMYFUNCTION("""COMPUTED_VALUE"""),"DMG'24")</f>
        <v>DMG'24</v>
      </c>
      <c r="C83" s="8" t="str">
        <f>IFERROR(__xludf.DUMMYFUNCTION("""COMPUTED_VALUE"""),"rare")</f>
        <v>rare</v>
      </c>
      <c r="D83" s="8" t="str">
        <f>IFERROR(__xludf.DUMMYFUNCTION("""COMPUTED_VALUE"""),"Ring")</f>
        <v>Ring</v>
      </c>
      <c r="E83" s="8"/>
      <c r="F83" s="8"/>
      <c r="G83" s="8"/>
      <c r="H83" s="8"/>
      <c r="I83" s="8" t="str">
        <f>IFERROR(__xludf.DUMMYFUNCTION("""COMPUTED_VALUE"""),"You have Resistance to Fire damage while wearing this ring. The ring is set with garnet.")</f>
        <v>You have Resistance to Fire damage while wearing this ring. The ring is set with garnet.</v>
      </c>
      <c r="J83" s="8">
        <f>IFERROR(__xludf.DUMMYFUNCTION("""COMPUTED_VALUE"""),1000.0)</f>
        <v>1000</v>
      </c>
    </row>
    <row r="84">
      <c r="A84" s="10" t="str">
        <f>IFERROR(__xludf.DUMMYFUNCTION("""COMPUTED_VALUE"""),"Ring of Lightning Resistance")</f>
        <v>Ring of Lightning Resistance</v>
      </c>
      <c r="B84" s="10" t="str">
        <f>IFERROR(__xludf.DUMMYFUNCTION("""COMPUTED_VALUE"""),"DMG'24")</f>
        <v>DMG'24</v>
      </c>
      <c r="C84" s="10" t="str">
        <f>IFERROR(__xludf.DUMMYFUNCTION("""COMPUTED_VALUE"""),"rare")</f>
        <v>rare</v>
      </c>
      <c r="D84" s="10" t="str">
        <f>IFERROR(__xludf.DUMMYFUNCTION("""COMPUTED_VALUE"""),"Ring")</f>
        <v>Ring</v>
      </c>
      <c r="E84" s="10"/>
      <c r="F84" s="10"/>
      <c r="G84" s="10"/>
      <c r="H84" s="10"/>
      <c r="I84" s="10" t="str">
        <f>IFERROR(__xludf.DUMMYFUNCTION("""COMPUTED_VALUE"""),"You have Resistance to Lightning damage while wearing this ring. The ring is set with citrine.")</f>
        <v>You have Resistance to Lightning damage while wearing this ring. The ring is set with citrine.</v>
      </c>
      <c r="J84" s="10">
        <f>IFERROR(__xludf.DUMMYFUNCTION("""COMPUTED_VALUE"""),1000.0)</f>
        <v>1000</v>
      </c>
    </row>
    <row r="85">
      <c r="A85" s="8" t="str">
        <f>IFERROR(__xludf.DUMMYFUNCTION("""COMPUTED_VALUE"""),"Ring of Necrotic Resistance")</f>
        <v>Ring of Necrotic Resistance</v>
      </c>
      <c r="B85" s="8" t="str">
        <f>IFERROR(__xludf.DUMMYFUNCTION("""COMPUTED_VALUE"""),"DMG'24")</f>
        <v>DMG'24</v>
      </c>
      <c r="C85" s="8" t="str">
        <f>IFERROR(__xludf.DUMMYFUNCTION("""COMPUTED_VALUE"""),"rare")</f>
        <v>rare</v>
      </c>
      <c r="D85" s="8" t="str">
        <f>IFERROR(__xludf.DUMMYFUNCTION("""COMPUTED_VALUE"""),"Ring")</f>
        <v>Ring</v>
      </c>
      <c r="E85" s="8"/>
      <c r="F85" s="8"/>
      <c r="G85" s="8"/>
      <c r="H85" s="8"/>
      <c r="I85" s="8" t="str">
        <f>IFERROR(__xludf.DUMMYFUNCTION("""COMPUTED_VALUE"""),"You have Resistance to Necrotic damage while wearing this ring. The ring is set with jet.")</f>
        <v>You have Resistance to Necrotic damage while wearing this ring. The ring is set with jet.</v>
      </c>
      <c r="J85" s="8">
        <f>IFERROR(__xludf.DUMMYFUNCTION("""COMPUTED_VALUE"""),1000.0)</f>
        <v>1000</v>
      </c>
    </row>
    <row r="86">
      <c r="A86" s="10" t="str">
        <f>IFERROR(__xludf.DUMMYFUNCTION("""COMPUTED_VALUE"""),"Ring of Psychic Resistance")</f>
        <v>Ring of Psychic Resistance</v>
      </c>
      <c r="B86" s="10" t="str">
        <f>IFERROR(__xludf.DUMMYFUNCTION("""COMPUTED_VALUE"""),"DMG'24")</f>
        <v>DMG'24</v>
      </c>
      <c r="C86" s="10" t="str">
        <f>IFERROR(__xludf.DUMMYFUNCTION("""COMPUTED_VALUE"""),"rare")</f>
        <v>rare</v>
      </c>
      <c r="D86" s="10" t="str">
        <f>IFERROR(__xludf.DUMMYFUNCTION("""COMPUTED_VALUE"""),"Ring")</f>
        <v>Ring</v>
      </c>
      <c r="E86" s="10"/>
      <c r="F86" s="10"/>
      <c r="G86" s="10"/>
      <c r="H86" s="10"/>
      <c r="I86" s="10" t="str">
        <f>IFERROR(__xludf.DUMMYFUNCTION("""COMPUTED_VALUE"""),"You have Resistance to Psychic damage while wearing this ring. The ring is set with jade.")</f>
        <v>You have Resistance to Psychic damage while wearing this ring. The ring is set with jade.</v>
      </c>
      <c r="J86" s="10">
        <f>IFERROR(__xludf.DUMMYFUNCTION("""COMPUTED_VALUE"""),1000.0)</f>
        <v>1000</v>
      </c>
    </row>
    <row r="87">
      <c r="A87" s="8" t="str">
        <f>IFERROR(__xludf.DUMMYFUNCTION("""COMPUTED_VALUE"""),"Ring of Radiant Resistance")</f>
        <v>Ring of Radiant Resistance</v>
      </c>
      <c r="B87" s="8" t="str">
        <f>IFERROR(__xludf.DUMMYFUNCTION("""COMPUTED_VALUE"""),"DMG'24")</f>
        <v>DMG'24</v>
      </c>
      <c r="C87" s="8" t="str">
        <f>IFERROR(__xludf.DUMMYFUNCTION("""COMPUTED_VALUE"""),"rare")</f>
        <v>rare</v>
      </c>
      <c r="D87" s="8" t="str">
        <f>IFERROR(__xludf.DUMMYFUNCTION("""COMPUTED_VALUE"""),"Ring")</f>
        <v>Ring</v>
      </c>
      <c r="E87" s="8"/>
      <c r="F87" s="8"/>
      <c r="G87" s="8"/>
      <c r="H87" s="8"/>
      <c r="I87" s="8" t="str">
        <f>IFERROR(__xludf.DUMMYFUNCTION("""COMPUTED_VALUE"""),"You have Resistance to Radiant damage while wearing this ring. The ring is set with topaz.")</f>
        <v>You have Resistance to Radiant damage while wearing this ring. The ring is set with topaz.</v>
      </c>
      <c r="J87" s="8">
        <f>IFERROR(__xludf.DUMMYFUNCTION("""COMPUTED_VALUE"""),1000.0)</f>
        <v>1000</v>
      </c>
    </row>
    <row r="88">
      <c r="A88" s="10" t="str">
        <f>IFERROR(__xludf.DUMMYFUNCTION("""COMPUTED_VALUE"""),"Ring of Thunder Resistance")</f>
        <v>Ring of Thunder Resistance</v>
      </c>
      <c r="B88" s="10" t="str">
        <f>IFERROR(__xludf.DUMMYFUNCTION("""COMPUTED_VALUE"""),"DMG'24")</f>
        <v>DMG'24</v>
      </c>
      <c r="C88" s="10" t="str">
        <f>IFERROR(__xludf.DUMMYFUNCTION("""COMPUTED_VALUE"""),"rare")</f>
        <v>rare</v>
      </c>
      <c r="D88" s="10" t="str">
        <f>IFERROR(__xludf.DUMMYFUNCTION("""COMPUTED_VALUE"""),"Ring")</f>
        <v>Ring</v>
      </c>
      <c r="E88" s="10"/>
      <c r="F88" s="10"/>
      <c r="G88" s="10"/>
      <c r="H88" s="10"/>
      <c r="I88" s="10" t="str">
        <f>IFERROR(__xludf.DUMMYFUNCTION("""COMPUTED_VALUE"""),"You have Resistance to Thunder damage while wearing this ring. The ring is set with spinel.")</f>
        <v>You have Resistance to Thunder damage while wearing this ring. The ring is set with spinel.</v>
      </c>
      <c r="J88" s="10">
        <f>IFERROR(__xludf.DUMMYFUNCTION("""COMPUTED_VALUE"""),1000.0)</f>
        <v>1000</v>
      </c>
    </row>
    <row r="89">
      <c r="A89" s="8" t="str">
        <f>IFERROR(__xludf.DUMMYFUNCTION("""COMPUTED_VALUE"""),"War Horn of Valor")</f>
        <v>War Horn of Valor</v>
      </c>
      <c r="B89" s="8" t="str">
        <f>IFERROR(__xludf.DUMMYFUNCTION("""COMPUTED_VALUE"""),"BGG")</f>
        <v>BGG</v>
      </c>
      <c r="C89" s="8" t="str">
        <f>IFERROR(__xludf.DUMMYFUNCTION("""COMPUTED_VALUE"""),"rare")</f>
        <v>rare</v>
      </c>
      <c r="D89" s="8" t="str">
        <f>IFERROR(__xludf.DUMMYFUNCTION("""COMPUTED_VALUE"""),"Wondrous Item")</f>
        <v>Wondrous Item</v>
      </c>
      <c r="E89" s="8"/>
      <c r="F89" s="8"/>
      <c r="G89" s="8"/>
      <c r="H89" s="8"/>
      <c r="I89" s="8" t="str">
        <f>IFERROR(__xludf.DUMMYFUNCTION("""COMPUTED_VALUE"""),"This brass war horn is engraved with the war rune, which glows purple when the horn is blown. You can blow the horn as a bonus action. When you do, if you have the frightened condition, you immediately end that condition on yourself. You also have advanta"&amp;"ge on saving throws against being frightened until the start of your next turn. Invoking the Rune. When you blow the horn, you can also invoke the rune, imbuing the horn's deep call with protective magic that affects creatures of your choice within 30 fee"&amp;"t of yourself. You and all affected creatures gain a +1 bonus to AC until the start of your next turn. Once the rune has been invoked, it can't be invoked again until the next dawn.")</f>
        <v>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v>
      </c>
      <c r="J89" s="8">
        <f>IFERROR(__xludf.DUMMYFUNCTION("""COMPUTED_VALUE"""),1000.0)</f>
        <v>1000</v>
      </c>
    </row>
    <row r="90">
      <c r="A90" s="10" t="str">
        <f>IFERROR(__xludf.DUMMYFUNCTION("""COMPUTED_VALUE"""),"Potion of Flying")</f>
        <v>Potion of Flying</v>
      </c>
      <c r="B90" s="10" t="str">
        <f>IFERROR(__xludf.DUMMYFUNCTION("""COMPUTED_VALUE"""),"DMG'24")</f>
        <v>DMG'24</v>
      </c>
      <c r="C90" s="10" t="str">
        <f>IFERROR(__xludf.DUMMYFUNCTION("""COMPUTED_VALUE"""),"very rare")</f>
        <v>very rare</v>
      </c>
      <c r="D90" s="10" t="str">
        <f>IFERROR(__xludf.DUMMYFUNCTION("""COMPUTED_VALUE"""),"Potion")</f>
        <v>Potion</v>
      </c>
      <c r="E90" s="10"/>
      <c r="F90" s="10"/>
      <c r="G90" s="10"/>
      <c r="H90" s="10"/>
      <c r="I90" s="10" t="str">
        <f>IFERROR(__xludf.DUMMYFUNCTION("""COMPUTED_VALUE"""),"When you drink this potion, you gain a Fly Speed equal to your Speed for 1 hour and can hover. If you're in the air when the potion wears off, you fall unless you have some other means of staying aloft.This potion's clear liquid floats at the top of its c"&amp;"ontainer and has cloudy white impurities drifting in it.  Purchasing this gives an adventurer 1 use of this item per guild mission they go on, and does not stack unless you purchase more than 1.")</f>
        <v>When you drink this potion, you gain a Fly Speed equal to your Speed for 1 hour and can hover. If you're in the air when the potion wears off, you fall unless you have some other means of staying aloft.This potion's clear liquid floats at the top of its container and has cloudy white impurities drifting in it.  Purchasing this gives an adventurer 1 use of this item per guild mission they go on, and does not stack unless you purchase more than 1.</v>
      </c>
      <c r="J90" s="10">
        <f>IFERROR(__xludf.DUMMYFUNCTION("""COMPUTED_VALUE"""),1000.0)</f>
        <v>1000</v>
      </c>
    </row>
    <row r="91">
      <c r="A91" s="8" t="str">
        <f>IFERROR(__xludf.DUMMYFUNCTION("""COMPUTED_VALUE"""),"Wand of Magic Missiles")</f>
        <v>Wand of Magic Missiles</v>
      </c>
      <c r="B91" s="8" t="str">
        <f>IFERROR(__xludf.DUMMYFUNCTION("""COMPUTED_VALUE"""),"DMG'24")</f>
        <v>DMG'24</v>
      </c>
      <c r="C91" s="8" t="str">
        <f>IFERROR(__xludf.DUMMYFUNCTION("""COMPUTED_VALUE"""),"uncommon")</f>
        <v>uncommon</v>
      </c>
      <c r="D91" s="8" t="str">
        <f>IFERROR(__xludf.DUMMYFUNCTION("""COMPUTED_VALUE"""),"Wand")</f>
        <v>Wand</v>
      </c>
      <c r="E91" s="8"/>
      <c r="F91" s="8"/>
      <c r="G91" s="8"/>
      <c r="H91" s="8"/>
      <c r="I91" s="8" t="str">
        <f>IFERROR(__xludf.DUMMYFUNCTION("""COMPUTED_VALUE"""),"This wand has 7 charges. While holding it, you can expend no more than 3 charges to cast Magic Missile from it. For 1 charge, you cast the level 1 version of the spell. You can increase the spell's level by 1 for each additional charge you expend. Regaini"&amp;"ng Charges. The wand regains 1d6 + 1 expended charges daily at dawn. If you expend the wand's last charge, roll 1d20. On a 1, the wand crumbles into ashes and is destroyed.")</f>
        <v>This wand has 7 charges. While holding it, you can expend no more than 3 charges to cast Magic Missile from it. For 1 charge, you cast the level 1 version of the spell. You can increase the spell's level by 1 for each additional charge you expend. Regaining Charges. The wand regains 1d6 + 1 expended charges daily at dawn. If you expend the wand's last charge, roll 1d20. On a 1, the wand crumbles into ashes and is destroyed.</v>
      </c>
      <c r="J91" s="8">
        <f>IFERROR(__xludf.DUMMYFUNCTION("""COMPUTED_VALUE"""),1200.0)</f>
        <v>1200</v>
      </c>
    </row>
    <row r="92">
      <c r="A92" s="10" t="str">
        <f>IFERROR(__xludf.DUMMYFUNCTION("""COMPUTED_VALUE"""),"+1 Spell Save DC")</f>
        <v>+1 Spell Save DC</v>
      </c>
      <c r="B92" s="10" t="str">
        <f>IFERROR(__xludf.DUMMYFUNCTION("""COMPUTED_VALUE"""),"Custom rule")</f>
        <v>Custom rule</v>
      </c>
      <c r="C92" s="10" t="str">
        <f>IFERROR(__xludf.DUMMYFUNCTION("""COMPUTED_VALUE"""),"Rare")</f>
        <v>Rare</v>
      </c>
      <c r="D92" s="10" t="str">
        <f>IFERROR(__xludf.DUMMYFUNCTION("""COMPUTED_VALUE"""),"Generic Variant")</f>
        <v>Generic Variant</v>
      </c>
      <c r="E92" s="10"/>
      <c r="F92" s="10"/>
      <c r="G92" s="10"/>
      <c r="H92" s="10"/>
      <c r="I92" s="10" t="str">
        <f>IFERROR(__xludf.DUMMYFUNCTION("""COMPUTED_VALUE"""),"You have a +1 bonus to your spell save DC when you use this focus. Available to level 5+.")</f>
        <v>You have a +1 bonus to your spell save DC when you use this focus. Available to level 5+.</v>
      </c>
      <c r="J92" s="10">
        <f>IFERROR(__xludf.DUMMYFUNCTION("""COMPUTED_VALUE"""),1200.0)</f>
        <v>1200</v>
      </c>
    </row>
    <row r="93">
      <c r="A93" s="8" t="str">
        <f>IFERROR(__xludf.DUMMYFUNCTION("""COMPUTED_VALUE"""),"Ring of Force Resistance")</f>
        <v>Ring of Force Resistance</v>
      </c>
      <c r="B93" s="8" t="str">
        <f>IFERROR(__xludf.DUMMYFUNCTION("""COMPUTED_VALUE"""),"DMG'24")</f>
        <v>DMG'24</v>
      </c>
      <c r="C93" s="8" t="str">
        <f>IFERROR(__xludf.DUMMYFUNCTION("""COMPUTED_VALUE"""),"rare")</f>
        <v>rare</v>
      </c>
      <c r="D93" s="8" t="str">
        <f>IFERROR(__xludf.DUMMYFUNCTION("""COMPUTED_VALUE"""),"Ring")</f>
        <v>Ring</v>
      </c>
      <c r="E93" s="8"/>
      <c r="F93" s="8"/>
      <c r="G93" s="8"/>
      <c r="H93" s="8"/>
      <c r="I93" s="8" t="str">
        <f>IFERROR(__xludf.DUMMYFUNCTION("""COMPUTED_VALUE"""),"You have Resistance to Force damage while wearing this ring. The ring is set with sapphire.")</f>
        <v>You have Resistance to Force damage while wearing this ring. The ring is set with sapphire.</v>
      </c>
      <c r="J93" s="8">
        <f>IFERROR(__xludf.DUMMYFUNCTION("""COMPUTED_VALUE"""),1200.0)</f>
        <v>1200</v>
      </c>
    </row>
    <row r="94">
      <c r="A94" s="10" t="str">
        <f>IFERROR(__xludf.DUMMYFUNCTION("""COMPUTED_VALUE"""),"Serpent's Fang")</f>
        <v>Serpent's Fang</v>
      </c>
      <c r="B94" s="10" t="str">
        <f>IFERROR(__xludf.DUMMYFUNCTION("""COMPUTED_VALUE"""),"CM")</f>
        <v>CM</v>
      </c>
      <c r="C94" s="10" t="str">
        <f>IFERROR(__xludf.DUMMYFUNCTION("""COMPUTED_VALUE"""),"rare")</f>
        <v>rare</v>
      </c>
      <c r="D94" s="10" t="str">
        <f>IFERROR(__xludf.DUMMYFUNCTION("""COMPUTED_VALUE"""),"Martial Weapon, Melee Weapon")</f>
        <v>Martial Weapon, Melee Weapon</v>
      </c>
      <c r="E94" s="10"/>
      <c r="F94" s="10" t="str">
        <f>IFERROR(__xludf.DUMMYFUNCTION("""COMPUTED_VALUE"""),"1d8 Slashing")</f>
        <v>1d8 Slashing</v>
      </c>
      <c r="G94" s="10" t="str">
        <f>IFERROR(__xludf.DUMMYFUNCTION("""COMPUTED_VALUE"""),"versatile (1d10)")</f>
        <v>versatile (1d10)</v>
      </c>
      <c r="H94" s="10"/>
      <c r="I94" s="10" t="str">
        <f>IFERROR(__xludf.DUMMYFUNCTION("""COMPUTED_VALUE"""),"This single-edged magic sword is made from the scrimshawed fang of a giant serpent. Its hilt changes shape to adjust to the grasp of any creature that picks it up. The weapon deals an extra 1d10 poison damage to any target it hits. Versatile. This weapon "&amp;"can be used with one or two hands. A damage value in parentheses appears with the property the damage when the weapon is used with two hands to make a melee attack.")</f>
        <v>This single-edged magic sword is made from the scrimshawed fang of a giant serpent. Its hilt changes shape to adjust to the grasp of any creature that picks it up. The weapon deals an extra 1d10 poison damage to any target it hits. Versatile. This weapon can be used with one or two hands. A damage value in parentheses appears with the property the damage when the weapon is used with two hands to make a melee attack.</v>
      </c>
      <c r="J94" s="10">
        <f>IFERROR(__xludf.DUMMYFUNCTION("""COMPUTED_VALUE"""),1200.0)</f>
        <v>1200</v>
      </c>
    </row>
    <row r="95">
      <c r="A95" s="8" t="str">
        <f>IFERROR(__xludf.DUMMYFUNCTION("""COMPUTED_VALUE"""),"Pipes of Haunting")</f>
        <v>Pipes of Haunting</v>
      </c>
      <c r="B95" s="8" t="str">
        <f>IFERROR(__xludf.DUMMYFUNCTION("""COMPUTED_VALUE"""),"DMG'24")</f>
        <v>DMG'24</v>
      </c>
      <c r="C95" s="8" t="str">
        <f>IFERROR(__xludf.DUMMYFUNCTION("""COMPUTED_VALUE"""),"uncommon")</f>
        <v>uncommon</v>
      </c>
      <c r="D95" s="8" t="str">
        <f>IFERROR(__xludf.DUMMYFUNCTION("""COMPUTED_VALUE"""),"Wondrous Item")</f>
        <v>Wondrous Item</v>
      </c>
      <c r="E95" s="8"/>
      <c r="F95" s="8"/>
      <c r="G95" s="8"/>
      <c r="H95" s="8"/>
      <c r="I95" s="8" t="str">
        <f>IFERROR(__xludf.DUMMYFUNCTION("""COMPUTED_VALUE"""),"These pipes have 3 charges and regain 1d3 expended charges daily at dawn. You can take a Magic action to play them and expend 1 charge to create an eerie, spellbinding tune. Each creature of your choice within 30 feet of you must succeed on a DC 15 Wisdom"&amp;" saving throw or have the Frightened condition for 1 minute. A creature that fails the save repeats it at the end of each of its turns, ending the effect on itself on a success. A creature that succeeds on its save is immune to the effect of these pipes f"&amp;"or 24 hours.")</f>
        <v>These pipes have 3 charges and regain 1d3 expended charges daily at dawn. You can take a Magic action to play them and expend 1 charge to create an eerie, spellbinding tune. Each creature of your choice within 30 feet of you must succeed on a DC 15 Wisdom saving throw or have the Frightened condition for 1 minute. A creature that fails the save repeats it at the end of each of its turns, ending the effect on itself on a success. A creature that succeeds on its save is immune to the effect of these pipes for 24 hours.</v>
      </c>
      <c r="J95" s="8">
        <f>IFERROR(__xludf.DUMMYFUNCTION("""COMPUTED_VALUE"""),1500.0)</f>
        <v>1500</v>
      </c>
    </row>
    <row r="96">
      <c r="A96" s="10" t="str">
        <f>IFERROR(__xludf.DUMMYFUNCTION("""COMPUTED_VALUE"""),"Sentinel Shield")</f>
        <v>Sentinel Shield</v>
      </c>
      <c r="B96" s="10" t="str">
        <f>IFERROR(__xludf.DUMMYFUNCTION("""COMPUTED_VALUE"""),"DMG'24")</f>
        <v>DMG'24</v>
      </c>
      <c r="C96" s="10" t="str">
        <f>IFERROR(__xludf.DUMMYFUNCTION("""COMPUTED_VALUE"""),"uncommon")</f>
        <v>uncommon</v>
      </c>
      <c r="D96" s="10" t="str">
        <f>IFERROR(__xludf.DUMMYFUNCTION("""COMPUTED_VALUE"""),"Shield")</f>
        <v>Shield</v>
      </c>
      <c r="E96" s="10"/>
      <c r="F96" s="10" t="str">
        <f>IFERROR(__xludf.DUMMYFUNCTION("""COMPUTED_VALUE"""),"AC +2")</f>
        <v>AC +2</v>
      </c>
      <c r="G96" s="10"/>
      <c r="H96" s="10"/>
      <c r="I96" s="10" t="str">
        <f>IFERROR(__xludf.DUMMYFUNCTION("""COMPUTED_VALUE"""),"While holding this Shield, you have Advantage on Initiative rolls and Wisdom (Perception) checks. The Shield is emblazoned with a symbol of an eye.")</f>
        <v>While holding this Shield, you have Advantage on Initiative rolls and Wisdom (Perception) checks. The Shield is emblazoned with a symbol of an eye.</v>
      </c>
      <c r="J96" s="10">
        <f>IFERROR(__xludf.DUMMYFUNCTION("""COMPUTED_VALUE"""),1500.0)</f>
        <v>1500</v>
      </c>
    </row>
    <row r="97">
      <c r="A97" s="8" t="str">
        <f>IFERROR(__xludf.DUMMYFUNCTION("""COMPUTED_VALUE"""),"Serpent Scale Armor")</f>
        <v>Serpent Scale Armor</v>
      </c>
      <c r="B97" s="8" t="str">
        <f>IFERROR(__xludf.DUMMYFUNCTION("""COMPUTED_VALUE"""),"CM")</f>
        <v>CM</v>
      </c>
      <c r="C97" s="8" t="str">
        <f>IFERROR(__xludf.DUMMYFUNCTION("""COMPUTED_VALUE"""),"uncommon")</f>
        <v>uncommon</v>
      </c>
      <c r="D97" s="8" t="str">
        <f>IFERROR(__xludf.DUMMYFUNCTION("""COMPUTED_VALUE"""),"Medium Armor")</f>
        <v>Medium Armor</v>
      </c>
      <c r="E97" s="8"/>
      <c r="F97" s="8" t="str">
        <f>IFERROR(__xludf.DUMMYFUNCTION("""COMPUTED_VALUE"""),"AC 14 + Dex")</f>
        <v>AC 14 + Dex</v>
      </c>
      <c r="G97" s="8"/>
      <c r="H97" s="8"/>
      <c r="I97" s="8" t="str">
        <f>IFERROR(__xludf.DUMMYFUNCTION("""COMPUTED_VALUE"""),"This suit of magic armor is made from shimmering scales. While wearing it, you can apply your full Dexterity modifier (instead of a maximum of +2) when determining your Armor Class. In addition, this armor does not impose disadvantage on your Dexterity (S"&amp;"tealth) checks.")</f>
        <v>This suit of magic armor is made from shimmering scales. While wearing it, you can apply your full Dexterity modifier (instead of a maximum of +2) when determining your Armor Class. In addition, this armor does not impose disadvantage on your Dexterity (Stealth) checks.</v>
      </c>
      <c r="J97" s="8">
        <f>IFERROR(__xludf.DUMMYFUNCTION("""COMPUTED_VALUE"""),1500.0)</f>
        <v>1500</v>
      </c>
    </row>
    <row r="98">
      <c r="A98" s="10" t="str">
        <f>IFERROR(__xludf.DUMMYFUNCTION("""COMPUTED_VALUE"""),"+1 Spell Focus")</f>
        <v>+1 Spell Focus</v>
      </c>
      <c r="B98" s="10" t="str">
        <f>IFERROR(__xludf.DUMMYFUNCTION("""COMPUTED_VALUE"""),"Custom rule")</f>
        <v>Custom rule</v>
      </c>
      <c r="C98" s="10" t="str">
        <f>IFERROR(__xludf.DUMMYFUNCTION("""COMPUTED_VALUE"""),"Rare")</f>
        <v>Rare</v>
      </c>
      <c r="D98" s="10" t="str">
        <f>IFERROR(__xludf.DUMMYFUNCTION("""COMPUTED_VALUE"""),"Generic Variant")</f>
        <v>Generic Variant</v>
      </c>
      <c r="E98" s="10"/>
      <c r="F98" s="10"/>
      <c r="G98" s="10"/>
      <c r="H98" s="10"/>
      <c r="I98" s="10" t="str">
        <f>IFERROR(__xludf.DUMMYFUNCTION("""COMPUTED_VALUE"""),"You have a +1 bonus to your spell save DC and to spell attack rolls when using this focus.Available to level 8+")</f>
        <v>You have a +1 bonus to your spell save DC and to spell attack rolls when using this focus.Available to level 8+</v>
      </c>
      <c r="J98" s="10">
        <f>IFERROR(__xludf.DUMMYFUNCTION("""COMPUTED_VALUE"""),1800.0)</f>
        <v>1800</v>
      </c>
    </row>
    <row r="99">
      <c r="A99" s="8" t="str">
        <f>IFERROR(__xludf.DUMMYFUNCTION("""COMPUTED_VALUE"""),"+2 Weapon")</f>
        <v>+2 Weapon</v>
      </c>
      <c r="B99" s="8" t="str">
        <f>IFERROR(__xludf.DUMMYFUNCTION("""COMPUTED_VALUE"""),"Custom rule")</f>
        <v>Custom rule</v>
      </c>
      <c r="C99" s="8" t="str">
        <f>IFERROR(__xludf.DUMMYFUNCTION("""COMPUTED_VALUE"""),"Rare")</f>
        <v>Rare</v>
      </c>
      <c r="D99" s="8" t="str">
        <f>IFERROR(__xludf.DUMMYFUNCTION("""COMPUTED_VALUE"""),"Generic Variant")</f>
        <v>Generic Variant</v>
      </c>
      <c r="E99" s="8"/>
      <c r="F99" s="8"/>
      <c r="G99" s="8"/>
      <c r="H99" s="8"/>
      <c r="I99" s="8" t="str">
        <f>IFERROR(__xludf.DUMMYFUNCTION("""COMPUTED_VALUE"""),"You have a +2 bonus to attack and damage rolls made with this magic weapon. Available to level 8+")</f>
        <v>You have a +2 bonus to attack and damage rolls made with this magic weapon. Available to level 8+</v>
      </c>
      <c r="J99" s="8">
        <f>IFERROR(__xludf.DUMMYFUNCTION("""COMPUTED_VALUE"""),1800.0)</f>
        <v>1800</v>
      </c>
    </row>
    <row r="100">
      <c r="A100" s="10" t="str">
        <f>IFERROR(__xludf.DUMMYFUNCTION("""COMPUTED_VALUE"""),"Vicious Weapon")</f>
        <v>Vicious Weapon</v>
      </c>
      <c r="B100" s="10" t="str">
        <f>IFERROR(__xludf.DUMMYFUNCTION("""COMPUTED_VALUE"""),"DMG'24")</f>
        <v>DMG'24</v>
      </c>
      <c r="C100" s="10" t="str">
        <f>IFERROR(__xludf.DUMMYFUNCTION("""COMPUTED_VALUE"""),"rare")</f>
        <v>rare</v>
      </c>
      <c r="D100" s="10" t="str">
        <f>IFERROR(__xludf.DUMMYFUNCTION("""COMPUTED_VALUE"""),"Generic Variant")</f>
        <v>Generic Variant</v>
      </c>
      <c r="E100" s="10"/>
      <c r="F100" s="10"/>
      <c r="G100" s="10"/>
      <c r="H100" s="10"/>
      <c r="I100" s="10" t="str">
        <f>IFERROR(__xludf.DUMMYFUNCTION("""COMPUTED_VALUE"""),"This magic weapon deals an extra 2d6 damage to any creature it hits. This extra damage is of the same type as the weapon's normal damage. 
Available at level 8+.")</f>
        <v>This magic weapon deals an extra 2d6 damage to any creature it hits. This extra damage is of the same type as the weapon's normal damage. 
Available at level 8+.</v>
      </c>
      <c r="J100" s="10">
        <f>IFERROR(__xludf.DUMMYFUNCTION("""COMPUTED_VALUE"""),1800.0)</f>
        <v>1800</v>
      </c>
    </row>
    <row r="101">
      <c r="A101" s="8" t="str">
        <f>IFERROR(__xludf.DUMMYFUNCTION("""COMPUTED_VALUE"""),"+2 Wraps of Unarmed Power")</f>
        <v>+2 Wraps of Unarmed Power</v>
      </c>
      <c r="B101" s="8" t="str">
        <f>IFERROR(__xludf.DUMMYFUNCTION("""COMPUTED_VALUE"""),"DMG'24")</f>
        <v>DMG'24</v>
      </c>
      <c r="C101" s="8" t="str">
        <f>IFERROR(__xludf.DUMMYFUNCTION("""COMPUTED_VALUE"""),"Very rare")</f>
        <v>Very rare</v>
      </c>
      <c r="D101" s="8" t="str">
        <f>IFERROR(__xludf.DUMMYFUNCTION("""COMPUTED_VALUE"""),"Wondrous Item")</f>
        <v>Wondrous Item</v>
      </c>
      <c r="E101" s="8"/>
      <c r="F101" s="8"/>
      <c r="G101" s="8"/>
      <c r="H101" s="8"/>
      <c r="I101" s="8" t="str">
        <f>IFERROR(__xludf.DUMMYFUNCTION("""COMPUTED_VALUE"""),"While wearing these wraps, you have a +2 bonus to attack rolls and damage rolls made with your Unarmed Strikes. Those strikes deal your choice of Force damage or their normal damage type. Available to level 8+")</f>
        <v>While wearing these wraps, you have a +2 bonus to attack rolls and damage rolls made with your Unarmed Strikes. Those strikes deal your choice of Force damage or their normal damage type. Available to level 8+</v>
      </c>
      <c r="J101" s="8">
        <f>IFERROR(__xludf.DUMMYFUNCTION("""COMPUTED_VALUE"""),1800.0)</f>
        <v>1800</v>
      </c>
    </row>
    <row r="102">
      <c r="A102" s="10" t="str">
        <f>IFERROR(__xludf.DUMMYFUNCTION("""COMPUTED_VALUE"""),"Lute of Thunderous Thumping")</f>
        <v>Lute of Thunderous Thumping</v>
      </c>
      <c r="B102" s="10" t="str">
        <f>IFERROR(__xludf.DUMMYFUNCTION("""COMPUTED_VALUE"""),"DMG'24")</f>
        <v>DMG'24</v>
      </c>
      <c r="C102" s="10" t="str">
        <f>IFERROR(__xludf.DUMMYFUNCTION("""COMPUTED_VALUE"""),"very rare")</f>
        <v>very rare</v>
      </c>
      <c r="D102" s="10" t="str">
        <f>IFERROR(__xludf.DUMMYFUNCTION("""COMPUTED_VALUE"""),"Simple Weapon, Melee Weapon, Instrument")</f>
        <v>Simple Weapon, Melee Weapon, Instrument</v>
      </c>
      <c r="E102" s="10"/>
      <c r="F102" s="10" t="str">
        <f>IFERROR(__xludf.DUMMYFUNCTION("""COMPUTED_VALUE"""),"1d4 Bludgeoning")</f>
        <v>1d4 Bludgeoning</v>
      </c>
      <c r="G102" s="10" t="str">
        <f>IFERROR(__xludf.DUMMYFUNCTION("""COMPUTED_VALUE"""),"Light")</f>
        <v>Light</v>
      </c>
      <c r="H102" s="10" t="str">
        <f>IFERROR(__xludf.DUMMYFUNCTION("""COMPUTED_VALUE"""),"Mastery: Slow")</f>
        <v>Mastery: Slow</v>
      </c>
      <c r="I102" s="10" t="str">
        <f>IFERROR(__xludf.DUMMYFUNCTION("""COMPUTED_VALUE"""),"This reinforced lute can be wielded as a magic Club that deals an extra 2d8 Thunder damage on a hit. Sing and Swing. If you're a Bard, you can use your Charisma modifier instead of your Strength modifier when making a melee attack roll with the lute, prov"&amp;"ided you sing or hum while making the attack. Light. When you take the Attack action on your turn and attack with a Light weapon, you can make one extra attack as a Bonus Action later on the same turn. That extra attack must be made with a different Light"&amp;" weapon, and you don't add your ability modifier to the extra attack's damage unless that modifier is negative. For example, you can attack with a Shortsword in one hand and a Dagger in the other using the Attack action and a Bonus Action, but you don't a"&amp;"dd your Strength or Dexterity modifier to the damage roll of the Bonus Action unless that modifier is negative. Mastery: Slow. If you hit a creature with this weapon and deal damage to it, you can reduce its Speed by 10 feet until the start of your next t"&amp;"urn. If the creature is hit more than once by weapons that have this property, the Speed reduction doesn't exceed 10 feet.")</f>
        <v>This reinforced lute can be wielded as a magic Club that deals an extra 2d8 Thunder damage on a hit. Sing and Swing. If you're a Bard, you can use your Charisma modifier instead of your Strength modifier when making a melee attack roll with the lute, provided you sing or hum while making the attack.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Mastery: Slow. If you hit a creature with this weapon and deal damage to it, you can reduce its Speed by 10 feet until the start of your next turn. If the creature is hit more than once by weapons that have this property, the Speed reduction doesn't exceed 10 feet.</v>
      </c>
      <c r="J102" s="10">
        <f>IFERROR(__xludf.DUMMYFUNCTION("""COMPUTED_VALUE"""),1800.0)</f>
        <v>1800</v>
      </c>
    </row>
    <row r="103">
      <c r="A103" s="8" t="str">
        <f>IFERROR(__xludf.DUMMYFUNCTION("""COMPUTED_VALUE"""),"Potion of Speed")</f>
        <v>Potion of Speed</v>
      </c>
      <c r="B103" s="8" t="str">
        <f>IFERROR(__xludf.DUMMYFUNCTION("""COMPUTED_VALUE"""),"DMG'24")</f>
        <v>DMG'24</v>
      </c>
      <c r="C103" s="8" t="str">
        <f>IFERROR(__xludf.DUMMYFUNCTION("""COMPUTED_VALUE"""),"very rare")</f>
        <v>very rare</v>
      </c>
      <c r="D103" s="8" t="str">
        <f>IFERROR(__xludf.DUMMYFUNCTION("""COMPUTED_VALUE"""),"Potion")</f>
        <v>Potion</v>
      </c>
      <c r="E103" s="8"/>
      <c r="F103" s="8"/>
      <c r="G103" s="8"/>
      <c r="H103" s="8"/>
      <c r="I103" s="8" t="str">
        <f>IFERROR(__xludf.DUMMYFUNCTION("""COMPUTED_VALUE"""),"When you drink this potion, you gain the effect of the Haste spell for 1 minute (no Concentration required) without suffering the wave of lethargy that typically occurs when the effect ends.This potion's yellow fluid is streaked with black and swirls on i"&amp;"ts own.  Purchasing this gives an adventurer 1 use of this item per guild mission they go on, and does not stack unless you purchase more than 1.")</f>
        <v>When you drink this potion, you gain the effect of the Haste spell for 1 minute (no Concentration required) without suffering the wave of lethargy that typically occurs when the effect ends.This potion's yellow fluid is streaked with black and swirls on its own.  Purchasing this gives an adventurer 1 use of this item per guild mission they go on, and does not stack unless you purchase more than 1.</v>
      </c>
      <c r="J103" s="8">
        <f>IFERROR(__xludf.DUMMYFUNCTION("""COMPUTED_VALUE"""),1800.0)</f>
        <v>1800</v>
      </c>
    </row>
    <row r="104">
      <c r="A104" s="10" t="str">
        <f>IFERROR(__xludf.DUMMYFUNCTION("""COMPUTED_VALUE"""),"+1 Armor Class")</f>
        <v>+1 Armor Class</v>
      </c>
      <c r="B104" s="10" t="str">
        <f>IFERROR(__xludf.DUMMYFUNCTION("""COMPUTED_VALUE"""),"Custom rule")</f>
        <v>Custom rule</v>
      </c>
      <c r="C104" s="10" t="str">
        <f>IFERROR(__xludf.DUMMYFUNCTION("""COMPUTED_VALUE"""),"Rare")</f>
        <v>Rare</v>
      </c>
      <c r="D104" s="10" t="str">
        <f>IFERROR(__xludf.DUMMYFUNCTION("""COMPUTED_VALUE"""),"Generic Variant")</f>
        <v>Generic Variant</v>
      </c>
      <c r="E104" s="10"/>
      <c r="F104" s="10"/>
      <c r="G104" s="10"/>
      <c r="H104" s="10"/>
      <c r="I104" s="10" t="str">
        <f>IFERROR(__xludf.DUMMYFUNCTION("""COMPUTED_VALUE"""),"You have a +1 bonus to your Armor Class when wearing this armor. Available to level 8+")</f>
        <v>You have a +1 bonus to your Armor Class when wearing this armor. Available to level 8+</v>
      </c>
      <c r="J104" s="10">
        <f>IFERROR(__xludf.DUMMYFUNCTION("""COMPUTED_VALUE"""),2000.0)</f>
        <v>2000</v>
      </c>
    </row>
    <row r="105">
      <c r="A105" s="8" t="str">
        <f>IFERROR(__xludf.DUMMYFUNCTION("""COMPUTED_VALUE"""),"Portable Hole")</f>
        <v>Portable Hole</v>
      </c>
      <c r="B105" s="8" t="str">
        <f>IFERROR(__xludf.DUMMYFUNCTION("""COMPUTED_VALUE"""),"DMG'24")</f>
        <v>DMG'24</v>
      </c>
      <c r="C105" s="8" t="str">
        <f>IFERROR(__xludf.DUMMYFUNCTION("""COMPUTED_VALUE"""),"rare")</f>
        <v>rare</v>
      </c>
      <c r="D105" s="8" t="str">
        <f>IFERROR(__xludf.DUMMYFUNCTION("""COMPUTED_VALUE"""),"Wondrous Item")</f>
        <v>Wondrous Item</v>
      </c>
      <c r="E105" s="8"/>
      <c r="F105" s="8"/>
      <c r="G105" s="8"/>
      <c r="H105" s="8"/>
      <c r="I105" s="8" t="str">
        <f>IFERROR(__xludf.DUMMYFUNCTION("""COMPUTED_VALUE"""),"This fine black cloth, soft as silk, is folded up to the dimensions of a handkerchief. It unfolds into a circular sheet 6 feet in diameter.You can take a Magic action to unfold a Portable Hole and place it on or against a solid surface, whereupon the Port"&amp;"able Hole creates an extradimensional hole 10 feet deep. The cylindrical space within the hole exists on a different plane of existence, so it can't be used to create open passages. Any creature inside an open Portable Hole can exit the hole by climbing o"&amp;"ut of it.You can take a Magic action to close a Portable Hole by taking hold of the edges of the cloth and folding it up. Folding the cloth closes the hole, and any creatures or objects within remain in the extradimensional space. No matter what's in it, "&amp;"the hole weighs next to nothing.If the hole is folded up, a creature within the hole's extradimensional space can take an action to make a DC 10 Strength (Athletics) check. On a successful check, the creature forces its way out and appears within 5 feet o"&amp;"f the Portable Hole. A closed Portable Hole holds enough air for 1 hour of breathing, divided by the number of breathing creatures inside.Placing a Portable Hole inside an extradimensional space created by a Bag of Holding, Heward's Handy Haversack, or si"&amp;"milar item instantly destroys both items and opens a gate to the Astral Plane. The gate originates where the one item was placed inside the other. Any creature within 10 feet of the gate and not behind Total Cover is sucked through it and deposited in a r"&amp;"andom location on the Astral Plane. The gate then closes. The gate is one-way only and can't be reopened.")</f>
        <v>This fine black cloth, soft as silk, is folded up to the dimensions of a handkerchief. It unfolds into a circular sheet 6 feet in diameter.You can take a Magic action to unfold a Portable Hole and place it on or against a solid surface, whereupon the Portable Hole creates an extradimensional hole 10 feet deep. The cylindrical space within the hole exists on a different plane of existence, so it can't be used to create open passages. Any creature inside an open Portable Hole can exit the hole by climbing out of it.You can take a Magic action to close a Portable Hole by taking hold of the edges of the cloth and folding it up. Folding the cloth closes the hole, and any creatures or objects within remain in the extradimensional space. No matter what's in it, the hole weighs next to nothing.If the hole is folded up, a creature within the hole's extradimensional space can take an action to make a DC 10 Strength (Athletics) check. On a successful check, the creature forces its way out and appears within 5 feet of the Portable Hole. A closed Portable Hole holds enough air for 1 hour of breathing, divided by the number of breathing creatures inside.Placing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and not behind Total Cover is sucked through it and deposited in a random location on the Astral Plane. The gate then closes. The gate is one-way only and can't be reopened.</v>
      </c>
      <c r="J105" s="8">
        <f>IFERROR(__xludf.DUMMYFUNCTION("""COMPUTED_VALUE"""),2150.0)</f>
        <v>2150</v>
      </c>
    </row>
    <row r="106">
      <c r="A106" s="10" t="str">
        <f>IFERROR(__xludf.DUMMYFUNCTION("""COMPUTED_VALUE"""),"Intensive Training")</f>
        <v>Intensive Training</v>
      </c>
      <c r="B106" s="10" t="str">
        <f>IFERROR(__xludf.DUMMYFUNCTION("""COMPUTED_VALUE"""),"Custom rule")</f>
        <v>Custom rule</v>
      </c>
      <c r="C106" s="10" t="str">
        <f>IFERROR(__xludf.DUMMYFUNCTION("""COMPUTED_VALUE"""),"legendary")</f>
        <v>legendary</v>
      </c>
      <c r="D106" s="10" t="str">
        <f>IFERROR(__xludf.DUMMYFUNCTION("""COMPUTED_VALUE"""),"Generic Variant")</f>
        <v>Generic Variant</v>
      </c>
      <c r="E106" s="10"/>
      <c r="F106" s="10"/>
      <c r="G106" s="10"/>
      <c r="H106" s="10"/>
      <c r="I106" s="10" t="str">
        <f>IFERROR(__xludf.DUMMYFUNCTION("""COMPUTED_VALUE"""),"Gain an additional feat for which you qualify. You can purchase this a maximum of three times.")</f>
        <v>Gain an additional feat for which you qualify. You can purchase this a maximum of three times.</v>
      </c>
      <c r="J106" s="10">
        <f>IFERROR(__xludf.DUMMYFUNCTION("""COMPUTED_VALUE"""),2500.0)</f>
        <v>2500</v>
      </c>
    </row>
    <row r="107">
      <c r="A107" s="12"/>
      <c r="B107" s="12"/>
      <c r="C107" s="12"/>
      <c r="D107" s="12"/>
      <c r="E107" s="12"/>
      <c r="F107" s="12"/>
      <c r="G107" s="12"/>
      <c r="H107" s="12"/>
      <c r="I107" s="12"/>
      <c r="J107" s="12"/>
    </row>
  </sheetData>
  <mergeCells count="1">
    <mergeCell ref="A2:I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9" max="9" width="91.13"/>
  </cols>
  <sheetData>
    <row r="1" ht="45.0" customHeight="1">
      <c r="A1" s="1" t="s">
        <v>0</v>
      </c>
      <c r="B1" s="1" t="s">
        <v>1</v>
      </c>
      <c r="C1" s="1" t="s">
        <v>2</v>
      </c>
      <c r="D1" s="1" t="s">
        <v>3</v>
      </c>
      <c r="E1" s="1" t="s">
        <v>4</v>
      </c>
      <c r="F1" s="1" t="s">
        <v>5</v>
      </c>
      <c r="G1" s="1" t="s">
        <v>6</v>
      </c>
      <c r="H1" s="1" t="s">
        <v>7</v>
      </c>
      <c r="I1" s="1" t="s">
        <v>8</v>
      </c>
      <c r="J1" s="37" t="s">
        <v>9</v>
      </c>
      <c r="K1" s="38" t="s">
        <v>90</v>
      </c>
      <c r="L1" s="38" t="s">
        <v>91</v>
      </c>
      <c r="M1" s="37" t="s">
        <v>92</v>
      </c>
      <c r="N1" s="37" t="s">
        <v>93</v>
      </c>
      <c r="O1" s="37" t="s">
        <v>94</v>
      </c>
      <c r="P1" s="37" t="s">
        <v>95</v>
      </c>
      <c r="Q1" s="37" t="s">
        <v>96</v>
      </c>
      <c r="R1" s="37" t="s">
        <v>97</v>
      </c>
      <c r="S1" s="37" t="s">
        <v>98</v>
      </c>
      <c r="T1" s="37" t="s">
        <v>99</v>
      </c>
      <c r="U1" s="39" t="s">
        <v>100</v>
      </c>
      <c r="V1" s="37" t="s">
        <v>49</v>
      </c>
      <c r="W1" s="37" t="s">
        <v>101</v>
      </c>
      <c r="X1" s="37" t="s">
        <v>102</v>
      </c>
      <c r="Y1" s="37" t="s">
        <v>103</v>
      </c>
      <c r="Z1" s="37" t="s">
        <v>104</v>
      </c>
      <c r="AA1" s="37" t="s">
        <v>105</v>
      </c>
      <c r="AB1" s="37" t="s">
        <v>21</v>
      </c>
      <c r="AC1" s="37" t="s">
        <v>19</v>
      </c>
      <c r="AD1" s="37" t="s">
        <v>58</v>
      </c>
      <c r="AE1" s="37" t="s">
        <v>106</v>
      </c>
      <c r="AF1" s="37" t="s">
        <v>107</v>
      </c>
      <c r="AG1" s="37" t="s">
        <v>108</v>
      </c>
      <c r="AH1" s="37" t="s">
        <v>53</v>
      </c>
      <c r="AI1" s="39" t="s">
        <v>109</v>
      </c>
      <c r="AJ1" s="40"/>
      <c r="AK1" s="40"/>
    </row>
    <row r="2">
      <c r="A2" s="41" t="s">
        <v>110</v>
      </c>
      <c r="B2" s="41" t="s">
        <v>111</v>
      </c>
      <c r="C2" s="41" t="s">
        <v>112</v>
      </c>
      <c r="D2" s="41" t="s">
        <v>113</v>
      </c>
      <c r="E2" s="42"/>
      <c r="F2" s="42"/>
      <c r="G2" s="42"/>
      <c r="H2" s="42"/>
      <c r="I2" s="41" t="s">
        <v>114</v>
      </c>
      <c r="J2" s="41" t="s">
        <v>115</v>
      </c>
      <c r="K2" s="43" t="str">
        <f t="shared" ref="K2:K1869" si="1">IF(A2="","", TEXTJOIN(", ",True,L2:AK2))</f>
        <v>No Attunement Required, Adventuring Gear, 0</v>
      </c>
      <c r="L2" s="43" t="str">
        <f t="shared" ref="L2:L1869" si="2">IF(A2="","", IF(COUNTIF(E2,"*Attunement*"),"Requires Attunement","No Attunement Required"))</f>
        <v>No Attunement Required</v>
      </c>
      <c r="M2" s="42"/>
      <c r="N2" s="42"/>
      <c r="O2" s="42"/>
      <c r="P2" s="42"/>
      <c r="Q2" s="42"/>
      <c r="R2" s="42"/>
      <c r="S2" s="44"/>
      <c r="T2" s="44"/>
      <c r="U2" s="42"/>
      <c r="V2" s="42"/>
      <c r="W2" s="42"/>
      <c r="X2" s="42"/>
      <c r="Y2" s="42"/>
      <c r="Z2" s="42"/>
      <c r="AA2" s="42"/>
      <c r="AB2" s="44" t="s">
        <v>21</v>
      </c>
      <c r="AC2" s="42"/>
      <c r="AD2" s="42"/>
      <c r="AE2" s="42"/>
      <c r="AF2" s="42"/>
      <c r="AG2" s="42"/>
      <c r="AH2" s="42"/>
      <c r="AI2" s="42">
        <f t="shared" ref="AI2:AI597" si="3">IF(C2="None",0,IF(C2="Common",1,IF(C2="Uncommon",2,IF(C2="Rare",3,IF(C2="Very Rare",4,IF(C2="Legendary",5,6))))))</f>
        <v>0</v>
      </c>
      <c r="AJ2" s="42"/>
      <c r="AK2" s="42"/>
    </row>
    <row r="3">
      <c r="A3" s="41" t="s">
        <v>116</v>
      </c>
      <c r="B3" s="41" t="s">
        <v>117</v>
      </c>
      <c r="C3" s="41" t="s">
        <v>112</v>
      </c>
      <c r="D3" s="41" t="s">
        <v>24</v>
      </c>
      <c r="E3" s="42"/>
      <c r="F3" s="42"/>
      <c r="G3" s="42"/>
      <c r="H3" s="42"/>
      <c r="I3" s="41" t="s">
        <v>118</v>
      </c>
      <c r="J3" s="41" t="s">
        <v>115</v>
      </c>
      <c r="K3" s="43" t="str">
        <f t="shared" si="1"/>
        <v>No Attunement Required, Base Item, Spellcasting Focus, Adventuring Gear, 0</v>
      </c>
      <c r="L3" s="43" t="str">
        <f t="shared" si="2"/>
        <v>No Attunement Required</v>
      </c>
      <c r="M3" s="44" t="s">
        <v>119</v>
      </c>
      <c r="N3" s="42"/>
      <c r="O3" s="42"/>
      <c r="P3" s="42"/>
      <c r="Q3" s="42"/>
      <c r="R3" s="42"/>
      <c r="S3" s="42"/>
      <c r="T3" s="42"/>
      <c r="U3" s="42"/>
      <c r="V3" s="42"/>
      <c r="W3" s="42"/>
      <c r="X3" s="44" t="s">
        <v>24</v>
      </c>
      <c r="Y3" s="42"/>
      <c r="Z3" s="42"/>
      <c r="AA3" s="42"/>
      <c r="AB3" s="44" t="s">
        <v>21</v>
      </c>
      <c r="AC3" s="42"/>
      <c r="AD3" s="42"/>
      <c r="AE3" s="42"/>
      <c r="AF3" s="42"/>
      <c r="AG3" s="42"/>
      <c r="AH3" s="42"/>
      <c r="AI3" s="42">
        <f t="shared" si="3"/>
        <v>0</v>
      </c>
      <c r="AJ3" s="42"/>
      <c r="AK3" s="42"/>
    </row>
    <row r="4">
      <c r="A4" s="41" t="s">
        <v>120</v>
      </c>
      <c r="B4" s="41" t="s">
        <v>117</v>
      </c>
      <c r="C4" s="41" t="s">
        <v>112</v>
      </c>
      <c r="D4" s="41" t="s">
        <v>21</v>
      </c>
      <c r="E4" s="42"/>
      <c r="F4" s="42"/>
      <c r="G4" s="42"/>
      <c r="H4" s="42"/>
      <c r="I4" s="41" t="s">
        <v>121</v>
      </c>
      <c r="J4" s="41" t="s">
        <v>115</v>
      </c>
      <c r="K4" s="43" t="str">
        <f t="shared" si="1"/>
        <v>No Attunement Required, Adventuring Gear, 0</v>
      </c>
      <c r="L4" s="43" t="str">
        <f t="shared" si="2"/>
        <v>No Attunement Required</v>
      </c>
      <c r="M4" s="42"/>
      <c r="N4" s="42"/>
      <c r="O4" s="42"/>
      <c r="P4" s="42"/>
      <c r="Q4" s="42"/>
      <c r="R4" s="42"/>
      <c r="S4" s="42"/>
      <c r="T4" s="42"/>
      <c r="U4" s="42"/>
      <c r="V4" s="42"/>
      <c r="W4" s="42"/>
      <c r="X4" s="44"/>
      <c r="Y4" s="42"/>
      <c r="Z4" s="42"/>
      <c r="AA4" s="42"/>
      <c r="AB4" s="44" t="s">
        <v>21</v>
      </c>
      <c r="AC4" s="42"/>
      <c r="AD4" s="42"/>
      <c r="AE4" s="42"/>
      <c r="AF4" s="42"/>
      <c r="AG4" s="42"/>
      <c r="AH4" s="42"/>
      <c r="AI4" s="42">
        <f t="shared" si="3"/>
        <v>0</v>
      </c>
      <c r="AJ4" s="42"/>
      <c r="AK4" s="42"/>
    </row>
    <row r="5">
      <c r="A5" s="41" t="s">
        <v>122</v>
      </c>
      <c r="B5" s="41" t="s">
        <v>117</v>
      </c>
      <c r="C5" s="41" t="s">
        <v>112</v>
      </c>
      <c r="D5" s="41" t="s">
        <v>21</v>
      </c>
      <c r="E5" s="42"/>
      <c r="F5" s="42"/>
      <c r="G5" s="42"/>
      <c r="H5" s="42"/>
      <c r="I5" s="41" t="s">
        <v>123</v>
      </c>
      <c r="J5" s="41" t="s">
        <v>115</v>
      </c>
      <c r="K5" s="43" t="str">
        <f t="shared" si="1"/>
        <v>No Attunement Required, Adventuring Gear, 0</v>
      </c>
      <c r="L5" s="43" t="str">
        <f t="shared" si="2"/>
        <v>No Attunement Required</v>
      </c>
      <c r="M5" s="42"/>
      <c r="N5" s="42"/>
      <c r="O5" s="42"/>
      <c r="P5" s="42"/>
      <c r="Q5" s="42"/>
      <c r="R5" s="42"/>
      <c r="S5" s="42"/>
      <c r="T5" s="42"/>
      <c r="U5" s="42"/>
      <c r="V5" s="42"/>
      <c r="W5" s="42"/>
      <c r="X5" s="42"/>
      <c r="Y5" s="42"/>
      <c r="Z5" s="42"/>
      <c r="AA5" s="42"/>
      <c r="AB5" s="44" t="s">
        <v>21</v>
      </c>
      <c r="AC5" s="42"/>
      <c r="AD5" s="42"/>
      <c r="AE5" s="42"/>
      <c r="AF5" s="42"/>
      <c r="AG5" s="42"/>
      <c r="AH5" s="42"/>
      <c r="AI5" s="42">
        <f t="shared" si="3"/>
        <v>0</v>
      </c>
      <c r="AJ5" s="42"/>
      <c r="AK5" s="42"/>
    </row>
    <row r="6">
      <c r="A6" s="41" t="s">
        <v>124</v>
      </c>
      <c r="B6" s="41" t="s">
        <v>111</v>
      </c>
      <c r="C6" s="41" t="s">
        <v>112</v>
      </c>
      <c r="D6" s="41" t="s">
        <v>113</v>
      </c>
      <c r="E6" s="42"/>
      <c r="F6" s="42"/>
      <c r="G6" s="42"/>
      <c r="H6" s="42"/>
      <c r="I6" s="41" t="s">
        <v>125</v>
      </c>
      <c r="J6" s="41" t="s">
        <v>115</v>
      </c>
      <c r="K6" s="43" t="str">
        <f t="shared" si="1"/>
        <v>No Attunement Required, Adventuring Gear, 0</v>
      </c>
      <c r="L6" s="43" t="str">
        <f t="shared" si="2"/>
        <v>No Attunement Required</v>
      </c>
      <c r="M6" s="42"/>
      <c r="N6" s="42"/>
      <c r="O6" s="42"/>
      <c r="P6" s="42"/>
      <c r="Q6" s="42"/>
      <c r="R6" s="44"/>
      <c r="S6" s="42"/>
      <c r="T6" s="42"/>
      <c r="U6" s="42"/>
      <c r="V6" s="42"/>
      <c r="W6" s="42"/>
      <c r="X6" s="42"/>
      <c r="Y6" s="42"/>
      <c r="Z6" s="42"/>
      <c r="AA6" s="42"/>
      <c r="AB6" s="44" t="s">
        <v>21</v>
      </c>
      <c r="AC6" s="42"/>
      <c r="AD6" s="42"/>
      <c r="AE6" s="42"/>
      <c r="AF6" s="42"/>
      <c r="AG6" s="42"/>
      <c r="AH6" s="42"/>
      <c r="AI6" s="42">
        <f t="shared" si="3"/>
        <v>0</v>
      </c>
      <c r="AJ6" s="42"/>
      <c r="AK6" s="42"/>
    </row>
    <row r="7">
      <c r="A7" s="41" t="s">
        <v>126</v>
      </c>
      <c r="B7" s="41" t="s">
        <v>117</v>
      </c>
      <c r="C7" s="41" t="s">
        <v>112</v>
      </c>
      <c r="D7" s="41" t="s">
        <v>21</v>
      </c>
      <c r="E7" s="42"/>
      <c r="F7" s="42"/>
      <c r="G7" s="42"/>
      <c r="H7" s="42"/>
      <c r="I7" s="41" t="s">
        <v>127</v>
      </c>
      <c r="J7" s="41" t="s">
        <v>115</v>
      </c>
      <c r="K7" s="43" t="str">
        <f t="shared" si="1"/>
        <v>No Attunement Required, Adventuring Gear, 0</v>
      </c>
      <c r="L7" s="43" t="str">
        <f t="shared" si="2"/>
        <v>No Attunement Required</v>
      </c>
      <c r="M7" s="42"/>
      <c r="N7" s="42"/>
      <c r="O7" s="42"/>
      <c r="P7" s="42"/>
      <c r="Q7" s="42"/>
      <c r="R7" s="42"/>
      <c r="S7" s="42"/>
      <c r="T7" s="42"/>
      <c r="U7" s="42"/>
      <c r="V7" s="42"/>
      <c r="W7" s="42"/>
      <c r="X7" s="42"/>
      <c r="Y7" s="42"/>
      <c r="Z7" s="42"/>
      <c r="AA7" s="42"/>
      <c r="AB7" s="44" t="s">
        <v>21</v>
      </c>
      <c r="AC7" s="42"/>
      <c r="AD7" s="42"/>
      <c r="AE7" s="42"/>
      <c r="AF7" s="42"/>
      <c r="AG7" s="42"/>
      <c r="AH7" s="42"/>
      <c r="AI7" s="42">
        <f t="shared" si="3"/>
        <v>0</v>
      </c>
      <c r="AJ7" s="42"/>
      <c r="AK7" s="42"/>
    </row>
    <row r="8">
      <c r="A8" s="41" t="s">
        <v>128</v>
      </c>
      <c r="B8" s="41" t="s">
        <v>117</v>
      </c>
      <c r="C8" s="41" t="s">
        <v>112</v>
      </c>
      <c r="D8" s="41" t="s">
        <v>21</v>
      </c>
      <c r="E8" s="42"/>
      <c r="F8" s="42"/>
      <c r="G8" s="42"/>
      <c r="H8" s="42"/>
      <c r="I8" s="41" t="s">
        <v>129</v>
      </c>
      <c r="J8" s="41" t="s">
        <v>115</v>
      </c>
      <c r="K8" s="43" t="str">
        <f t="shared" si="1"/>
        <v>No Attunement Required, Adventuring Gear, 0</v>
      </c>
      <c r="L8" s="43" t="str">
        <f t="shared" si="2"/>
        <v>No Attunement Required</v>
      </c>
      <c r="M8" s="42"/>
      <c r="N8" s="42"/>
      <c r="O8" s="42"/>
      <c r="P8" s="42"/>
      <c r="Q8" s="42"/>
      <c r="R8" s="44"/>
      <c r="S8" s="42"/>
      <c r="T8" s="42"/>
      <c r="U8" s="42"/>
      <c r="V8" s="42"/>
      <c r="W8" s="42"/>
      <c r="X8" s="42"/>
      <c r="Y8" s="42"/>
      <c r="Z8" s="42"/>
      <c r="AA8" s="42"/>
      <c r="AB8" s="44" t="s">
        <v>21</v>
      </c>
      <c r="AC8" s="42"/>
      <c r="AD8" s="42"/>
      <c r="AE8" s="42"/>
      <c r="AF8" s="42"/>
      <c r="AG8" s="42"/>
      <c r="AH8" s="42"/>
      <c r="AI8" s="42">
        <f t="shared" si="3"/>
        <v>0</v>
      </c>
      <c r="AJ8" s="42"/>
      <c r="AK8" s="42"/>
    </row>
    <row r="9">
      <c r="A9" s="41" t="s">
        <v>130</v>
      </c>
      <c r="B9" s="41" t="s">
        <v>117</v>
      </c>
      <c r="C9" s="41" t="s">
        <v>112</v>
      </c>
      <c r="D9" s="41" t="s">
        <v>21</v>
      </c>
      <c r="E9" s="42"/>
      <c r="F9" s="42"/>
      <c r="G9" s="42"/>
      <c r="H9" s="42"/>
      <c r="I9" s="41" t="s">
        <v>131</v>
      </c>
      <c r="J9" s="41" t="s">
        <v>115</v>
      </c>
      <c r="K9" s="43" t="str">
        <f t="shared" si="1"/>
        <v>No Attunement Required, Adventuring Gear, 0</v>
      </c>
      <c r="L9" s="43" t="str">
        <f t="shared" si="2"/>
        <v>No Attunement Required</v>
      </c>
      <c r="M9" s="42"/>
      <c r="N9" s="42"/>
      <c r="O9" s="42"/>
      <c r="P9" s="44"/>
      <c r="Q9" s="44"/>
      <c r="R9" s="42"/>
      <c r="S9" s="42"/>
      <c r="T9" s="42"/>
      <c r="U9" s="42"/>
      <c r="V9" s="42"/>
      <c r="W9" s="42"/>
      <c r="X9" s="42"/>
      <c r="Y9" s="42"/>
      <c r="Z9" s="42"/>
      <c r="AA9" s="42"/>
      <c r="AB9" s="44" t="s">
        <v>21</v>
      </c>
      <c r="AC9" s="42"/>
      <c r="AD9" s="42"/>
      <c r="AE9" s="42"/>
      <c r="AF9" s="42"/>
      <c r="AG9" s="42"/>
      <c r="AH9" s="42"/>
      <c r="AI9" s="42">
        <f t="shared" si="3"/>
        <v>0</v>
      </c>
      <c r="AJ9" s="42"/>
      <c r="AK9" s="42"/>
    </row>
    <row r="10">
      <c r="A10" s="41" t="s">
        <v>132</v>
      </c>
      <c r="B10" s="41" t="s">
        <v>117</v>
      </c>
      <c r="C10" s="41" t="s">
        <v>112</v>
      </c>
      <c r="D10" s="41" t="s">
        <v>21</v>
      </c>
      <c r="E10" s="42"/>
      <c r="F10" s="42"/>
      <c r="G10" s="42"/>
      <c r="H10" s="42"/>
      <c r="I10" s="41" t="s">
        <v>133</v>
      </c>
      <c r="J10" s="41" t="s">
        <v>115</v>
      </c>
      <c r="K10" s="43" t="str">
        <f t="shared" si="1"/>
        <v>No Attunement Required, Adventuring Gear, 0</v>
      </c>
      <c r="L10" s="43" t="str">
        <f t="shared" si="2"/>
        <v>No Attunement Required</v>
      </c>
      <c r="M10" s="42"/>
      <c r="N10" s="42"/>
      <c r="O10" s="42"/>
      <c r="P10" s="42"/>
      <c r="Q10" s="42"/>
      <c r="R10" s="44"/>
      <c r="S10" s="42"/>
      <c r="T10" s="42"/>
      <c r="U10" s="42"/>
      <c r="V10" s="42"/>
      <c r="W10" s="42"/>
      <c r="X10" s="42"/>
      <c r="Y10" s="42"/>
      <c r="Z10" s="42"/>
      <c r="AA10" s="42"/>
      <c r="AB10" s="44" t="s">
        <v>21</v>
      </c>
      <c r="AC10" s="42"/>
      <c r="AD10" s="42"/>
      <c r="AE10" s="42"/>
      <c r="AF10" s="42"/>
      <c r="AG10" s="42"/>
      <c r="AH10" s="42"/>
      <c r="AI10" s="42">
        <f t="shared" si="3"/>
        <v>0</v>
      </c>
      <c r="AJ10" s="42"/>
      <c r="AK10" s="42"/>
    </row>
    <row r="11">
      <c r="A11" s="41" t="s">
        <v>134</v>
      </c>
      <c r="B11" s="41" t="s">
        <v>117</v>
      </c>
      <c r="C11" s="41" t="s">
        <v>112</v>
      </c>
      <c r="D11" s="41" t="s">
        <v>21</v>
      </c>
      <c r="E11" s="42"/>
      <c r="F11" s="42"/>
      <c r="G11" s="42"/>
      <c r="H11" s="42"/>
      <c r="I11" s="41" t="s">
        <v>135</v>
      </c>
      <c r="J11" s="41" t="s">
        <v>115</v>
      </c>
      <c r="K11" s="43" t="str">
        <f t="shared" si="1"/>
        <v>No Attunement Required, Grants Advantage, Adventuring Gear, 0</v>
      </c>
      <c r="L11" s="43" t="str">
        <f t="shared" si="2"/>
        <v>No Attunement Required</v>
      </c>
      <c r="M11" s="42"/>
      <c r="N11" s="42"/>
      <c r="O11" s="42"/>
      <c r="P11" s="42"/>
      <c r="Q11" s="42"/>
      <c r="R11" s="44"/>
      <c r="S11" s="42"/>
      <c r="T11" s="42"/>
      <c r="U11" s="44" t="s">
        <v>42</v>
      </c>
      <c r="V11" s="42"/>
      <c r="W11" s="42"/>
      <c r="X11" s="42"/>
      <c r="Y11" s="42"/>
      <c r="Z11" s="42"/>
      <c r="AA11" s="42"/>
      <c r="AB11" s="44" t="s">
        <v>21</v>
      </c>
      <c r="AC11" s="42"/>
      <c r="AD11" s="42"/>
      <c r="AE11" s="42"/>
      <c r="AF11" s="42"/>
      <c r="AG11" s="42"/>
      <c r="AH11" s="42"/>
      <c r="AI11" s="42">
        <f t="shared" si="3"/>
        <v>0</v>
      </c>
      <c r="AJ11" s="42"/>
      <c r="AK11" s="42"/>
    </row>
    <row r="12">
      <c r="A12" s="41" t="s">
        <v>136</v>
      </c>
      <c r="B12" s="41" t="s">
        <v>117</v>
      </c>
      <c r="C12" s="41" t="s">
        <v>112</v>
      </c>
      <c r="D12" s="41" t="s">
        <v>21</v>
      </c>
      <c r="E12" s="42"/>
      <c r="F12" s="42"/>
      <c r="G12" s="42"/>
      <c r="H12" s="42"/>
      <c r="I12" s="41" t="s">
        <v>137</v>
      </c>
      <c r="J12" s="41" t="s">
        <v>115</v>
      </c>
      <c r="K12" s="43" t="str">
        <f t="shared" si="1"/>
        <v>No Attunement Required, Adventuring Gear, 0</v>
      </c>
      <c r="L12" s="43" t="str">
        <f t="shared" si="2"/>
        <v>No Attunement Required</v>
      </c>
      <c r="M12" s="42"/>
      <c r="N12" s="42"/>
      <c r="O12" s="42"/>
      <c r="P12" s="42"/>
      <c r="Q12" s="42"/>
      <c r="R12" s="44"/>
      <c r="S12" s="42"/>
      <c r="T12" s="42"/>
      <c r="U12" s="42"/>
      <c r="V12" s="42"/>
      <c r="W12" s="42"/>
      <c r="X12" s="42"/>
      <c r="Y12" s="42"/>
      <c r="Z12" s="42"/>
      <c r="AA12" s="42"/>
      <c r="AB12" s="44" t="s">
        <v>21</v>
      </c>
      <c r="AC12" s="42"/>
      <c r="AD12" s="42"/>
      <c r="AE12" s="42"/>
      <c r="AF12" s="42"/>
      <c r="AG12" s="42"/>
      <c r="AH12" s="42"/>
      <c r="AI12" s="42">
        <f t="shared" si="3"/>
        <v>0</v>
      </c>
      <c r="AJ12" s="42"/>
      <c r="AK12" s="42"/>
    </row>
    <row r="13">
      <c r="A13" s="41" t="s">
        <v>138</v>
      </c>
      <c r="B13" s="41" t="s">
        <v>117</v>
      </c>
      <c r="C13" s="41" t="s">
        <v>112</v>
      </c>
      <c r="D13" s="41" t="s">
        <v>21</v>
      </c>
      <c r="E13" s="42"/>
      <c r="F13" s="42"/>
      <c r="G13" s="42"/>
      <c r="H13" s="42"/>
      <c r="I13" s="41" t="s">
        <v>139</v>
      </c>
      <c r="J13" s="41" t="s">
        <v>115</v>
      </c>
      <c r="K13" s="43" t="str">
        <f t="shared" si="1"/>
        <v>No Attunement Required, Adventuring Gear, 0</v>
      </c>
      <c r="L13" s="43" t="str">
        <f t="shared" si="2"/>
        <v>No Attunement Required</v>
      </c>
      <c r="M13" s="42"/>
      <c r="N13" s="42"/>
      <c r="O13" s="42"/>
      <c r="P13" s="44"/>
      <c r="Q13" s="44"/>
      <c r="R13" s="42"/>
      <c r="S13" s="42"/>
      <c r="T13" s="42"/>
      <c r="U13" s="42"/>
      <c r="V13" s="42"/>
      <c r="W13" s="42"/>
      <c r="X13" s="42"/>
      <c r="Y13" s="42"/>
      <c r="Z13" s="42"/>
      <c r="AA13" s="42"/>
      <c r="AB13" s="44" t="s">
        <v>21</v>
      </c>
      <c r="AC13" s="42"/>
      <c r="AD13" s="42"/>
      <c r="AE13" s="42"/>
      <c r="AF13" s="42"/>
      <c r="AG13" s="42"/>
      <c r="AH13" s="42"/>
      <c r="AI13" s="42">
        <f t="shared" si="3"/>
        <v>0</v>
      </c>
      <c r="AJ13" s="42"/>
      <c r="AK13" s="42"/>
    </row>
    <row r="14">
      <c r="A14" s="41" t="s">
        <v>140</v>
      </c>
      <c r="B14" s="41" t="s">
        <v>117</v>
      </c>
      <c r="C14" s="41" t="s">
        <v>112</v>
      </c>
      <c r="D14" s="41" t="s">
        <v>21</v>
      </c>
      <c r="E14" s="42"/>
      <c r="F14" s="42"/>
      <c r="G14" s="42"/>
      <c r="H14" s="42"/>
      <c r="I14" s="41" t="s">
        <v>141</v>
      </c>
      <c r="J14" s="41" t="s">
        <v>115</v>
      </c>
      <c r="K14" s="43" t="str">
        <f t="shared" si="1"/>
        <v>No Attunement Required, Adventuring Gear, 0</v>
      </c>
      <c r="L14" s="43" t="str">
        <f t="shared" si="2"/>
        <v>No Attunement Required</v>
      </c>
      <c r="M14" s="42"/>
      <c r="N14" s="42"/>
      <c r="O14" s="42"/>
      <c r="P14" s="42"/>
      <c r="Q14" s="42"/>
      <c r="R14" s="42"/>
      <c r="S14" s="42"/>
      <c r="T14" s="42"/>
      <c r="U14" s="42"/>
      <c r="V14" s="42"/>
      <c r="W14" s="42"/>
      <c r="X14" s="42"/>
      <c r="Y14" s="42"/>
      <c r="Z14" s="42"/>
      <c r="AA14" s="42"/>
      <c r="AB14" s="44" t="s">
        <v>21</v>
      </c>
      <c r="AC14" s="42"/>
      <c r="AD14" s="42"/>
      <c r="AE14" s="42"/>
      <c r="AF14" s="42"/>
      <c r="AG14" s="42"/>
      <c r="AH14" s="42"/>
      <c r="AI14" s="42">
        <f t="shared" si="3"/>
        <v>0</v>
      </c>
      <c r="AJ14" s="42"/>
      <c r="AK14" s="42"/>
    </row>
    <row r="15">
      <c r="A15" s="41" t="s">
        <v>142</v>
      </c>
      <c r="B15" s="41" t="s">
        <v>117</v>
      </c>
      <c r="C15" s="41" t="s">
        <v>112</v>
      </c>
      <c r="D15" s="41" t="s">
        <v>21</v>
      </c>
      <c r="E15" s="42"/>
      <c r="F15" s="42"/>
      <c r="G15" s="42"/>
      <c r="H15" s="42"/>
      <c r="I15" s="41" t="s">
        <v>143</v>
      </c>
      <c r="J15" s="41" t="s">
        <v>115</v>
      </c>
      <c r="K15" s="43" t="str">
        <f t="shared" si="1"/>
        <v>No Attunement Required, Adventuring Gear, 0</v>
      </c>
      <c r="L15" s="43" t="str">
        <f t="shared" si="2"/>
        <v>No Attunement Required</v>
      </c>
      <c r="M15" s="42"/>
      <c r="N15" s="42"/>
      <c r="O15" s="42"/>
      <c r="P15" s="42"/>
      <c r="Q15" s="42"/>
      <c r="R15" s="44"/>
      <c r="S15" s="42"/>
      <c r="T15" s="42"/>
      <c r="U15" s="42"/>
      <c r="V15" s="42"/>
      <c r="W15" s="42"/>
      <c r="X15" s="42"/>
      <c r="Y15" s="42"/>
      <c r="Z15" s="42"/>
      <c r="AA15" s="42"/>
      <c r="AB15" s="44" t="s">
        <v>21</v>
      </c>
      <c r="AC15" s="42"/>
      <c r="AD15" s="42"/>
      <c r="AE15" s="42"/>
      <c r="AF15" s="42"/>
      <c r="AG15" s="42"/>
      <c r="AH15" s="42"/>
      <c r="AI15" s="42">
        <f t="shared" si="3"/>
        <v>0</v>
      </c>
      <c r="AJ15" s="42"/>
      <c r="AK15" s="42"/>
    </row>
    <row r="16">
      <c r="A16" s="41" t="s">
        <v>144</v>
      </c>
      <c r="B16" s="41" t="s">
        <v>117</v>
      </c>
      <c r="C16" s="41" t="s">
        <v>112</v>
      </c>
      <c r="D16" s="41" t="s">
        <v>21</v>
      </c>
      <c r="E16" s="42"/>
      <c r="F16" s="42"/>
      <c r="G16" s="42"/>
      <c r="H16" s="42"/>
      <c r="I16" s="41" t="s">
        <v>145</v>
      </c>
      <c r="J16" s="41" t="s">
        <v>115</v>
      </c>
      <c r="K16" s="43" t="str">
        <f t="shared" si="1"/>
        <v>No Attunement Required, Adventuring Gear, 0</v>
      </c>
      <c r="L16" s="43" t="str">
        <f t="shared" si="2"/>
        <v>No Attunement Required</v>
      </c>
      <c r="M16" s="42"/>
      <c r="N16" s="42"/>
      <c r="O16" s="42"/>
      <c r="P16" s="42"/>
      <c r="Q16" s="42"/>
      <c r="R16" s="44"/>
      <c r="S16" s="42"/>
      <c r="T16" s="42"/>
      <c r="U16" s="42"/>
      <c r="V16" s="42"/>
      <c r="W16" s="42"/>
      <c r="X16" s="42"/>
      <c r="Y16" s="42"/>
      <c r="Z16" s="42"/>
      <c r="AA16" s="42"/>
      <c r="AB16" s="44" t="s">
        <v>21</v>
      </c>
      <c r="AC16" s="42"/>
      <c r="AD16" s="42"/>
      <c r="AE16" s="42"/>
      <c r="AF16" s="42"/>
      <c r="AG16" s="42"/>
      <c r="AH16" s="42"/>
      <c r="AI16" s="42">
        <f t="shared" si="3"/>
        <v>0</v>
      </c>
      <c r="AJ16" s="42"/>
      <c r="AK16" s="42"/>
    </row>
    <row r="17">
      <c r="A17" s="41" t="s">
        <v>146</v>
      </c>
      <c r="B17" s="41" t="s">
        <v>117</v>
      </c>
      <c r="C17" s="41" t="s">
        <v>112</v>
      </c>
      <c r="D17" s="41" t="s">
        <v>21</v>
      </c>
      <c r="E17" s="42"/>
      <c r="F17" s="42"/>
      <c r="G17" s="42"/>
      <c r="H17" s="42"/>
      <c r="I17" s="41" t="s">
        <v>147</v>
      </c>
      <c r="J17" s="41" t="s">
        <v>115</v>
      </c>
      <c r="K17" s="43" t="str">
        <f t="shared" si="1"/>
        <v>No Attunement Required, Adventuring Gear, 0</v>
      </c>
      <c r="L17" s="43" t="str">
        <f t="shared" si="2"/>
        <v>No Attunement Required</v>
      </c>
      <c r="M17" s="42"/>
      <c r="N17" s="42"/>
      <c r="O17" s="42"/>
      <c r="P17" s="42"/>
      <c r="Q17" s="42"/>
      <c r="R17" s="42"/>
      <c r="S17" s="42"/>
      <c r="T17" s="42"/>
      <c r="U17" s="42"/>
      <c r="V17" s="42"/>
      <c r="W17" s="42"/>
      <c r="X17" s="42"/>
      <c r="Y17" s="42"/>
      <c r="Z17" s="42"/>
      <c r="AA17" s="42"/>
      <c r="AB17" s="44" t="s">
        <v>21</v>
      </c>
      <c r="AC17" s="42"/>
      <c r="AD17" s="42"/>
      <c r="AE17" s="42"/>
      <c r="AF17" s="42"/>
      <c r="AG17" s="42"/>
      <c r="AH17" s="42"/>
      <c r="AI17" s="42">
        <f t="shared" si="3"/>
        <v>0</v>
      </c>
      <c r="AJ17" s="42"/>
      <c r="AK17" s="42"/>
    </row>
    <row r="18">
      <c r="A18" s="41" t="s">
        <v>148</v>
      </c>
      <c r="B18" s="41" t="s">
        <v>117</v>
      </c>
      <c r="C18" s="41" t="s">
        <v>112</v>
      </c>
      <c r="D18" s="41" t="s">
        <v>21</v>
      </c>
      <c r="E18" s="42"/>
      <c r="F18" s="42"/>
      <c r="G18" s="42"/>
      <c r="H18" s="42"/>
      <c r="I18" s="41" t="s">
        <v>149</v>
      </c>
      <c r="J18" s="41" t="s">
        <v>115</v>
      </c>
      <c r="K18" s="43" t="str">
        <f t="shared" si="1"/>
        <v>No Attunement Required, Adventuring Gear, 0</v>
      </c>
      <c r="L18" s="43" t="str">
        <f t="shared" si="2"/>
        <v>No Attunement Required</v>
      </c>
      <c r="M18" s="42"/>
      <c r="N18" s="42"/>
      <c r="O18" s="42"/>
      <c r="P18" s="42"/>
      <c r="Q18" s="42"/>
      <c r="R18" s="44"/>
      <c r="S18" s="42"/>
      <c r="T18" s="42"/>
      <c r="U18" s="42"/>
      <c r="V18" s="42"/>
      <c r="W18" s="42"/>
      <c r="X18" s="42"/>
      <c r="Y18" s="42"/>
      <c r="Z18" s="42"/>
      <c r="AA18" s="42"/>
      <c r="AB18" s="44" t="s">
        <v>21</v>
      </c>
      <c r="AC18" s="42"/>
      <c r="AD18" s="42"/>
      <c r="AE18" s="42"/>
      <c r="AF18" s="42"/>
      <c r="AG18" s="42"/>
      <c r="AH18" s="42"/>
      <c r="AI18" s="42">
        <f t="shared" si="3"/>
        <v>0</v>
      </c>
      <c r="AJ18" s="42"/>
      <c r="AK18" s="42"/>
    </row>
    <row r="19">
      <c r="A19" s="41" t="s">
        <v>150</v>
      </c>
      <c r="B19" s="41" t="s">
        <v>117</v>
      </c>
      <c r="C19" s="41" t="s">
        <v>112</v>
      </c>
      <c r="D19" s="41" t="s">
        <v>21</v>
      </c>
      <c r="E19" s="42"/>
      <c r="F19" s="42"/>
      <c r="G19" s="42"/>
      <c r="H19" s="42"/>
      <c r="I19" s="41" t="s">
        <v>151</v>
      </c>
      <c r="J19" s="41" t="s">
        <v>115</v>
      </c>
      <c r="K19" s="43" t="str">
        <f t="shared" si="1"/>
        <v>No Attunement Required, Adventuring Gear, 0</v>
      </c>
      <c r="L19" s="43" t="str">
        <f t="shared" si="2"/>
        <v>No Attunement Required</v>
      </c>
      <c r="M19" s="42"/>
      <c r="N19" s="42"/>
      <c r="O19" s="42"/>
      <c r="P19" s="42"/>
      <c r="Q19" s="42"/>
      <c r="R19" s="42"/>
      <c r="S19" s="44"/>
      <c r="T19" s="44"/>
      <c r="U19" s="42"/>
      <c r="V19" s="42"/>
      <c r="W19" s="42"/>
      <c r="X19" s="42"/>
      <c r="Y19" s="42"/>
      <c r="Z19" s="42"/>
      <c r="AA19" s="42"/>
      <c r="AB19" s="44" t="s">
        <v>21</v>
      </c>
      <c r="AC19" s="42"/>
      <c r="AD19" s="42"/>
      <c r="AE19" s="42"/>
      <c r="AF19" s="42"/>
      <c r="AG19" s="42"/>
      <c r="AH19" s="42"/>
      <c r="AI19" s="42">
        <f t="shared" si="3"/>
        <v>0</v>
      </c>
      <c r="AJ19" s="42"/>
      <c r="AK19" s="42"/>
    </row>
    <row r="20">
      <c r="A20" s="41" t="s">
        <v>152</v>
      </c>
      <c r="B20" s="41" t="s">
        <v>153</v>
      </c>
      <c r="C20" s="41" t="s">
        <v>112</v>
      </c>
      <c r="D20" s="41" t="s">
        <v>21</v>
      </c>
      <c r="E20" s="42"/>
      <c r="F20" s="42"/>
      <c r="G20" s="42"/>
      <c r="H20" s="42"/>
      <c r="I20" s="41" t="s">
        <v>154</v>
      </c>
      <c r="J20" s="41" t="s">
        <v>115</v>
      </c>
      <c r="K20" s="43" t="str">
        <f t="shared" si="1"/>
        <v>No Attunement Required, Adventuring Gear, 0</v>
      </c>
      <c r="L20" s="43" t="str">
        <f t="shared" si="2"/>
        <v>No Attunement Required</v>
      </c>
      <c r="M20" s="42"/>
      <c r="N20" s="42"/>
      <c r="O20" s="42"/>
      <c r="P20" s="42"/>
      <c r="Q20" s="42"/>
      <c r="R20" s="45"/>
      <c r="S20" s="42"/>
      <c r="T20" s="42"/>
      <c r="U20" s="42"/>
      <c r="V20" s="42"/>
      <c r="W20" s="42"/>
      <c r="X20" s="42"/>
      <c r="Y20" s="42"/>
      <c r="Z20" s="42"/>
      <c r="AA20" s="42"/>
      <c r="AB20" s="44" t="s">
        <v>21</v>
      </c>
      <c r="AC20" s="42"/>
      <c r="AD20" s="42"/>
      <c r="AE20" s="42"/>
      <c r="AF20" s="42"/>
      <c r="AG20" s="42"/>
      <c r="AH20" s="42"/>
      <c r="AI20" s="42">
        <f t="shared" si="3"/>
        <v>0</v>
      </c>
      <c r="AJ20" s="42"/>
      <c r="AK20" s="42"/>
    </row>
    <row r="21">
      <c r="A21" s="41" t="s">
        <v>155</v>
      </c>
      <c r="B21" s="41" t="s">
        <v>117</v>
      </c>
      <c r="C21" s="41" t="s">
        <v>112</v>
      </c>
      <c r="D21" s="41" t="s">
        <v>21</v>
      </c>
      <c r="E21" s="42"/>
      <c r="F21" s="42"/>
      <c r="G21" s="42"/>
      <c r="H21" s="42"/>
      <c r="I21" s="41" t="s">
        <v>156</v>
      </c>
      <c r="J21" s="41" t="s">
        <v>115</v>
      </c>
      <c r="K21" s="43" t="str">
        <f t="shared" si="1"/>
        <v>No Attunement Required, Adventuring Gear, 0</v>
      </c>
      <c r="L21" s="43" t="str">
        <f t="shared" si="2"/>
        <v>No Attunement Required</v>
      </c>
      <c r="M21" s="42"/>
      <c r="N21" s="42"/>
      <c r="O21" s="42"/>
      <c r="P21" s="42"/>
      <c r="Q21" s="42"/>
      <c r="R21" s="42"/>
      <c r="S21" s="42"/>
      <c r="T21" s="42"/>
      <c r="U21" s="42"/>
      <c r="V21" s="42"/>
      <c r="W21" s="42"/>
      <c r="X21" s="42"/>
      <c r="Y21" s="42"/>
      <c r="Z21" s="42"/>
      <c r="AA21" s="42"/>
      <c r="AB21" s="44" t="s">
        <v>21</v>
      </c>
      <c r="AC21" s="42"/>
      <c r="AD21" s="42"/>
      <c r="AE21" s="42"/>
      <c r="AF21" s="42"/>
      <c r="AG21" s="42"/>
      <c r="AH21" s="42"/>
      <c r="AI21" s="42">
        <f t="shared" si="3"/>
        <v>0</v>
      </c>
      <c r="AJ21" s="42"/>
      <c r="AK21" s="42"/>
    </row>
    <row r="22">
      <c r="A22" s="41" t="s">
        <v>157</v>
      </c>
      <c r="B22" s="41" t="s">
        <v>117</v>
      </c>
      <c r="C22" s="41" t="s">
        <v>112</v>
      </c>
      <c r="D22" s="41" t="s">
        <v>21</v>
      </c>
      <c r="E22" s="42"/>
      <c r="F22" s="42"/>
      <c r="G22" s="42"/>
      <c r="H22" s="42"/>
      <c r="I22" s="41" t="s">
        <v>158</v>
      </c>
      <c r="J22" s="41" t="s">
        <v>115</v>
      </c>
      <c r="K22" s="43" t="str">
        <f t="shared" si="1"/>
        <v>No Attunement Required, Adventuring Gear, 0</v>
      </c>
      <c r="L22" s="43" t="str">
        <f t="shared" si="2"/>
        <v>No Attunement Required</v>
      </c>
      <c r="M22" s="42"/>
      <c r="N22" s="42"/>
      <c r="O22" s="42"/>
      <c r="P22" s="42"/>
      <c r="Q22" s="42"/>
      <c r="R22" s="42"/>
      <c r="S22" s="42"/>
      <c r="T22" s="42"/>
      <c r="U22" s="42"/>
      <c r="V22" s="42"/>
      <c r="W22" s="42"/>
      <c r="X22" s="42"/>
      <c r="Y22" s="42"/>
      <c r="Z22" s="42"/>
      <c r="AA22" s="42"/>
      <c r="AB22" s="44" t="s">
        <v>21</v>
      </c>
      <c r="AC22" s="42"/>
      <c r="AD22" s="42"/>
      <c r="AE22" s="42"/>
      <c r="AF22" s="42"/>
      <c r="AG22" s="42"/>
      <c r="AH22" s="42"/>
      <c r="AI22" s="42">
        <f t="shared" si="3"/>
        <v>0</v>
      </c>
      <c r="AJ22" s="42"/>
      <c r="AK22" s="42"/>
    </row>
    <row r="23">
      <c r="A23" s="41" t="s">
        <v>159</v>
      </c>
      <c r="B23" s="41" t="s">
        <v>160</v>
      </c>
      <c r="C23" s="41" t="s">
        <v>112</v>
      </c>
      <c r="D23" s="41" t="s">
        <v>21</v>
      </c>
      <c r="E23" s="42"/>
      <c r="F23" s="42"/>
      <c r="G23" s="42"/>
      <c r="H23" s="42"/>
      <c r="I23" s="41" t="s">
        <v>161</v>
      </c>
      <c r="J23" s="41" t="s">
        <v>115</v>
      </c>
      <c r="K23" s="43" t="str">
        <f t="shared" si="1"/>
        <v>No Attunement Required, Adventuring Gear, 0</v>
      </c>
      <c r="L23" s="43" t="str">
        <f t="shared" si="2"/>
        <v>No Attunement Required</v>
      </c>
      <c r="M23" s="42"/>
      <c r="N23" s="42"/>
      <c r="O23" s="42"/>
      <c r="P23" s="42"/>
      <c r="Q23" s="42"/>
      <c r="R23" s="42"/>
      <c r="S23" s="42"/>
      <c r="T23" s="42"/>
      <c r="U23" s="42"/>
      <c r="V23" s="42"/>
      <c r="W23" s="42"/>
      <c r="X23" s="42"/>
      <c r="Y23" s="42"/>
      <c r="Z23" s="42"/>
      <c r="AA23" s="42"/>
      <c r="AB23" s="44" t="s">
        <v>21</v>
      </c>
      <c r="AC23" s="42"/>
      <c r="AD23" s="42"/>
      <c r="AE23" s="42"/>
      <c r="AF23" s="42"/>
      <c r="AG23" s="42"/>
      <c r="AH23" s="42"/>
      <c r="AI23" s="42">
        <f t="shared" si="3"/>
        <v>0</v>
      </c>
      <c r="AJ23" s="42"/>
      <c r="AK23" s="42"/>
    </row>
    <row r="24">
      <c r="A24" s="41" t="s">
        <v>162</v>
      </c>
      <c r="B24" s="41" t="s">
        <v>117</v>
      </c>
      <c r="C24" s="41" t="s">
        <v>112</v>
      </c>
      <c r="D24" s="41" t="s">
        <v>21</v>
      </c>
      <c r="E24" s="42"/>
      <c r="F24" s="42"/>
      <c r="G24" s="42"/>
      <c r="H24" s="42"/>
      <c r="I24" s="41" t="s">
        <v>163</v>
      </c>
      <c r="J24" s="41" t="s">
        <v>115</v>
      </c>
      <c r="K24" s="43" t="str">
        <f t="shared" si="1"/>
        <v>No Attunement Required, Adventuring Gear, 0</v>
      </c>
      <c r="L24" s="43" t="str">
        <f t="shared" si="2"/>
        <v>No Attunement Required</v>
      </c>
      <c r="M24" s="42"/>
      <c r="N24" s="42"/>
      <c r="O24" s="42"/>
      <c r="P24" s="42"/>
      <c r="Q24" s="42"/>
      <c r="R24" s="42"/>
      <c r="S24" s="42"/>
      <c r="T24" s="42"/>
      <c r="U24" s="42"/>
      <c r="V24" s="42"/>
      <c r="W24" s="42"/>
      <c r="X24" s="42"/>
      <c r="Y24" s="42"/>
      <c r="Z24" s="42"/>
      <c r="AA24" s="42"/>
      <c r="AB24" s="44" t="s">
        <v>21</v>
      </c>
      <c r="AC24" s="42"/>
      <c r="AD24" s="42"/>
      <c r="AE24" s="42"/>
      <c r="AF24" s="42"/>
      <c r="AG24" s="42"/>
      <c r="AH24" s="42"/>
      <c r="AI24" s="42">
        <f t="shared" si="3"/>
        <v>0</v>
      </c>
      <c r="AJ24" s="42"/>
      <c r="AK24" s="42"/>
    </row>
    <row r="25">
      <c r="A25" s="41" t="s">
        <v>164</v>
      </c>
      <c r="B25" s="41" t="s">
        <v>117</v>
      </c>
      <c r="C25" s="41" t="s">
        <v>112</v>
      </c>
      <c r="D25" s="41" t="s">
        <v>21</v>
      </c>
      <c r="E25" s="42"/>
      <c r="F25" s="42"/>
      <c r="G25" s="42"/>
      <c r="H25" s="42"/>
      <c r="I25" s="41" t="s">
        <v>165</v>
      </c>
      <c r="J25" s="41" t="s">
        <v>115</v>
      </c>
      <c r="K25" s="43" t="str">
        <f t="shared" si="1"/>
        <v>No Attunement Required, Grants Advantage, Adventuring Gear, 0</v>
      </c>
      <c r="L25" s="43" t="str">
        <f t="shared" si="2"/>
        <v>No Attunement Required</v>
      </c>
      <c r="M25" s="42"/>
      <c r="N25" s="42"/>
      <c r="O25" s="42"/>
      <c r="P25" s="42"/>
      <c r="Q25" s="42"/>
      <c r="R25" s="42"/>
      <c r="S25" s="42"/>
      <c r="T25" s="42"/>
      <c r="U25" s="44" t="s">
        <v>42</v>
      </c>
      <c r="V25" s="42"/>
      <c r="W25" s="42"/>
      <c r="X25" s="42"/>
      <c r="Y25" s="42"/>
      <c r="Z25" s="42"/>
      <c r="AA25" s="42"/>
      <c r="AB25" s="44" t="s">
        <v>21</v>
      </c>
      <c r="AC25" s="42"/>
      <c r="AD25" s="42"/>
      <c r="AE25" s="42"/>
      <c r="AF25" s="42"/>
      <c r="AG25" s="42"/>
      <c r="AH25" s="42"/>
      <c r="AI25" s="42">
        <f t="shared" si="3"/>
        <v>0</v>
      </c>
      <c r="AJ25" s="42"/>
      <c r="AK25" s="42"/>
    </row>
    <row r="26">
      <c r="A26" s="41" t="s">
        <v>166</v>
      </c>
      <c r="B26" s="41" t="s">
        <v>160</v>
      </c>
      <c r="C26" s="41" t="s">
        <v>112</v>
      </c>
      <c r="D26" s="41" t="s">
        <v>21</v>
      </c>
      <c r="E26" s="42"/>
      <c r="F26" s="42"/>
      <c r="G26" s="42"/>
      <c r="H26" s="42"/>
      <c r="I26" s="41" t="s">
        <v>167</v>
      </c>
      <c r="J26" s="41" t="s">
        <v>115</v>
      </c>
      <c r="K26" s="43" t="str">
        <f t="shared" si="1"/>
        <v>No Attunement Required, Adventuring Gear, 0</v>
      </c>
      <c r="L26" s="43" t="str">
        <f t="shared" si="2"/>
        <v>No Attunement Required</v>
      </c>
      <c r="M26" s="42"/>
      <c r="N26" s="42"/>
      <c r="O26" s="42"/>
      <c r="P26" s="42"/>
      <c r="Q26" s="42"/>
      <c r="R26" s="42"/>
      <c r="S26" s="42"/>
      <c r="T26" s="42"/>
      <c r="U26" s="42"/>
      <c r="V26" s="42"/>
      <c r="W26" s="42"/>
      <c r="X26" s="42"/>
      <c r="Y26" s="42"/>
      <c r="Z26" s="42"/>
      <c r="AA26" s="42"/>
      <c r="AB26" s="44" t="s">
        <v>21</v>
      </c>
      <c r="AC26" s="42"/>
      <c r="AD26" s="42"/>
      <c r="AE26" s="42"/>
      <c r="AF26" s="42"/>
      <c r="AG26" s="42"/>
      <c r="AH26" s="42"/>
      <c r="AI26" s="42">
        <f t="shared" si="3"/>
        <v>0</v>
      </c>
      <c r="AJ26" s="42"/>
      <c r="AK26" s="42"/>
    </row>
    <row r="27">
      <c r="A27" s="41" t="s">
        <v>168</v>
      </c>
      <c r="B27" s="41" t="s">
        <v>117</v>
      </c>
      <c r="C27" s="41" t="s">
        <v>112</v>
      </c>
      <c r="D27" s="41" t="s">
        <v>21</v>
      </c>
      <c r="E27" s="42"/>
      <c r="F27" s="42"/>
      <c r="G27" s="42"/>
      <c r="H27" s="42"/>
      <c r="I27" s="41" t="s">
        <v>169</v>
      </c>
      <c r="J27" s="41" t="s">
        <v>115</v>
      </c>
      <c r="K27" s="43" t="str">
        <f t="shared" si="1"/>
        <v>No Attunement Required, Adventuring Gear, 0</v>
      </c>
      <c r="L27" s="43" t="str">
        <f t="shared" si="2"/>
        <v>No Attunement Required</v>
      </c>
      <c r="M27" s="42"/>
      <c r="N27" s="42"/>
      <c r="O27" s="42"/>
      <c r="P27" s="42"/>
      <c r="Q27" s="42"/>
      <c r="R27" s="42"/>
      <c r="S27" s="42"/>
      <c r="T27" s="42"/>
      <c r="U27" s="42"/>
      <c r="V27" s="42"/>
      <c r="W27" s="42"/>
      <c r="X27" s="42"/>
      <c r="Y27" s="42"/>
      <c r="Z27" s="42"/>
      <c r="AA27" s="42"/>
      <c r="AB27" s="44" t="s">
        <v>21</v>
      </c>
      <c r="AC27" s="42"/>
      <c r="AD27" s="42"/>
      <c r="AE27" s="42"/>
      <c r="AF27" s="42"/>
      <c r="AG27" s="42"/>
      <c r="AH27" s="42"/>
      <c r="AI27" s="42">
        <f t="shared" si="3"/>
        <v>0</v>
      </c>
      <c r="AJ27" s="42"/>
      <c r="AK27" s="42"/>
    </row>
    <row r="28">
      <c r="A28" s="41" t="s">
        <v>170</v>
      </c>
      <c r="B28" s="41" t="s">
        <v>117</v>
      </c>
      <c r="C28" s="41" t="s">
        <v>112</v>
      </c>
      <c r="D28" s="41" t="s">
        <v>21</v>
      </c>
      <c r="E28" s="42"/>
      <c r="F28" s="42"/>
      <c r="G28" s="42"/>
      <c r="H28" s="42"/>
      <c r="I28" s="41" t="s">
        <v>171</v>
      </c>
      <c r="J28" s="41" t="s">
        <v>115</v>
      </c>
      <c r="K28" s="43" t="str">
        <f t="shared" si="1"/>
        <v>No Attunement Required, Grants Advantage, Adventuring Gear, 0</v>
      </c>
      <c r="L28" s="43" t="str">
        <f t="shared" si="2"/>
        <v>No Attunement Required</v>
      </c>
      <c r="M28" s="42"/>
      <c r="N28" s="42"/>
      <c r="O28" s="42"/>
      <c r="P28" s="42"/>
      <c r="Q28" s="42"/>
      <c r="R28" s="42"/>
      <c r="S28" s="42"/>
      <c r="T28" s="42"/>
      <c r="U28" s="44" t="s">
        <v>42</v>
      </c>
      <c r="V28" s="42"/>
      <c r="W28" s="42"/>
      <c r="X28" s="42"/>
      <c r="Y28" s="42"/>
      <c r="Z28" s="42"/>
      <c r="AA28" s="42"/>
      <c r="AB28" s="44" t="s">
        <v>21</v>
      </c>
      <c r="AC28" s="42"/>
      <c r="AD28" s="42"/>
      <c r="AE28" s="42"/>
      <c r="AF28" s="42"/>
      <c r="AG28" s="42"/>
      <c r="AH28" s="42"/>
      <c r="AI28" s="42">
        <f t="shared" si="3"/>
        <v>0</v>
      </c>
      <c r="AJ28" s="42"/>
      <c r="AK28" s="42"/>
    </row>
    <row r="29">
      <c r="A29" s="41" t="s">
        <v>172</v>
      </c>
      <c r="B29" s="41" t="s">
        <v>173</v>
      </c>
      <c r="C29" s="41" t="s">
        <v>112</v>
      </c>
      <c r="D29" s="41" t="s">
        <v>21</v>
      </c>
      <c r="E29" s="42"/>
      <c r="F29" s="42"/>
      <c r="G29" s="42"/>
      <c r="H29" s="42"/>
      <c r="I29" s="41" t="s">
        <v>174</v>
      </c>
      <c r="J29" s="41" t="s">
        <v>115</v>
      </c>
      <c r="K29" s="43" t="str">
        <f t="shared" si="1"/>
        <v>No Attunement Required, Adventuring Gear, 0</v>
      </c>
      <c r="L29" s="43" t="str">
        <f t="shared" si="2"/>
        <v>No Attunement Required</v>
      </c>
      <c r="M29" s="42"/>
      <c r="N29" s="42"/>
      <c r="O29" s="42"/>
      <c r="P29" s="42"/>
      <c r="Q29" s="42"/>
      <c r="R29" s="42"/>
      <c r="S29" s="42"/>
      <c r="T29" s="42"/>
      <c r="U29" s="42"/>
      <c r="V29" s="42"/>
      <c r="W29" s="42"/>
      <c r="X29" s="42"/>
      <c r="Y29" s="42"/>
      <c r="Z29" s="42"/>
      <c r="AA29" s="42"/>
      <c r="AB29" s="44" t="s">
        <v>21</v>
      </c>
      <c r="AC29" s="42"/>
      <c r="AD29" s="42"/>
      <c r="AE29" s="42"/>
      <c r="AF29" s="42"/>
      <c r="AG29" s="42"/>
      <c r="AH29" s="42"/>
      <c r="AI29" s="42">
        <f t="shared" si="3"/>
        <v>0</v>
      </c>
      <c r="AJ29" s="42"/>
      <c r="AK29" s="42"/>
    </row>
    <row r="30">
      <c r="A30" s="41" t="s">
        <v>175</v>
      </c>
      <c r="B30" s="41" t="s">
        <v>173</v>
      </c>
      <c r="C30" s="41" t="s">
        <v>112</v>
      </c>
      <c r="D30" s="41" t="s">
        <v>21</v>
      </c>
      <c r="E30" s="42"/>
      <c r="F30" s="42"/>
      <c r="G30" s="42"/>
      <c r="H30" s="42"/>
      <c r="I30" s="41" t="s">
        <v>176</v>
      </c>
      <c r="J30" s="41" t="s">
        <v>115</v>
      </c>
      <c r="K30" s="43" t="str">
        <f t="shared" si="1"/>
        <v>No Attunement Required, Utility Gear, Imposes Disadvantage, Adventuring Gear, 0</v>
      </c>
      <c r="L30" s="43" t="str">
        <f t="shared" si="2"/>
        <v>No Attunement Required</v>
      </c>
      <c r="M30" s="44"/>
      <c r="N30" s="44" t="s">
        <v>47</v>
      </c>
      <c r="O30" s="42"/>
      <c r="P30" s="42"/>
      <c r="Q30" s="42"/>
      <c r="R30" s="42"/>
      <c r="S30" s="42"/>
      <c r="T30" s="42"/>
      <c r="U30" s="44" t="s">
        <v>43</v>
      </c>
      <c r="V30" s="42"/>
      <c r="W30" s="42"/>
      <c r="X30" s="42"/>
      <c r="Y30" s="42"/>
      <c r="Z30" s="42"/>
      <c r="AA30" s="42"/>
      <c r="AB30" s="44" t="s">
        <v>21</v>
      </c>
      <c r="AC30" s="42"/>
      <c r="AD30" s="42"/>
      <c r="AE30" s="42"/>
      <c r="AF30" s="42"/>
      <c r="AG30" s="42"/>
      <c r="AH30" s="42"/>
      <c r="AI30" s="42">
        <f t="shared" si="3"/>
        <v>0</v>
      </c>
      <c r="AJ30" s="42"/>
      <c r="AK30" s="42"/>
    </row>
    <row r="31">
      <c r="A31" s="41" t="s">
        <v>177</v>
      </c>
      <c r="B31" s="41" t="s">
        <v>117</v>
      </c>
      <c r="C31" s="41" t="s">
        <v>112</v>
      </c>
      <c r="D31" s="41" t="s">
        <v>21</v>
      </c>
      <c r="E31" s="42"/>
      <c r="F31" s="42"/>
      <c r="G31" s="42"/>
      <c r="H31" s="42"/>
      <c r="I31" s="41" t="s">
        <v>178</v>
      </c>
      <c r="J31" s="41" t="s">
        <v>115</v>
      </c>
      <c r="K31" s="43" t="str">
        <f t="shared" si="1"/>
        <v>No Attunement Required, Adventuring Gear, 0</v>
      </c>
      <c r="L31" s="43" t="str">
        <f t="shared" si="2"/>
        <v>No Attunement Required</v>
      </c>
      <c r="M31" s="42"/>
      <c r="N31" s="42"/>
      <c r="O31" s="42"/>
      <c r="P31" s="42"/>
      <c r="Q31" s="42"/>
      <c r="R31" s="42"/>
      <c r="S31" s="42"/>
      <c r="T31" s="42"/>
      <c r="U31" s="42"/>
      <c r="V31" s="42"/>
      <c r="W31" s="42"/>
      <c r="X31" s="42"/>
      <c r="Y31" s="42"/>
      <c r="Z31" s="42"/>
      <c r="AA31" s="42"/>
      <c r="AB31" s="44" t="s">
        <v>21</v>
      </c>
      <c r="AC31" s="42"/>
      <c r="AD31" s="42"/>
      <c r="AE31" s="42"/>
      <c r="AF31" s="42"/>
      <c r="AG31" s="42"/>
      <c r="AH31" s="42"/>
      <c r="AI31" s="42">
        <f t="shared" si="3"/>
        <v>0</v>
      </c>
      <c r="AJ31" s="42"/>
      <c r="AK31" s="42"/>
    </row>
    <row r="32">
      <c r="A32" s="41" t="s">
        <v>179</v>
      </c>
      <c r="B32" s="41" t="s">
        <v>117</v>
      </c>
      <c r="C32" s="41" t="s">
        <v>112</v>
      </c>
      <c r="D32" s="41" t="s">
        <v>24</v>
      </c>
      <c r="E32" s="42"/>
      <c r="F32" s="42"/>
      <c r="G32" s="42"/>
      <c r="H32" s="42"/>
      <c r="I32" s="41" t="s">
        <v>180</v>
      </c>
      <c r="J32" s="41" t="s">
        <v>115</v>
      </c>
      <c r="K32" s="43" t="str">
        <f t="shared" si="1"/>
        <v>No Attunement Required, Base Item, Spellcasting Focus, Adventuring Gear, 0</v>
      </c>
      <c r="L32" s="43" t="str">
        <f t="shared" si="2"/>
        <v>No Attunement Required</v>
      </c>
      <c r="M32" s="44" t="s">
        <v>119</v>
      </c>
      <c r="N32" s="42"/>
      <c r="O32" s="42"/>
      <c r="P32" s="42"/>
      <c r="Q32" s="42"/>
      <c r="R32" s="42"/>
      <c r="S32" s="42"/>
      <c r="T32" s="42"/>
      <c r="U32" s="42"/>
      <c r="V32" s="42"/>
      <c r="W32" s="42"/>
      <c r="X32" s="44" t="s">
        <v>24</v>
      </c>
      <c r="Y32" s="42"/>
      <c r="Z32" s="42"/>
      <c r="AA32" s="42"/>
      <c r="AB32" s="44" t="s">
        <v>21</v>
      </c>
      <c r="AC32" s="42"/>
      <c r="AD32" s="42"/>
      <c r="AE32" s="42"/>
      <c r="AF32" s="42"/>
      <c r="AG32" s="42"/>
      <c r="AH32" s="42"/>
      <c r="AI32" s="42">
        <f t="shared" si="3"/>
        <v>0</v>
      </c>
      <c r="AJ32" s="42"/>
      <c r="AK32" s="42"/>
    </row>
    <row r="33">
      <c r="A33" s="41" t="s">
        <v>181</v>
      </c>
      <c r="B33" s="41" t="s">
        <v>117</v>
      </c>
      <c r="C33" s="41" t="s">
        <v>112</v>
      </c>
      <c r="D33" s="41" t="s">
        <v>21</v>
      </c>
      <c r="E33" s="42"/>
      <c r="F33" s="42"/>
      <c r="G33" s="42"/>
      <c r="H33" s="42"/>
      <c r="I33" s="41" t="s">
        <v>182</v>
      </c>
      <c r="J33" s="41" t="s">
        <v>115</v>
      </c>
      <c r="K33" s="43" t="str">
        <f t="shared" si="1"/>
        <v>No Attunement Required, Adventuring Gear, 0</v>
      </c>
      <c r="L33" s="43" t="str">
        <f t="shared" si="2"/>
        <v>No Attunement Required</v>
      </c>
      <c r="M33" s="42"/>
      <c r="N33" s="42"/>
      <c r="O33" s="42"/>
      <c r="P33" s="42"/>
      <c r="Q33" s="42"/>
      <c r="R33" s="42"/>
      <c r="S33" s="42"/>
      <c r="T33" s="42"/>
      <c r="U33" s="42"/>
      <c r="V33" s="42"/>
      <c r="W33" s="42"/>
      <c r="X33" s="44"/>
      <c r="Y33" s="42"/>
      <c r="Z33" s="42"/>
      <c r="AA33" s="42"/>
      <c r="AB33" s="44" t="s">
        <v>21</v>
      </c>
      <c r="AC33" s="42"/>
      <c r="AD33" s="42"/>
      <c r="AE33" s="42"/>
      <c r="AF33" s="42"/>
      <c r="AG33" s="42"/>
      <c r="AH33" s="42"/>
      <c r="AI33" s="42">
        <f t="shared" si="3"/>
        <v>0</v>
      </c>
      <c r="AJ33" s="42"/>
      <c r="AK33" s="42"/>
    </row>
    <row r="34">
      <c r="A34" s="41" t="s">
        <v>183</v>
      </c>
      <c r="B34" s="41" t="s">
        <v>117</v>
      </c>
      <c r="C34" s="41" t="s">
        <v>112</v>
      </c>
      <c r="D34" s="41" t="s">
        <v>21</v>
      </c>
      <c r="E34" s="42"/>
      <c r="F34" s="42"/>
      <c r="G34" s="42"/>
      <c r="H34" s="42"/>
      <c r="I34" s="41" t="s">
        <v>184</v>
      </c>
      <c r="J34" s="41" t="s">
        <v>115</v>
      </c>
      <c r="K34" s="43" t="str">
        <f t="shared" si="1"/>
        <v>No Attunement Required, Adventuring Gear, 0</v>
      </c>
      <c r="L34" s="43" t="str">
        <f t="shared" si="2"/>
        <v>No Attunement Required</v>
      </c>
      <c r="M34" s="42"/>
      <c r="N34" s="42"/>
      <c r="O34" s="42"/>
      <c r="P34" s="42"/>
      <c r="Q34" s="42"/>
      <c r="R34" s="42"/>
      <c r="S34" s="44"/>
      <c r="T34" s="44"/>
      <c r="U34" s="42"/>
      <c r="V34" s="42"/>
      <c r="W34" s="42"/>
      <c r="X34" s="42"/>
      <c r="Y34" s="42"/>
      <c r="Z34" s="42"/>
      <c r="AA34" s="42"/>
      <c r="AB34" s="44" t="s">
        <v>21</v>
      </c>
      <c r="AC34" s="42"/>
      <c r="AD34" s="42"/>
      <c r="AE34" s="42"/>
      <c r="AF34" s="42"/>
      <c r="AG34" s="42"/>
      <c r="AH34" s="42"/>
      <c r="AI34" s="42">
        <f t="shared" si="3"/>
        <v>0</v>
      </c>
      <c r="AJ34" s="42"/>
      <c r="AK34" s="42"/>
    </row>
    <row r="35">
      <c r="A35" s="41" t="s">
        <v>185</v>
      </c>
      <c r="B35" s="41" t="s">
        <v>117</v>
      </c>
      <c r="C35" s="41" t="s">
        <v>112</v>
      </c>
      <c r="D35" s="41" t="s">
        <v>21</v>
      </c>
      <c r="E35" s="42"/>
      <c r="F35" s="42"/>
      <c r="G35" s="42"/>
      <c r="H35" s="42"/>
      <c r="I35" s="41" t="s">
        <v>186</v>
      </c>
      <c r="J35" s="41" t="s">
        <v>115</v>
      </c>
      <c r="K35" s="43" t="str">
        <f t="shared" si="1"/>
        <v>No Attunement Required, Adventuring Gear, 0</v>
      </c>
      <c r="L35" s="43" t="str">
        <f t="shared" si="2"/>
        <v>No Attunement Required</v>
      </c>
      <c r="M35" s="42"/>
      <c r="N35" s="42"/>
      <c r="O35" s="42"/>
      <c r="P35" s="42"/>
      <c r="Q35" s="42"/>
      <c r="R35" s="42"/>
      <c r="S35" s="42"/>
      <c r="T35" s="42"/>
      <c r="U35" s="42"/>
      <c r="V35" s="42"/>
      <c r="W35" s="42"/>
      <c r="X35" s="42"/>
      <c r="Y35" s="42"/>
      <c r="Z35" s="42"/>
      <c r="AA35" s="42"/>
      <c r="AB35" s="44" t="s">
        <v>21</v>
      </c>
      <c r="AC35" s="42"/>
      <c r="AD35" s="42"/>
      <c r="AE35" s="42"/>
      <c r="AF35" s="42"/>
      <c r="AG35" s="42"/>
      <c r="AH35" s="42"/>
      <c r="AI35" s="42">
        <f t="shared" si="3"/>
        <v>0</v>
      </c>
      <c r="AJ35" s="42"/>
      <c r="AK35" s="42"/>
    </row>
    <row r="36">
      <c r="A36" s="41" t="s">
        <v>187</v>
      </c>
      <c r="B36" s="41" t="s">
        <v>117</v>
      </c>
      <c r="C36" s="41" t="s">
        <v>112</v>
      </c>
      <c r="D36" s="41" t="s">
        <v>21</v>
      </c>
      <c r="E36" s="42"/>
      <c r="F36" s="42"/>
      <c r="G36" s="42"/>
      <c r="H36" s="42"/>
      <c r="I36" s="41" t="s">
        <v>188</v>
      </c>
      <c r="J36" s="41" t="s">
        <v>115</v>
      </c>
      <c r="K36" s="43" t="str">
        <f t="shared" si="1"/>
        <v>No Attunement Required, Adventuring Gear, 0</v>
      </c>
      <c r="L36" s="43" t="str">
        <f t="shared" si="2"/>
        <v>No Attunement Required</v>
      </c>
      <c r="M36" s="42"/>
      <c r="N36" s="42"/>
      <c r="O36" s="42"/>
      <c r="P36" s="42"/>
      <c r="Q36" s="42"/>
      <c r="R36" s="42"/>
      <c r="S36" s="42"/>
      <c r="T36" s="42"/>
      <c r="U36" s="42"/>
      <c r="V36" s="42"/>
      <c r="W36" s="42"/>
      <c r="X36" s="44"/>
      <c r="Y36" s="42"/>
      <c r="Z36" s="42"/>
      <c r="AA36" s="42"/>
      <c r="AB36" s="44" t="s">
        <v>21</v>
      </c>
      <c r="AC36" s="42"/>
      <c r="AD36" s="42"/>
      <c r="AE36" s="42"/>
      <c r="AF36" s="42"/>
      <c r="AG36" s="42"/>
      <c r="AH36" s="42"/>
      <c r="AI36" s="42">
        <f t="shared" si="3"/>
        <v>0</v>
      </c>
      <c r="AJ36" s="42"/>
      <c r="AK36" s="42"/>
    </row>
    <row r="37">
      <c r="A37" s="41" t="s">
        <v>189</v>
      </c>
      <c r="B37" s="41" t="s">
        <v>153</v>
      </c>
      <c r="C37" s="41" t="s">
        <v>112</v>
      </c>
      <c r="D37" s="41" t="s">
        <v>21</v>
      </c>
      <c r="E37" s="42"/>
      <c r="F37" s="42"/>
      <c r="G37" s="42"/>
      <c r="H37" s="42"/>
      <c r="I37" s="41" t="s">
        <v>190</v>
      </c>
      <c r="J37" s="41" t="s">
        <v>115</v>
      </c>
      <c r="K37" s="43" t="str">
        <f t="shared" si="1"/>
        <v>No Attunement Required, Adventuring Gear, 0</v>
      </c>
      <c r="L37" s="43" t="str">
        <f t="shared" si="2"/>
        <v>No Attunement Required</v>
      </c>
      <c r="M37" s="42"/>
      <c r="N37" s="42"/>
      <c r="O37" s="42"/>
      <c r="P37" s="42"/>
      <c r="Q37" s="42"/>
      <c r="R37" s="42"/>
      <c r="S37" s="44"/>
      <c r="T37" s="44"/>
      <c r="U37" s="42"/>
      <c r="V37" s="42"/>
      <c r="W37" s="42"/>
      <c r="X37" s="42"/>
      <c r="Y37" s="42"/>
      <c r="Z37" s="42"/>
      <c r="AA37" s="42"/>
      <c r="AB37" s="44" t="s">
        <v>21</v>
      </c>
      <c r="AC37" s="42"/>
      <c r="AD37" s="42"/>
      <c r="AE37" s="42"/>
      <c r="AF37" s="42"/>
      <c r="AG37" s="42"/>
      <c r="AH37" s="42"/>
      <c r="AI37" s="42">
        <f t="shared" si="3"/>
        <v>0</v>
      </c>
      <c r="AJ37" s="42"/>
      <c r="AK37" s="42"/>
    </row>
    <row r="38">
      <c r="A38" s="41" t="s">
        <v>191</v>
      </c>
      <c r="B38" s="41" t="s">
        <v>117</v>
      </c>
      <c r="C38" s="41" t="s">
        <v>112</v>
      </c>
      <c r="D38" s="41" t="s">
        <v>21</v>
      </c>
      <c r="E38" s="42"/>
      <c r="F38" s="42"/>
      <c r="G38" s="42"/>
      <c r="H38" s="42"/>
      <c r="I38" s="41" t="s">
        <v>192</v>
      </c>
      <c r="J38" s="41" t="s">
        <v>115</v>
      </c>
      <c r="K38" s="43" t="str">
        <f t="shared" si="1"/>
        <v>No Attunement Required, Adventuring Gear, 0</v>
      </c>
      <c r="L38" s="43" t="str">
        <f t="shared" si="2"/>
        <v>No Attunement Required</v>
      </c>
      <c r="M38" s="42"/>
      <c r="N38" s="42"/>
      <c r="O38" s="42"/>
      <c r="P38" s="44"/>
      <c r="Q38" s="44"/>
      <c r="R38" s="42"/>
      <c r="S38" s="42"/>
      <c r="T38" s="42"/>
      <c r="U38" s="42"/>
      <c r="V38" s="42"/>
      <c r="W38" s="42"/>
      <c r="X38" s="42"/>
      <c r="Y38" s="42"/>
      <c r="Z38" s="42"/>
      <c r="AA38" s="42"/>
      <c r="AB38" s="44" t="s">
        <v>21</v>
      </c>
      <c r="AC38" s="42"/>
      <c r="AD38" s="42"/>
      <c r="AE38" s="42"/>
      <c r="AF38" s="42"/>
      <c r="AG38" s="42"/>
      <c r="AH38" s="42"/>
      <c r="AI38" s="42">
        <f t="shared" si="3"/>
        <v>0</v>
      </c>
      <c r="AJ38" s="42"/>
      <c r="AK38" s="42"/>
    </row>
    <row r="39">
      <c r="A39" s="41" t="s">
        <v>193</v>
      </c>
      <c r="B39" s="41" t="s">
        <v>117</v>
      </c>
      <c r="C39" s="41" t="s">
        <v>112</v>
      </c>
      <c r="D39" s="41" t="s">
        <v>21</v>
      </c>
      <c r="E39" s="42"/>
      <c r="F39" s="42"/>
      <c r="G39" s="42"/>
      <c r="H39" s="42"/>
      <c r="I39" s="41" t="s">
        <v>194</v>
      </c>
      <c r="J39" s="41" t="s">
        <v>115</v>
      </c>
      <c r="K39" s="43" t="str">
        <f t="shared" si="1"/>
        <v>No Attunement Required, Adventuring Gear, 0</v>
      </c>
      <c r="L39" s="43" t="str">
        <f t="shared" si="2"/>
        <v>No Attunement Required</v>
      </c>
      <c r="M39" s="42"/>
      <c r="N39" s="42"/>
      <c r="O39" s="42"/>
      <c r="P39" s="44"/>
      <c r="Q39" s="44"/>
      <c r="R39" s="42"/>
      <c r="S39" s="42"/>
      <c r="T39" s="42"/>
      <c r="U39" s="42"/>
      <c r="V39" s="42"/>
      <c r="W39" s="42"/>
      <c r="X39" s="42"/>
      <c r="Y39" s="42"/>
      <c r="Z39" s="42"/>
      <c r="AA39" s="42"/>
      <c r="AB39" s="44" t="s">
        <v>21</v>
      </c>
      <c r="AC39" s="42"/>
      <c r="AD39" s="42"/>
      <c r="AE39" s="42"/>
      <c r="AF39" s="42"/>
      <c r="AG39" s="42"/>
      <c r="AH39" s="42"/>
      <c r="AI39" s="42">
        <f t="shared" si="3"/>
        <v>0</v>
      </c>
      <c r="AJ39" s="42"/>
      <c r="AK39" s="42"/>
    </row>
    <row r="40">
      <c r="A40" s="41" t="s">
        <v>195</v>
      </c>
      <c r="B40" s="41" t="s">
        <v>117</v>
      </c>
      <c r="C40" s="41" t="s">
        <v>112</v>
      </c>
      <c r="D40" s="41" t="s">
        <v>21</v>
      </c>
      <c r="E40" s="42"/>
      <c r="F40" s="42"/>
      <c r="G40" s="42"/>
      <c r="H40" s="42"/>
      <c r="I40" s="41" t="s">
        <v>196</v>
      </c>
      <c r="J40" s="41" t="s">
        <v>115</v>
      </c>
      <c r="K40" s="43" t="str">
        <f t="shared" si="1"/>
        <v>No Attunement Required, Adventuring Gear, 0</v>
      </c>
      <c r="L40" s="43" t="str">
        <f t="shared" si="2"/>
        <v>No Attunement Required</v>
      </c>
      <c r="M40" s="42"/>
      <c r="N40" s="42"/>
      <c r="O40" s="42"/>
      <c r="P40" s="42"/>
      <c r="Q40" s="42"/>
      <c r="R40" s="42"/>
      <c r="S40" s="42"/>
      <c r="T40" s="42"/>
      <c r="U40" s="42"/>
      <c r="V40" s="42"/>
      <c r="W40" s="42"/>
      <c r="X40" s="42"/>
      <c r="Y40" s="42"/>
      <c r="Z40" s="42"/>
      <c r="AA40" s="42"/>
      <c r="AB40" s="44" t="s">
        <v>21</v>
      </c>
      <c r="AC40" s="42"/>
      <c r="AD40" s="42"/>
      <c r="AE40" s="42"/>
      <c r="AF40" s="42"/>
      <c r="AG40" s="42"/>
      <c r="AH40" s="42"/>
      <c r="AI40" s="42">
        <f t="shared" si="3"/>
        <v>0</v>
      </c>
      <c r="AJ40" s="42"/>
      <c r="AK40" s="42"/>
    </row>
    <row r="41">
      <c r="A41" s="41" t="s">
        <v>197</v>
      </c>
      <c r="B41" s="41" t="s">
        <v>117</v>
      </c>
      <c r="C41" s="41" t="s">
        <v>112</v>
      </c>
      <c r="D41" s="41" t="s">
        <v>24</v>
      </c>
      <c r="E41" s="42"/>
      <c r="F41" s="42"/>
      <c r="G41" s="42"/>
      <c r="H41" s="42"/>
      <c r="I41" s="41" t="s">
        <v>198</v>
      </c>
      <c r="J41" s="41" t="s">
        <v>115</v>
      </c>
      <c r="K41" s="43" t="str">
        <f t="shared" si="1"/>
        <v>No Attunement Required, Base Item, Spellcasting Focus, Adventuring Gear, 0</v>
      </c>
      <c r="L41" s="43" t="str">
        <f t="shared" si="2"/>
        <v>No Attunement Required</v>
      </c>
      <c r="M41" s="44" t="s">
        <v>119</v>
      </c>
      <c r="N41" s="42"/>
      <c r="O41" s="42"/>
      <c r="P41" s="42"/>
      <c r="Q41" s="42"/>
      <c r="R41" s="45"/>
      <c r="S41" s="42"/>
      <c r="T41" s="42"/>
      <c r="U41" s="42"/>
      <c r="V41" s="42"/>
      <c r="W41" s="42"/>
      <c r="X41" s="44" t="s">
        <v>24</v>
      </c>
      <c r="Y41" s="42"/>
      <c r="Z41" s="42"/>
      <c r="AA41" s="42"/>
      <c r="AB41" s="44" t="s">
        <v>21</v>
      </c>
      <c r="AC41" s="42"/>
      <c r="AD41" s="42"/>
      <c r="AE41" s="42"/>
      <c r="AF41" s="42"/>
      <c r="AG41" s="42"/>
      <c r="AH41" s="42"/>
      <c r="AI41" s="42">
        <f t="shared" si="3"/>
        <v>0</v>
      </c>
      <c r="AJ41" s="42"/>
      <c r="AK41" s="42"/>
    </row>
    <row r="42">
      <c r="A42" s="41" t="s">
        <v>199</v>
      </c>
      <c r="B42" s="41" t="s">
        <v>117</v>
      </c>
      <c r="C42" s="41" t="s">
        <v>112</v>
      </c>
      <c r="D42" s="41" t="s">
        <v>21</v>
      </c>
      <c r="E42" s="42"/>
      <c r="F42" s="42"/>
      <c r="G42" s="42"/>
      <c r="H42" s="42"/>
      <c r="I42" s="41" t="s">
        <v>200</v>
      </c>
      <c r="J42" s="41" t="s">
        <v>115</v>
      </c>
      <c r="K42" s="43" t="str">
        <f t="shared" si="1"/>
        <v>No Attunement Required, Adventuring Gear, 0</v>
      </c>
      <c r="L42" s="43" t="str">
        <f t="shared" si="2"/>
        <v>No Attunement Required</v>
      </c>
      <c r="M42" s="42"/>
      <c r="N42" s="42"/>
      <c r="O42" s="42"/>
      <c r="P42" s="42"/>
      <c r="Q42" s="42"/>
      <c r="R42" s="42"/>
      <c r="S42" s="42"/>
      <c r="T42" s="42"/>
      <c r="U42" s="42"/>
      <c r="V42" s="42"/>
      <c r="W42" s="42"/>
      <c r="X42" s="42"/>
      <c r="Y42" s="42"/>
      <c r="Z42" s="42"/>
      <c r="AA42" s="42"/>
      <c r="AB42" s="44" t="s">
        <v>21</v>
      </c>
      <c r="AC42" s="42"/>
      <c r="AD42" s="42"/>
      <c r="AE42" s="42"/>
      <c r="AF42" s="42"/>
      <c r="AG42" s="42"/>
      <c r="AH42" s="42"/>
      <c r="AI42" s="42">
        <f t="shared" si="3"/>
        <v>0</v>
      </c>
      <c r="AJ42" s="42"/>
      <c r="AK42" s="42"/>
    </row>
    <row r="43">
      <c r="A43" s="41" t="s">
        <v>201</v>
      </c>
      <c r="B43" s="41" t="s">
        <v>153</v>
      </c>
      <c r="C43" s="41" t="s">
        <v>112</v>
      </c>
      <c r="D43" s="41" t="s">
        <v>21</v>
      </c>
      <c r="E43" s="42"/>
      <c r="F43" s="42"/>
      <c r="G43" s="42"/>
      <c r="H43" s="42"/>
      <c r="I43" s="41" t="s">
        <v>202</v>
      </c>
      <c r="J43" s="41" t="s">
        <v>115</v>
      </c>
      <c r="K43" s="43" t="str">
        <f t="shared" si="1"/>
        <v>No Attunement Required, Adventuring Gear, 0</v>
      </c>
      <c r="L43" s="43" t="str">
        <f t="shared" si="2"/>
        <v>No Attunement Required</v>
      </c>
      <c r="M43" s="42"/>
      <c r="N43" s="42"/>
      <c r="O43" s="42"/>
      <c r="P43" s="44"/>
      <c r="Q43" s="44"/>
      <c r="R43" s="42"/>
      <c r="S43" s="42"/>
      <c r="T43" s="42"/>
      <c r="U43" s="42"/>
      <c r="V43" s="42"/>
      <c r="W43" s="42"/>
      <c r="X43" s="42"/>
      <c r="Y43" s="42"/>
      <c r="Z43" s="42"/>
      <c r="AA43" s="42"/>
      <c r="AB43" s="44" t="s">
        <v>21</v>
      </c>
      <c r="AC43" s="42"/>
      <c r="AD43" s="42"/>
      <c r="AE43" s="42"/>
      <c r="AF43" s="42"/>
      <c r="AG43" s="42"/>
      <c r="AH43" s="42"/>
      <c r="AI43" s="42">
        <f t="shared" si="3"/>
        <v>0</v>
      </c>
      <c r="AJ43" s="42"/>
      <c r="AK43" s="42"/>
    </row>
    <row r="44">
      <c r="A44" s="41" t="s">
        <v>203</v>
      </c>
      <c r="B44" s="41" t="s">
        <v>117</v>
      </c>
      <c r="C44" s="41" t="s">
        <v>112</v>
      </c>
      <c r="D44" s="41" t="s">
        <v>21</v>
      </c>
      <c r="E44" s="42"/>
      <c r="F44" s="42"/>
      <c r="G44" s="42"/>
      <c r="H44" s="42"/>
      <c r="I44" s="41" t="s">
        <v>204</v>
      </c>
      <c r="J44" s="41" t="s">
        <v>115</v>
      </c>
      <c r="K44" s="43" t="str">
        <f t="shared" si="1"/>
        <v>No Attunement Required, Adventuring Gear, 0</v>
      </c>
      <c r="L44" s="43" t="str">
        <f t="shared" si="2"/>
        <v>No Attunement Required</v>
      </c>
      <c r="M44" s="42"/>
      <c r="N44" s="42"/>
      <c r="O44" s="42"/>
      <c r="P44" s="42"/>
      <c r="Q44" s="42"/>
      <c r="R44" s="42"/>
      <c r="S44" s="42"/>
      <c r="T44" s="42"/>
      <c r="U44" s="42"/>
      <c r="V44" s="42"/>
      <c r="W44" s="42"/>
      <c r="X44" s="42"/>
      <c r="Y44" s="42"/>
      <c r="Z44" s="42"/>
      <c r="AA44" s="42"/>
      <c r="AB44" s="44" t="s">
        <v>21</v>
      </c>
      <c r="AC44" s="42"/>
      <c r="AD44" s="42"/>
      <c r="AE44" s="42"/>
      <c r="AF44" s="42"/>
      <c r="AG44" s="42"/>
      <c r="AH44" s="42"/>
      <c r="AI44" s="42">
        <f t="shared" si="3"/>
        <v>0</v>
      </c>
      <c r="AJ44" s="42"/>
      <c r="AK44" s="42"/>
    </row>
    <row r="45">
      <c r="A45" s="41" t="s">
        <v>205</v>
      </c>
      <c r="B45" s="41" t="s">
        <v>117</v>
      </c>
      <c r="C45" s="41" t="s">
        <v>112</v>
      </c>
      <c r="D45" s="41" t="s">
        <v>21</v>
      </c>
      <c r="E45" s="42"/>
      <c r="F45" s="42"/>
      <c r="G45" s="42"/>
      <c r="H45" s="42"/>
      <c r="I45" s="41" t="s">
        <v>206</v>
      </c>
      <c r="J45" s="41" t="s">
        <v>115</v>
      </c>
      <c r="K45" s="43" t="str">
        <f t="shared" si="1"/>
        <v>No Attunement Required, Adventuring Gear, 0</v>
      </c>
      <c r="L45" s="43" t="str">
        <f t="shared" si="2"/>
        <v>No Attunement Required</v>
      </c>
      <c r="M45" s="42"/>
      <c r="N45" s="42"/>
      <c r="O45" s="42"/>
      <c r="P45" s="42"/>
      <c r="Q45" s="42"/>
      <c r="R45" s="42"/>
      <c r="S45" s="44"/>
      <c r="T45" s="44"/>
      <c r="U45" s="42"/>
      <c r="V45" s="42"/>
      <c r="W45" s="42"/>
      <c r="X45" s="42"/>
      <c r="Y45" s="42"/>
      <c r="Z45" s="42"/>
      <c r="AA45" s="42"/>
      <c r="AB45" s="44" t="s">
        <v>21</v>
      </c>
      <c r="AC45" s="42"/>
      <c r="AD45" s="42"/>
      <c r="AE45" s="42"/>
      <c r="AF45" s="42"/>
      <c r="AG45" s="42"/>
      <c r="AH45" s="42"/>
      <c r="AI45" s="42">
        <f t="shared" si="3"/>
        <v>0</v>
      </c>
      <c r="AJ45" s="42"/>
      <c r="AK45" s="42"/>
    </row>
    <row r="46">
      <c r="A46" s="41" t="s">
        <v>207</v>
      </c>
      <c r="B46" s="41" t="s">
        <v>117</v>
      </c>
      <c r="C46" s="41" t="s">
        <v>112</v>
      </c>
      <c r="D46" s="41" t="s">
        <v>21</v>
      </c>
      <c r="E46" s="42"/>
      <c r="F46" s="42"/>
      <c r="G46" s="42"/>
      <c r="H46" s="42"/>
      <c r="I46" s="41" t="s">
        <v>208</v>
      </c>
      <c r="J46" s="41" t="s">
        <v>115</v>
      </c>
      <c r="K46" s="43" t="str">
        <f t="shared" si="1"/>
        <v>No Attunement Required, Adventuring Gear, 0</v>
      </c>
      <c r="L46" s="43" t="str">
        <f t="shared" si="2"/>
        <v>No Attunement Required</v>
      </c>
      <c r="M46" s="42"/>
      <c r="N46" s="42"/>
      <c r="O46" s="42"/>
      <c r="P46" s="42"/>
      <c r="Q46" s="42"/>
      <c r="R46" s="42"/>
      <c r="S46" s="42"/>
      <c r="T46" s="42"/>
      <c r="U46" s="42"/>
      <c r="V46" s="42"/>
      <c r="W46" s="42"/>
      <c r="X46" s="42"/>
      <c r="Y46" s="42"/>
      <c r="Z46" s="42"/>
      <c r="AA46" s="42"/>
      <c r="AB46" s="44" t="s">
        <v>21</v>
      </c>
      <c r="AC46" s="42"/>
      <c r="AD46" s="42"/>
      <c r="AE46" s="42"/>
      <c r="AF46" s="42"/>
      <c r="AG46" s="42"/>
      <c r="AH46" s="42"/>
      <c r="AI46" s="42">
        <f t="shared" si="3"/>
        <v>0</v>
      </c>
      <c r="AJ46" s="42"/>
      <c r="AK46" s="42"/>
    </row>
    <row r="47">
      <c r="A47" s="41" t="s">
        <v>209</v>
      </c>
      <c r="B47" s="41" t="s">
        <v>117</v>
      </c>
      <c r="C47" s="41" t="s">
        <v>112</v>
      </c>
      <c r="D47" s="41" t="s">
        <v>21</v>
      </c>
      <c r="E47" s="42"/>
      <c r="F47" s="42"/>
      <c r="G47" s="42"/>
      <c r="H47" s="42"/>
      <c r="I47" s="41" t="s">
        <v>210</v>
      </c>
      <c r="J47" s="41" t="s">
        <v>115</v>
      </c>
      <c r="K47" s="43" t="str">
        <f t="shared" si="1"/>
        <v>No Attunement Required, Adventuring Gear, 0</v>
      </c>
      <c r="L47" s="43" t="str">
        <f t="shared" si="2"/>
        <v>No Attunement Required</v>
      </c>
      <c r="M47" s="42"/>
      <c r="N47" s="42"/>
      <c r="O47" s="42"/>
      <c r="P47" s="42"/>
      <c r="Q47" s="42"/>
      <c r="S47" s="42"/>
      <c r="T47" s="42"/>
      <c r="U47" s="42"/>
      <c r="V47" s="42"/>
      <c r="W47" s="42"/>
      <c r="X47" s="42"/>
      <c r="Y47" s="42"/>
      <c r="Z47" s="42"/>
      <c r="AA47" s="42"/>
      <c r="AB47" s="44" t="s">
        <v>21</v>
      </c>
      <c r="AC47" s="42"/>
      <c r="AD47" s="42"/>
      <c r="AE47" s="42"/>
      <c r="AF47" s="42"/>
      <c r="AG47" s="42"/>
      <c r="AH47" s="42"/>
      <c r="AI47" s="42">
        <f t="shared" si="3"/>
        <v>0</v>
      </c>
      <c r="AJ47" s="42"/>
      <c r="AK47" s="42"/>
    </row>
    <row r="48">
      <c r="A48" s="41" t="s">
        <v>211</v>
      </c>
      <c r="B48" s="41" t="s">
        <v>117</v>
      </c>
      <c r="C48" s="41" t="s">
        <v>112</v>
      </c>
      <c r="D48" s="41" t="s">
        <v>21</v>
      </c>
      <c r="E48" s="42"/>
      <c r="F48" s="42"/>
      <c r="G48" s="42"/>
      <c r="H48" s="42"/>
      <c r="I48" s="41" t="s">
        <v>212</v>
      </c>
      <c r="J48" s="41" t="s">
        <v>115</v>
      </c>
      <c r="K48" s="43" t="str">
        <f t="shared" si="1"/>
        <v>No Attunement Required, Adventuring Gear, 0</v>
      </c>
      <c r="L48" s="43" t="str">
        <f t="shared" si="2"/>
        <v>No Attunement Required</v>
      </c>
      <c r="M48" s="42"/>
      <c r="N48" s="42"/>
      <c r="O48" s="42"/>
      <c r="P48" s="42"/>
      <c r="Q48" s="42"/>
      <c r="S48" s="42"/>
      <c r="T48" s="42"/>
      <c r="U48" s="42"/>
      <c r="V48" s="42"/>
      <c r="W48" s="42"/>
      <c r="X48" s="42"/>
      <c r="Y48" s="42"/>
      <c r="Z48" s="42"/>
      <c r="AA48" s="42"/>
      <c r="AB48" s="44" t="s">
        <v>21</v>
      </c>
      <c r="AC48" s="42"/>
      <c r="AD48" s="42"/>
      <c r="AE48" s="42"/>
      <c r="AF48" s="42"/>
      <c r="AG48" s="42"/>
      <c r="AH48" s="42"/>
      <c r="AI48" s="42">
        <f t="shared" si="3"/>
        <v>0</v>
      </c>
      <c r="AJ48" s="42"/>
      <c r="AK48" s="42"/>
    </row>
    <row r="49">
      <c r="A49" s="41" t="s">
        <v>213</v>
      </c>
      <c r="B49" s="41" t="s">
        <v>117</v>
      </c>
      <c r="C49" s="41" t="s">
        <v>112</v>
      </c>
      <c r="D49" s="41" t="s">
        <v>21</v>
      </c>
      <c r="E49" s="42"/>
      <c r="F49" s="42"/>
      <c r="G49" s="42"/>
      <c r="H49" s="42"/>
      <c r="I49" s="41" t="s">
        <v>212</v>
      </c>
      <c r="J49" s="41" t="s">
        <v>115</v>
      </c>
      <c r="K49" s="43" t="str">
        <f t="shared" si="1"/>
        <v>No Attunement Required, Adventuring Gear, 0</v>
      </c>
      <c r="L49" s="43" t="str">
        <f t="shared" si="2"/>
        <v>No Attunement Required</v>
      </c>
      <c r="M49" s="42"/>
      <c r="N49" s="42"/>
      <c r="O49" s="42"/>
      <c r="P49" s="42"/>
      <c r="Q49" s="42"/>
      <c r="S49" s="42"/>
      <c r="T49" s="42"/>
      <c r="U49" s="42"/>
      <c r="V49" s="42"/>
      <c r="W49" s="42"/>
      <c r="X49" s="42"/>
      <c r="Y49" s="42"/>
      <c r="Z49" s="42"/>
      <c r="AA49" s="42"/>
      <c r="AB49" s="44" t="s">
        <v>21</v>
      </c>
      <c r="AC49" s="42"/>
      <c r="AD49" s="42"/>
      <c r="AE49" s="42"/>
      <c r="AF49" s="42"/>
      <c r="AG49" s="42"/>
      <c r="AH49" s="42"/>
      <c r="AI49" s="42">
        <f t="shared" si="3"/>
        <v>0</v>
      </c>
      <c r="AJ49" s="42"/>
      <c r="AK49" s="42"/>
    </row>
    <row r="50">
      <c r="A50" s="41" t="s">
        <v>214</v>
      </c>
      <c r="B50" s="41" t="s">
        <v>117</v>
      </c>
      <c r="C50" s="41" t="s">
        <v>112</v>
      </c>
      <c r="D50" s="41" t="s">
        <v>21</v>
      </c>
      <c r="E50" s="42"/>
      <c r="F50" s="42"/>
      <c r="G50" s="42"/>
      <c r="H50" s="42"/>
      <c r="I50" s="41" t="s">
        <v>215</v>
      </c>
      <c r="J50" s="41" t="s">
        <v>115</v>
      </c>
      <c r="K50" s="43" t="str">
        <f t="shared" si="1"/>
        <v>No Attunement Required, Adventuring Gear, 0</v>
      </c>
      <c r="L50" s="43" t="str">
        <f t="shared" si="2"/>
        <v>No Attunement Required</v>
      </c>
      <c r="M50" s="42"/>
      <c r="N50" s="42"/>
      <c r="O50" s="42"/>
      <c r="P50" s="42"/>
      <c r="Q50" s="42"/>
      <c r="S50" s="42"/>
      <c r="T50" s="42"/>
      <c r="U50" s="42"/>
      <c r="V50" s="42"/>
      <c r="W50" s="42"/>
      <c r="X50" s="42"/>
      <c r="Y50" s="42"/>
      <c r="Z50" s="42"/>
      <c r="AA50" s="42"/>
      <c r="AB50" s="44" t="s">
        <v>21</v>
      </c>
      <c r="AC50" s="42"/>
      <c r="AD50" s="42"/>
      <c r="AE50" s="42"/>
      <c r="AF50" s="42"/>
      <c r="AG50" s="42"/>
      <c r="AH50" s="42"/>
      <c r="AI50" s="42">
        <f t="shared" si="3"/>
        <v>0</v>
      </c>
      <c r="AJ50" s="42"/>
      <c r="AK50" s="42"/>
    </row>
    <row r="51">
      <c r="A51" s="41" t="s">
        <v>216</v>
      </c>
      <c r="B51" s="41" t="s">
        <v>117</v>
      </c>
      <c r="C51" s="41" t="s">
        <v>112</v>
      </c>
      <c r="D51" s="41" t="s">
        <v>21</v>
      </c>
      <c r="E51" s="42"/>
      <c r="F51" s="42"/>
      <c r="G51" s="42"/>
      <c r="H51" s="42"/>
      <c r="I51" s="41" t="s">
        <v>217</v>
      </c>
      <c r="J51" s="41" t="s">
        <v>115</v>
      </c>
      <c r="K51" s="43" t="str">
        <f t="shared" si="1"/>
        <v>No Attunement Required, Adventuring Gear, 0</v>
      </c>
      <c r="L51" s="43" t="str">
        <f t="shared" si="2"/>
        <v>No Attunement Required</v>
      </c>
      <c r="M51" s="42"/>
      <c r="N51" s="42"/>
      <c r="O51" s="42"/>
      <c r="P51" s="42"/>
      <c r="Q51" s="42"/>
      <c r="S51" s="42"/>
      <c r="T51" s="42"/>
      <c r="U51" s="42"/>
      <c r="V51" s="42"/>
      <c r="W51" s="42"/>
      <c r="X51" s="42"/>
      <c r="Y51" s="42"/>
      <c r="Z51" s="42"/>
      <c r="AA51" s="42"/>
      <c r="AB51" s="44" t="s">
        <v>21</v>
      </c>
      <c r="AC51" s="42"/>
      <c r="AD51" s="42"/>
      <c r="AE51" s="42"/>
      <c r="AF51" s="42"/>
      <c r="AG51" s="42"/>
      <c r="AH51" s="42"/>
      <c r="AI51" s="42">
        <f t="shared" si="3"/>
        <v>0</v>
      </c>
      <c r="AJ51" s="42"/>
      <c r="AK51" s="42"/>
    </row>
    <row r="52">
      <c r="A52" s="41" t="s">
        <v>218</v>
      </c>
      <c r="B52" s="41" t="s">
        <v>117</v>
      </c>
      <c r="C52" s="41" t="s">
        <v>112</v>
      </c>
      <c r="D52" s="41" t="s">
        <v>21</v>
      </c>
      <c r="E52" s="42"/>
      <c r="F52" s="42"/>
      <c r="G52" s="42"/>
      <c r="H52" s="42"/>
      <c r="I52" s="41" t="s">
        <v>219</v>
      </c>
      <c r="J52" s="41" t="s">
        <v>115</v>
      </c>
      <c r="K52" s="43" t="str">
        <f t="shared" si="1"/>
        <v>No Attunement Required, Adventuring Gear, 0</v>
      </c>
      <c r="L52" s="43" t="str">
        <f t="shared" si="2"/>
        <v>No Attunement Required</v>
      </c>
      <c r="M52" s="42"/>
      <c r="N52" s="42"/>
      <c r="O52" s="42"/>
      <c r="P52" s="42"/>
      <c r="Q52" s="42"/>
      <c r="S52" s="42"/>
      <c r="T52" s="42"/>
      <c r="U52" s="42"/>
      <c r="V52" s="42"/>
      <c r="W52" s="42"/>
      <c r="X52" s="42"/>
      <c r="Y52" s="42"/>
      <c r="Z52" s="42"/>
      <c r="AA52" s="42"/>
      <c r="AB52" s="44" t="s">
        <v>21</v>
      </c>
      <c r="AC52" s="42"/>
      <c r="AD52" s="42"/>
      <c r="AE52" s="42"/>
      <c r="AF52" s="42"/>
      <c r="AG52" s="42"/>
      <c r="AH52" s="42"/>
      <c r="AI52" s="42">
        <f t="shared" si="3"/>
        <v>0</v>
      </c>
      <c r="AJ52" s="42"/>
      <c r="AK52" s="42"/>
    </row>
    <row r="53">
      <c r="A53" s="41" t="s">
        <v>220</v>
      </c>
      <c r="B53" s="41" t="s">
        <v>117</v>
      </c>
      <c r="C53" s="41" t="s">
        <v>112</v>
      </c>
      <c r="D53" s="41" t="s">
        <v>21</v>
      </c>
      <c r="E53" s="42"/>
      <c r="F53" s="42"/>
      <c r="G53" s="42"/>
      <c r="H53" s="42"/>
      <c r="I53" s="41" t="s">
        <v>221</v>
      </c>
      <c r="J53" s="41" t="s">
        <v>115</v>
      </c>
      <c r="K53" s="43" t="str">
        <f t="shared" si="1"/>
        <v>No Attunement Required, Adventuring Gear, 0</v>
      </c>
      <c r="L53" s="43" t="str">
        <f t="shared" si="2"/>
        <v>No Attunement Required</v>
      </c>
      <c r="M53" s="42"/>
      <c r="N53" s="42"/>
      <c r="O53" s="42"/>
      <c r="P53" s="42"/>
      <c r="Q53" s="42"/>
      <c r="S53" s="44"/>
      <c r="T53" s="44"/>
      <c r="U53" s="42"/>
      <c r="V53" s="42"/>
      <c r="W53" s="42"/>
      <c r="X53" s="42"/>
      <c r="Y53" s="42"/>
      <c r="Z53" s="42"/>
      <c r="AA53" s="42"/>
      <c r="AB53" s="44" t="s">
        <v>21</v>
      </c>
      <c r="AC53" s="42"/>
      <c r="AD53" s="42"/>
      <c r="AE53" s="42"/>
      <c r="AF53" s="42"/>
      <c r="AG53" s="42"/>
      <c r="AH53" s="42"/>
      <c r="AI53" s="42">
        <f t="shared" si="3"/>
        <v>0</v>
      </c>
      <c r="AJ53" s="42"/>
      <c r="AK53" s="42"/>
    </row>
    <row r="54">
      <c r="A54" s="41" t="s">
        <v>222</v>
      </c>
      <c r="B54" s="41" t="s">
        <v>173</v>
      </c>
      <c r="C54" s="41" t="s">
        <v>112</v>
      </c>
      <c r="D54" s="41" t="s">
        <v>21</v>
      </c>
      <c r="E54" s="42"/>
      <c r="F54" s="42"/>
      <c r="G54" s="42"/>
      <c r="H54" s="42"/>
      <c r="I54" s="41" t="s">
        <v>223</v>
      </c>
      <c r="J54" s="41" t="s">
        <v>115</v>
      </c>
      <c r="K54" s="43" t="str">
        <f t="shared" si="1"/>
        <v>No Attunement Required, Adventuring Gear, 0</v>
      </c>
      <c r="L54" s="43" t="str">
        <f t="shared" si="2"/>
        <v>No Attunement Required</v>
      </c>
      <c r="M54" s="42"/>
      <c r="N54" s="42"/>
      <c r="O54" s="42"/>
      <c r="P54" s="42"/>
      <c r="Q54" s="42"/>
      <c r="S54" s="42"/>
      <c r="T54" s="42"/>
      <c r="U54" s="42"/>
      <c r="V54" s="42"/>
      <c r="W54" s="42"/>
      <c r="X54" s="42"/>
      <c r="Y54" s="42"/>
      <c r="Z54" s="42"/>
      <c r="AA54" s="42"/>
      <c r="AB54" s="44" t="s">
        <v>21</v>
      </c>
      <c r="AC54" s="42"/>
      <c r="AD54" s="42"/>
      <c r="AE54" s="42"/>
      <c r="AF54" s="42"/>
      <c r="AG54" s="42"/>
      <c r="AH54" s="42"/>
      <c r="AI54" s="42">
        <f t="shared" si="3"/>
        <v>0</v>
      </c>
      <c r="AJ54" s="42"/>
      <c r="AK54" s="42"/>
    </row>
    <row r="55">
      <c r="A55" s="41" t="s">
        <v>224</v>
      </c>
      <c r="B55" s="41" t="s">
        <v>117</v>
      </c>
      <c r="C55" s="41" t="s">
        <v>112</v>
      </c>
      <c r="D55" s="41" t="s">
        <v>21</v>
      </c>
      <c r="E55" s="42"/>
      <c r="F55" s="42"/>
      <c r="G55" s="42"/>
      <c r="H55" s="42"/>
      <c r="I55" s="41" t="s">
        <v>225</v>
      </c>
      <c r="J55" s="41" t="s">
        <v>115</v>
      </c>
      <c r="K55" s="43" t="str">
        <f t="shared" si="1"/>
        <v>No Attunement Required, Grants Advantage, Adventuring Gear, 0</v>
      </c>
      <c r="L55" s="43" t="str">
        <f t="shared" si="2"/>
        <v>No Attunement Required</v>
      </c>
      <c r="M55" s="44"/>
      <c r="N55" s="44"/>
      <c r="O55" s="42"/>
      <c r="P55" s="42"/>
      <c r="Q55" s="44"/>
      <c r="S55" s="42"/>
      <c r="T55" s="42"/>
      <c r="U55" s="44" t="s">
        <v>42</v>
      </c>
      <c r="V55" s="42"/>
      <c r="W55" s="42"/>
      <c r="X55" s="42"/>
      <c r="Y55" s="42"/>
      <c r="Z55" s="42"/>
      <c r="AA55" s="42"/>
      <c r="AB55" s="44" t="s">
        <v>21</v>
      </c>
      <c r="AC55" s="42"/>
      <c r="AD55" s="42"/>
      <c r="AE55" s="42"/>
      <c r="AF55" s="42"/>
      <c r="AG55" s="42"/>
      <c r="AH55" s="42"/>
      <c r="AI55" s="42">
        <f t="shared" si="3"/>
        <v>0</v>
      </c>
      <c r="AJ55" s="42"/>
      <c r="AK55" s="42"/>
    </row>
    <row r="56">
      <c r="A56" s="41" t="s">
        <v>226</v>
      </c>
      <c r="B56" s="41" t="s">
        <v>117</v>
      </c>
      <c r="C56" s="41" t="s">
        <v>112</v>
      </c>
      <c r="D56" s="41" t="s">
        <v>21</v>
      </c>
      <c r="E56" s="42"/>
      <c r="F56" s="42"/>
      <c r="G56" s="42"/>
      <c r="H56" s="42"/>
      <c r="I56" s="41" t="s">
        <v>227</v>
      </c>
      <c r="J56" s="41" t="s">
        <v>115</v>
      </c>
      <c r="K56" s="43" t="str">
        <f t="shared" si="1"/>
        <v>No Attunement Required, Imposes Disadvantage, Adventuring Gear, 0</v>
      </c>
      <c r="L56" s="43" t="str">
        <f t="shared" si="2"/>
        <v>No Attunement Required</v>
      </c>
      <c r="M56" s="42"/>
      <c r="N56" s="42"/>
      <c r="O56" s="42"/>
      <c r="P56" s="42"/>
      <c r="Q56" s="42"/>
      <c r="S56" s="42"/>
      <c r="T56" s="42"/>
      <c r="U56" s="44" t="s">
        <v>43</v>
      </c>
      <c r="V56" s="42"/>
      <c r="W56" s="42"/>
      <c r="X56" s="42"/>
      <c r="Y56" s="42"/>
      <c r="Z56" s="42"/>
      <c r="AA56" s="42"/>
      <c r="AB56" s="44" t="s">
        <v>21</v>
      </c>
      <c r="AC56" s="42"/>
      <c r="AD56" s="42"/>
      <c r="AE56" s="42"/>
      <c r="AF56" s="42"/>
      <c r="AG56" s="42"/>
      <c r="AH56" s="42"/>
      <c r="AI56" s="42">
        <f t="shared" si="3"/>
        <v>0</v>
      </c>
      <c r="AJ56" s="42"/>
      <c r="AK56" s="42"/>
    </row>
    <row r="57">
      <c r="A57" s="41" t="s">
        <v>228</v>
      </c>
      <c r="B57" s="41" t="s">
        <v>117</v>
      </c>
      <c r="C57" s="41" t="s">
        <v>112</v>
      </c>
      <c r="D57" s="41" t="s">
        <v>21</v>
      </c>
      <c r="E57" s="42"/>
      <c r="F57" s="42"/>
      <c r="G57" s="42"/>
      <c r="H57" s="42"/>
      <c r="I57" s="41" t="s">
        <v>229</v>
      </c>
      <c r="J57" s="41" t="s">
        <v>115</v>
      </c>
      <c r="K57" s="43" t="str">
        <f t="shared" si="1"/>
        <v>No Attunement Required, Adventuring Gear, 0</v>
      </c>
      <c r="L57" s="43" t="str">
        <f t="shared" si="2"/>
        <v>No Attunement Required</v>
      </c>
      <c r="M57" s="42"/>
      <c r="N57" s="42"/>
      <c r="O57" s="42"/>
      <c r="P57" s="42"/>
      <c r="Q57" s="42"/>
      <c r="S57" s="42"/>
      <c r="T57" s="42"/>
      <c r="U57" s="42"/>
      <c r="V57" s="42"/>
      <c r="W57" s="42"/>
      <c r="X57" s="42"/>
      <c r="Y57" s="42"/>
      <c r="Z57" s="42"/>
      <c r="AA57" s="42"/>
      <c r="AB57" s="44" t="s">
        <v>21</v>
      </c>
      <c r="AC57" s="42"/>
      <c r="AD57" s="42"/>
      <c r="AE57" s="42"/>
      <c r="AF57" s="42"/>
      <c r="AG57" s="42"/>
      <c r="AH57" s="42"/>
      <c r="AI57" s="42">
        <f t="shared" si="3"/>
        <v>0</v>
      </c>
      <c r="AJ57" s="42"/>
      <c r="AK57" s="42"/>
    </row>
    <row r="58">
      <c r="A58" s="41" t="s">
        <v>230</v>
      </c>
      <c r="B58" s="41" t="s">
        <v>117</v>
      </c>
      <c r="C58" s="41" t="s">
        <v>112</v>
      </c>
      <c r="D58" s="41" t="s">
        <v>21</v>
      </c>
      <c r="E58" s="42"/>
      <c r="F58" s="42"/>
      <c r="G58" s="42"/>
      <c r="H58" s="42"/>
      <c r="I58" s="41" t="s">
        <v>231</v>
      </c>
      <c r="J58" s="41" t="s">
        <v>115</v>
      </c>
      <c r="K58" s="43" t="str">
        <f t="shared" si="1"/>
        <v>No Attunement Required, Adventuring Gear, 0</v>
      </c>
      <c r="L58" s="43" t="str">
        <f t="shared" si="2"/>
        <v>No Attunement Required</v>
      </c>
      <c r="M58" s="42"/>
      <c r="N58" s="42"/>
      <c r="O58" s="42"/>
      <c r="P58" s="42"/>
      <c r="Q58" s="42"/>
      <c r="S58" s="42"/>
      <c r="T58" s="42"/>
      <c r="U58" s="42"/>
      <c r="V58" s="42"/>
      <c r="W58" s="42"/>
      <c r="X58" s="42"/>
      <c r="Y58" s="42"/>
      <c r="Z58" s="42"/>
      <c r="AA58" s="42"/>
      <c r="AB58" s="44" t="s">
        <v>21</v>
      </c>
      <c r="AC58" s="42"/>
      <c r="AD58" s="42"/>
      <c r="AE58" s="42"/>
      <c r="AF58" s="42"/>
      <c r="AG58" s="42"/>
      <c r="AH58" s="42"/>
      <c r="AI58" s="42">
        <f t="shared" si="3"/>
        <v>0</v>
      </c>
      <c r="AJ58" s="42"/>
      <c r="AK58" s="42"/>
    </row>
    <row r="59">
      <c r="A59" s="41" t="s">
        <v>232</v>
      </c>
      <c r="B59" s="41" t="s">
        <v>153</v>
      </c>
      <c r="C59" s="41" t="s">
        <v>112</v>
      </c>
      <c r="D59" s="41" t="s">
        <v>21</v>
      </c>
      <c r="E59" s="42"/>
      <c r="F59" s="42"/>
      <c r="G59" s="42"/>
      <c r="H59" s="42"/>
      <c r="I59" s="41" t="s">
        <v>233</v>
      </c>
      <c r="J59" s="41" t="s">
        <v>115</v>
      </c>
      <c r="K59" s="43" t="str">
        <f t="shared" si="1"/>
        <v>No Attunement Required, Adventuring Gear, 0</v>
      </c>
      <c r="L59" s="43" t="str">
        <f t="shared" si="2"/>
        <v>No Attunement Required</v>
      </c>
      <c r="M59" s="42"/>
      <c r="N59" s="42"/>
      <c r="O59" s="42"/>
      <c r="P59" s="42"/>
      <c r="Q59" s="44"/>
      <c r="S59" s="42"/>
      <c r="T59" s="42"/>
      <c r="U59" s="42"/>
      <c r="V59" s="42"/>
      <c r="W59" s="42"/>
      <c r="X59" s="42"/>
      <c r="Y59" s="42"/>
      <c r="Z59" s="42"/>
      <c r="AA59" s="42"/>
      <c r="AB59" s="44" t="s">
        <v>21</v>
      </c>
      <c r="AC59" s="42"/>
      <c r="AD59" s="42"/>
      <c r="AE59" s="42"/>
      <c r="AF59" s="42"/>
      <c r="AG59" s="42"/>
      <c r="AH59" s="42"/>
      <c r="AI59" s="42">
        <f t="shared" si="3"/>
        <v>0</v>
      </c>
      <c r="AJ59" s="42"/>
      <c r="AK59" s="42"/>
    </row>
    <row r="60">
      <c r="A60" s="41" t="s">
        <v>234</v>
      </c>
      <c r="B60" s="41" t="s">
        <v>153</v>
      </c>
      <c r="C60" s="41" t="s">
        <v>112</v>
      </c>
      <c r="D60" s="41" t="s">
        <v>21</v>
      </c>
      <c r="E60" s="42"/>
      <c r="F60" s="42"/>
      <c r="G60" s="42"/>
      <c r="H60" s="42"/>
      <c r="I60" s="41" t="s">
        <v>235</v>
      </c>
      <c r="J60" s="41" t="s">
        <v>115</v>
      </c>
      <c r="K60" s="43" t="str">
        <f t="shared" si="1"/>
        <v>No Attunement Required, Adventuring Gear, 0</v>
      </c>
      <c r="L60" s="43" t="str">
        <f t="shared" si="2"/>
        <v>No Attunement Required</v>
      </c>
      <c r="M60" s="42"/>
      <c r="N60" s="42"/>
      <c r="O60" s="42"/>
      <c r="P60" s="42"/>
      <c r="Q60" s="42"/>
      <c r="S60" s="42"/>
      <c r="T60" s="42"/>
      <c r="U60" s="42"/>
      <c r="V60" s="42"/>
      <c r="W60" s="42"/>
      <c r="X60" s="42"/>
      <c r="Y60" s="42"/>
      <c r="Z60" s="42"/>
      <c r="AA60" s="42"/>
      <c r="AB60" s="44" t="s">
        <v>21</v>
      </c>
      <c r="AC60" s="42"/>
      <c r="AD60" s="42"/>
      <c r="AE60" s="42"/>
      <c r="AF60" s="42"/>
      <c r="AG60" s="42"/>
      <c r="AH60" s="42"/>
      <c r="AI60" s="42">
        <f t="shared" si="3"/>
        <v>0</v>
      </c>
      <c r="AJ60" s="42"/>
      <c r="AK60" s="42"/>
    </row>
    <row r="61">
      <c r="A61" s="41" t="s">
        <v>236</v>
      </c>
      <c r="B61" s="41" t="s">
        <v>117</v>
      </c>
      <c r="C61" s="41" t="s">
        <v>112</v>
      </c>
      <c r="D61" s="41" t="s">
        <v>21</v>
      </c>
      <c r="E61" s="42"/>
      <c r="F61" s="42"/>
      <c r="G61" s="42"/>
      <c r="H61" s="42"/>
      <c r="I61" s="41" t="s">
        <v>237</v>
      </c>
      <c r="J61" s="41" t="s">
        <v>115</v>
      </c>
      <c r="K61" s="43" t="str">
        <f t="shared" si="1"/>
        <v>No Attunement Required, Adventuring Gear, 0</v>
      </c>
      <c r="L61" s="43" t="str">
        <f t="shared" si="2"/>
        <v>No Attunement Required</v>
      </c>
      <c r="M61" s="42"/>
      <c r="N61" s="42"/>
      <c r="O61" s="42"/>
      <c r="P61" s="42"/>
      <c r="Q61" s="42"/>
      <c r="S61" s="42"/>
      <c r="T61" s="42"/>
      <c r="U61" s="42"/>
      <c r="V61" s="42"/>
      <c r="W61" s="42"/>
      <c r="X61" s="42"/>
      <c r="Y61" s="42"/>
      <c r="Z61" s="42"/>
      <c r="AA61" s="42"/>
      <c r="AB61" s="44" t="s">
        <v>21</v>
      </c>
      <c r="AC61" s="42"/>
      <c r="AD61" s="42"/>
      <c r="AE61" s="42"/>
      <c r="AF61" s="42"/>
      <c r="AG61" s="42"/>
      <c r="AH61" s="42"/>
      <c r="AI61" s="42">
        <f t="shared" si="3"/>
        <v>0</v>
      </c>
      <c r="AJ61" s="42"/>
      <c r="AK61" s="42"/>
    </row>
    <row r="62">
      <c r="A62" s="41" t="s">
        <v>238</v>
      </c>
      <c r="B62" s="41" t="s">
        <v>173</v>
      </c>
      <c r="C62" s="41" t="s">
        <v>112</v>
      </c>
      <c r="D62" s="41" t="s">
        <v>21</v>
      </c>
      <c r="E62" s="42"/>
      <c r="F62" s="42"/>
      <c r="G62" s="42"/>
      <c r="H62" s="42"/>
      <c r="I62" s="41" t="s">
        <v>239</v>
      </c>
      <c r="J62" s="41" t="s">
        <v>115</v>
      </c>
      <c r="K62" s="43" t="str">
        <f t="shared" si="1"/>
        <v>No Attunement Required, Adventuring Gear, 0</v>
      </c>
      <c r="L62" s="43" t="str">
        <f t="shared" si="2"/>
        <v>No Attunement Required</v>
      </c>
      <c r="M62" s="42"/>
      <c r="N62" s="42"/>
      <c r="O62" s="42"/>
      <c r="P62" s="42"/>
      <c r="Q62" s="42"/>
      <c r="S62" s="44"/>
      <c r="T62" s="44"/>
      <c r="U62" s="42"/>
      <c r="V62" s="42"/>
      <c r="W62" s="42"/>
      <c r="X62" s="42"/>
      <c r="Y62" s="42"/>
      <c r="Z62" s="42"/>
      <c r="AA62" s="42"/>
      <c r="AB62" s="44" t="s">
        <v>21</v>
      </c>
      <c r="AC62" s="42"/>
      <c r="AD62" s="42"/>
      <c r="AE62" s="42"/>
      <c r="AF62" s="42"/>
      <c r="AG62" s="42"/>
      <c r="AH62" s="42"/>
      <c r="AI62" s="42">
        <f t="shared" si="3"/>
        <v>0</v>
      </c>
      <c r="AJ62" s="42"/>
      <c r="AK62" s="42"/>
    </row>
    <row r="63">
      <c r="A63" s="41" t="s">
        <v>240</v>
      </c>
      <c r="B63" s="41" t="s">
        <v>241</v>
      </c>
      <c r="C63" s="41" t="s">
        <v>112</v>
      </c>
      <c r="D63" s="41" t="s">
        <v>21</v>
      </c>
      <c r="E63" s="42"/>
      <c r="F63" s="42"/>
      <c r="G63" s="42"/>
      <c r="H63" s="42"/>
      <c r="I63" s="41" t="s">
        <v>242</v>
      </c>
      <c r="J63" s="41" t="s">
        <v>115</v>
      </c>
      <c r="K63" s="43" t="str">
        <f t="shared" si="1"/>
        <v>No Attunement Required, Adventuring Gear, 0</v>
      </c>
      <c r="L63" s="43" t="str">
        <f t="shared" si="2"/>
        <v>No Attunement Required</v>
      </c>
      <c r="M63" s="42"/>
      <c r="N63" s="42"/>
      <c r="O63" s="42"/>
      <c r="P63" s="42"/>
      <c r="Q63" s="42"/>
      <c r="S63" s="42"/>
      <c r="T63" s="42"/>
      <c r="U63" s="42"/>
      <c r="V63" s="42"/>
      <c r="W63" s="42"/>
      <c r="X63" s="42"/>
      <c r="Y63" s="42"/>
      <c r="Z63" s="42"/>
      <c r="AA63" s="42"/>
      <c r="AB63" s="44" t="s">
        <v>21</v>
      </c>
      <c r="AC63" s="42"/>
      <c r="AD63" s="42"/>
      <c r="AE63" s="42"/>
      <c r="AF63" s="42"/>
      <c r="AG63" s="42"/>
      <c r="AH63" s="42"/>
      <c r="AI63" s="42">
        <f t="shared" si="3"/>
        <v>0</v>
      </c>
      <c r="AJ63" s="42"/>
      <c r="AK63" s="42"/>
    </row>
    <row r="64">
      <c r="A64" s="41" t="s">
        <v>243</v>
      </c>
      <c r="B64" s="41" t="s">
        <v>117</v>
      </c>
      <c r="C64" s="41" t="s">
        <v>112</v>
      </c>
      <c r="D64" s="41" t="s">
        <v>21</v>
      </c>
      <c r="E64" s="42"/>
      <c r="F64" s="42"/>
      <c r="G64" s="42"/>
      <c r="H64" s="42"/>
      <c r="I64" s="41" t="s">
        <v>244</v>
      </c>
      <c r="J64" s="41" t="s">
        <v>115</v>
      </c>
      <c r="K64" s="43" t="str">
        <f t="shared" si="1"/>
        <v>No Attunement Required, Adventuring Gear, 0</v>
      </c>
      <c r="L64" s="43" t="str">
        <f t="shared" si="2"/>
        <v>No Attunement Required</v>
      </c>
      <c r="M64" s="42"/>
      <c r="N64" s="42"/>
      <c r="O64" s="42"/>
      <c r="P64" s="42"/>
      <c r="Q64" s="42"/>
      <c r="S64" s="44"/>
      <c r="T64" s="44"/>
      <c r="U64" s="42"/>
      <c r="V64" s="42"/>
      <c r="W64" s="42"/>
      <c r="X64" s="42"/>
      <c r="Y64" s="42"/>
      <c r="Z64" s="42"/>
      <c r="AA64" s="42"/>
      <c r="AB64" s="44" t="s">
        <v>21</v>
      </c>
      <c r="AC64" s="42"/>
      <c r="AD64" s="42"/>
      <c r="AE64" s="42"/>
      <c r="AF64" s="42"/>
      <c r="AG64" s="42"/>
      <c r="AH64" s="42"/>
      <c r="AI64" s="42">
        <f t="shared" si="3"/>
        <v>0</v>
      </c>
      <c r="AJ64" s="42"/>
      <c r="AK64" s="42"/>
    </row>
    <row r="65">
      <c r="A65" s="41" t="s">
        <v>245</v>
      </c>
      <c r="B65" s="41" t="s">
        <v>117</v>
      </c>
      <c r="C65" s="41" t="s">
        <v>112</v>
      </c>
      <c r="D65" s="41" t="s">
        <v>21</v>
      </c>
      <c r="E65" s="42"/>
      <c r="F65" s="42"/>
      <c r="G65" s="42"/>
      <c r="H65" s="42"/>
      <c r="I65" s="41" t="s">
        <v>246</v>
      </c>
      <c r="J65" s="41" t="s">
        <v>115</v>
      </c>
      <c r="K65" s="43" t="str">
        <f t="shared" si="1"/>
        <v>No Attunement Required, Adventuring Gear, 0</v>
      </c>
      <c r="L65" s="43" t="str">
        <f t="shared" si="2"/>
        <v>No Attunement Required</v>
      </c>
      <c r="M65" s="42"/>
      <c r="N65" s="42"/>
      <c r="O65" s="42"/>
      <c r="P65" s="42"/>
      <c r="Q65" s="42"/>
      <c r="S65" s="42"/>
      <c r="T65" s="42"/>
      <c r="U65" s="42"/>
      <c r="V65" s="42"/>
      <c r="W65" s="42"/>
      <c r="X65" s="42"/>
      <c r="Y65" s="42"/>
      <c r="Z65" s="42"/>
      <c r="AA65" s="42"/>
      <c r="AB65" s="44" t="s">
        <v>21</v>
      </c>
      <c r="AC65" s="42"/>
      <c r="AD65" s="42"/>
      <c r="AE65" s="42"/>
      <c r="AF65" s="42"/>
      <c r="AG65" s="42"/>
      <c r="AH65" s="42"/>
      <c r="AI65" s="42">
        <f t="shared" si="3"/>
        <v>0</v>
      </c>
      <c r="AJ65" s="42"/>
      <c r="AK65" s="42"/>
    </row>
    <row r="66">
      <c r="A66" s="41" t="s">
        <v>247</v>
      </c>
      <c r="B66" s="41" t="s">
        <v>117</v>
      </c>
      <c r="C66" s="41" t="s">
        <v>112</v>
      </c>
      <c r="D66" s="41" t="s">
        <v>21</v>
      </c>
      <c r="E66" s="42"/>
      <c r="F66" s="42"/>
      <c r="G66" s="42"/>
      <c r="H66" s="42"/>
      <c r="I66" s="41" t="s">
        <v>248</v>
      </c>
      <c r="J66" s="41" t="s">
        <v>115</v>
      </c>
      <c r="K66" s="43" t="str">
        <f t="shared" si="1"/>
        <v>No Attunement Required, Adventuring Gear, 0</v>
      </c>
      <c r="L66" s="43" t="str">
        <f t="shared" si="2"/>
        <v>No Attunement Required</v>
      </c>
      <c r="M66" s="42"/>
      <c r="N66" s="42"/>
      <c r="O66" s="42"/>
      <c r="P66" s="42"/>
      <c r="Q66" s="42"/>
      <c r="S66" s="42"/>
      <c r="T66" s="42"/>
      <c r="U66" s="42"/>
      <c r="V66" s="42"/>
      <c r="W66" s="42"/>
      <c r="X66" s="42"/>
      <c r="Y66" s="42"/>
      <c r="Z66" s="42"/>
      <c r="AA66" s="42"/>
      <c r="AB66" s="44" t="s">
        <v>21</v>
      </c>
      <c r="AC66" s="42"/>
      <c r="AD66" s="42"/>
      <c r="AE66" s="42"/>
      <c r="AF66" s="42"/>
      <c r="AG66" s="42"/>
      <c r="AH66" s="42"/>
      <c r="AI66" s="42">
        <f t="shared" si="3"/>
        <v>0</v>
      </c>
      <c r="AJ66" s="42"/>
      <c r="AK66" s="42"/>
    </row>
    <row r="67">
      <c r="A67" s="41" t="s">
        <v>249</v>
      </c>
      <c r="B67" s="41" t="s">
        <v>117</v>
      </c>
      <c r="C67" s="41" t="s">
        <v>112</v>
      </c>
      <c r="D67" s="41" t="s">
        <v>21</v>
      </c>
      <c r="E67" s="42"/>
      <c r="F67" s="42"/>
      <c r="G67" s="42"/>
      <c r="H67" s="42"/>
      <c r="I67" s="41" t="s">
        <v>250</v>
      </c>
      <c r="J67" s="41" t="s">
        <v>115</v>
      </c>
      <c r="K67" s="43" t="str">
        <f t="shared" si="1"/>
        <v>No Attunement Required, Grants Advantage, Adventuring Gear, 0</v>
      </c>
      <c r="L67" s="43" t="str">
        <f t="shared" si="2"/>
        <v>No Attunement Required</v>
      </c>
      <c r="M67" s="42"/>
      <c r="N67" s="42"/>
      <c r="O67" s="42"/>
      <c r="P67" s="42"/>
      <c r="Q67" s="42"/>
      <c r="S67" s="42"/>
      <c r="T67" s="42"/>
      <c r="U67" s="44" t="s">
        <v>42</v>
      </c>
      <c r="V67" s="42"/>
      <c r="W67" s="42"/>
      <c r="X67" s="42"/>
      <c r="Y67" s="42"/>
      <c r="Z67" s="42"/>
      <c r="AA67" s="42"/>
      <c r="AB67" s="44" t="s">
        <v>21</v>
      </c>
      <c r="AC67" s="42"/>
      <c r="AD67" s="42"/>
      <c r="AE67" s="42"/>
      <c r="AF67" s="42"/>
      <c r="AG67" s="42"/>
      <c r="AH67" s="42"/>
      <c r="AI67" s="42">
        <f t="shared" si="3"/>
        <v>0</v>
      </c>
      <c r="AJ67" s="42"/>
      <c r="AK67" s="42"/>
    </row>
    <row r="68">
      <c r="A68" s="41" t="s">
        <v>251</v>
      </c>
      <c r="B68" s="41" t="s">
        <v>153</v>
      </c>
      <c r="C68" s="41" t="s">
        <v>112</v>
      </c>
      <c r="D68" s="41" t="s">
        <v>21</v>
      </c>
      <c r="E68" s="42"/>
      <c r="F68" s="42"/>
      <c r="G68" s="42"/>
      <c r="H68" s="42"/>
      <c r="I68" s="41" t="s">
        <v>252</v>
      </c>
      <c r="J68" s="41" t="s">
        <v>115</v>
      </c>
      <c r="K68" s="43" t="str">
        <f t="shared" si="1"/>
        <v>No Attunement Required, Adventuring Gear, 0</v>
      </c>
      <c r="L68" s="43" t="str">
        <f t="shared" si="2"/>
        <v>No Attunement Required</v>
      </c>
      <c r="M68" s="42"/>
      <c r="N68" s="42"/>
      <c r="O68" s="42"/>
      <c r="P68" s="42"/>
      <c r="Q68" s="42"/>
      <c r="S68" s="42"/>
      <c r="T68" s="42"/>
      <c r="U68" s="42"/>
      <c r="V68" s="42"/>
      <c r="W68" s="42"/>
      <c r="X68" s="42"/>
      <c r="Y68" s="42"/>
      <c r="Z68" s="42"/>
      <c r="AA68" s="42"/>
      <c r="AB68" s="44" t="s">
        <v>21</v>
      </c>
      <c r="AC68" s="42"/>
      <c r="AD68" s="42"/>
      <c r="AE68" s="42"/>
      <c r="AF68" s="42"/>
      <c r="AG68" s="42"/>
      <c r="AH68" s="42"/>
      <c r="AI68" s="42">
        <f t="shared" si="3"/>
        <v>0</v>
      </c>
      <c r="AJ68" s="42"/>
      <c r="AK68" s="42"/>
    </row>
    <row r="69">
      <c r="A69" s="41" t="s">
        <v>253</v>
      </c>
      <c r="B69" s="41" t="s">
        <v>117</v>
      </c>
      <c r="C69" s="41" t="s">
        <v>112</v>
      </c>
      <c r="D69" s="41" t="s">
        <v>21</v>
      </c>
      <c r="E69" s="42"/>
      <c r="F69" s="42"/>
      <c r="G69" s="42"/>
      <c r="H69" s="42"/>
      <c r="I69" s="41" t="s">
        <v>254</v>
      </c>
      <c r="J69" s="41" t="s">
        <v>115</v>
      </c>
      <c r="K69" s="43" t="str">
        <f t="shared" si="1"/>
        <v>No Attunement Required, Grants Advantage, Adventuring Gear, 0</v>
      </c>
      <c r="L69" s="43" t="str">
        <f t="shared" si="2"/>
        <v>No Attunement Required</v>
      </c>
      <c r="M69" s="42"/>
      <c r="N69" s="42"/>
      <c r="O69" s="42"/>
      <c r="P69" s="42"/>
      <c r="Q69" s="42"/>
      <c r="S69" s="42"/>
      <c r="T69" s="42"/>
      <c r="U69" s="44" t="s">
        <v>42</v>
      </c>
      <c r="V69" s="42"/>
      <c r="W69" s="42"/>
      <c r="X69" s="42"/>
      <c r="Y69" s="42"/>
      <c r="Z69" s="42"/>
      <c r="AA69" s="42"/>
      <c r="AB69" s="44" t="s">
        <v>21</v>
      </c>
      <c r="AC69" s="42"/>
      <c r="AD69" s="42"/>
      <c r="AE69" s="42"/>
      <c r="AF69" s="42"/>
      <c r="AG69" s="42"/>
      <c r="AH69" s="42"/>
      <c r="AI69" s="42">
        <f t="shared" si="3"/>
        <v>0</v>
      </c>
      <c r="AJ69" s="42"/>
      <c r="AK69" s="42"/>
    </row>
    <row r="70">
      <c r="A70" s="41" t="s">
        <v>255</v>
      </c>
      <c r="B70" s="41" t="s">
        <v>117</v>
      </c>
      <c r="C70" s="41" t="s">
        <v>112</v>
      </c>
      <c r="D70" s="41" t="s">
        <v>21</v>
      </c>
      <c r="E70" s="42"/>
      <c r="F70" s="42"/>
      <c r="G70" s="42"/>
      <c r="H70" s="42"/>
      <c r="I70" s="41" t="s">
        <v>256</v>
      </c>
      <c r="J70" s="41" t="s">
        <v>115</v>
      </c>
      <c r="K70" s="43" t="str">
        <f t="shared" si="1"/>
        <v>No Attunement Required, Grants Advantage, Adventuring Gear, 0</v>
      </c>
      <c r="L70" s="43" t="str">
        <f t="shared" si="2"/>
        <v>No Attunement Required</v>
      </c>
      <c r="M70" s="44"/>
      <c r="N70" s="44"/>
      <c r="O70" s="42"/>
      <c r="P70" s="42"/>
      <c r="Q70" s="42"/>
      <c r="S70" s="42"/>
      <c r="T70" s="42"/>
      <c r="U70" s="44" t="s">
        <v>42</v>
      </c>
      <c r="V70" s="42"/>
      <c r="W70" s="42"/>
      <c r="X70" s="42"/>
      <c r="Y70" s="42"/>
      <c r="Z70" s="42"/>
      <c r="AA70" s="42"/>
      <c r="AB70" s="44" t="s">
        <v>21</v>
      </c>
      <c r="AC70" s="42"/>
      <c r="AD70" s="42"/>
      <c r="AE70" s="42"/>
      <c r="AF70" s="42"/>
      <c r="AG70" s="42"/>
      <c r="AH70" s="42"/>
      <c r="AI70" s="42">
        <f t="shared" si="3"/>
        <v>0</v>
      </c>
      <c r="AJ70" s="42"/>
      <c r="AK70" s="42"/>
    </row>
    <row r="71">
      <c r="A71" s="41" t="s">
        <v>257</v>
      </c>
      <c r="B71" s="41" t="s">
        <v>117</v>
      </c>
      <c r="C71" s="41" t="s">
        <v>112</v>
      </c>
      <c r="D71" s="41" t="s">
        <v>21</v>
      </c>
      <c r="E71" s="42"/>
      <c r="F71" s="42"/>
      <c r="G71" s="42"/>
      <c r="H71" s="42"/>
      <c r="I71" s="41" t="s">
        <v>258</v>
      </c>
      <c r="J71" s="41" t="s">
        <v>115</v>
      </c>
      <c r="K71" s="43" t="str">
        <f t="shared" si="1"/>
        <v>No Attunement Required, Adventuring Gear, 0</v>
      </c>
      <c r="L71" s="43" t="str">
        <f t="shared" si="2"/>
        <v>No Attunement Required</v>
      </c>
      <c r="M71" s="42"/>
      <c r="N71" s="42"/>
      <c r="O71" s="42"/>
      <c r="P71" s="42"/>
      <c r="Q71" s="42"/>
      <c r="S71" s="42"/>
      <c r="T71" s="42"/>
      <c r="U71" s="42"/>
      <c r="V71" s="42"/>
      <c r="W71" s="42"/>
      <c r="X71" s="42"/>
      <c r="Y71" s="42"/>
      <c r="Z71" s="42"/>
      <c r="AA71" s="42"/>
      <c r="AB71" s="44" t="s">
        <v>21</v>
      </c>
      <c r="AC71" s="42"/>
      <c r="AD71" s="42"/>
      <c r="AE71" s="42"/>
      <c r="AF71" s="42"/>
      <c r="AG71" s="42"/>
      <c r="AH71" s="42"/>
      <c r="AI71" s="42">
        <f t="shared" si="3"/>
        <v>0</v>
      </c>
      <c r="AJ71" s="42"/>
      <c r="AK71" s="42"/>
    </row>
    <row r="72">
      <c r="A72" s="41" t="s">
        <v>259</v>
      </c>
      <c r="B72" s="41" t="s">
        <v>117</v>
      </c>
      <c r="C72" s="41" t="s">
        <v>112</v>
      </c>
      <c r="D72" s="41" t="s">
        <v>21</v>
      </c>
      <c r="E72" s="42"/>
      <c r="F72" s="42"/>
      <c r="G72" s="42"/>
      <c r="H72" s="42"/>
      <c r="I72" s="41" t="s">
        <v>260</v>
      </c>
      <c r="J72" s="41" t="s">
        <v>115</v>
      </c>
      <c r="K72" s="43" t="str">
        <f t="shared" si="1"/>
        <v>No Attunement Required, Adventuring Gear, 0</v>
      </c>
      <c r="L72" s="43" t="str">
        <f t="shared" si="2"/>
        <v>No Attunement Required</v>
      </c>
      <c r="M72" s="42"/>
      <c r="N72" s="42"/>
      <c r="O72" s="42"/>
      <c r="P72" s="42"/>
      <c r="Q72" s="42"/>
      <c r="S72" s="42"/>
      <c r="T72" s="42"/>
      <c r="U72" s="42"/>
      <c r="V72" s="42"/>
      <c r="W72" s="42"/>
      <c r="X72" s="42"/>
      <c r="Y72" s="42"/>
      <c r="Z72" s="42"/>
      <c r="AA72" s="42"/>
      <c r="AB72" s="44" t="s">
        <v>21</v>
      </c>
      <c r="AC72" s="42"/>
      <c r="AD72" s="42"/>
      <c r="AE72" s="42"/>
      <c r="AF72" s="42"/>
      <c r="AG72" s="42"/>
      <c r="AH72" s="42"/>
      <c r="AI72" s="42">
        <f t="shared" si="3"/>
        <v>0</v>
      </c>
      <c r="AJ72" s="42"/>
      <c r="AK72" s="42"/>
    </row>
    <row r="73">
      <c r="A73" s="41" t="s">
        <v>261</v>
      </c>
      <c r="B73" s="41" t="s">
        <v>117</v>
      </c>
      <c r="C73" s="41" t="s">
        <v>112</v>
      </c>
      <c r="D73" s="41" t="s">
        <v>21</v>
      </c>
      <c r="E73" s="42"/>
      <c r="F73" s="42"/>
      <c r="G73" s="42"/>
      <c r="H73" s="42"/>
      <c r="I73" s="41" t="s">
        <v>262</v>
      </c>
      <c r="J73" s="41" t="s">
        <v>115</v>
      </c>
      <c r="K73" s="43" t="str">
        <f t="shared" si="1"/>
        <v>No Attunement Required, Adventuring Gear, 0</v>
      </c>
      <c r="L73" s="43" t="str">
        <f t="shared" si="2"/>
        <v>No Attunement Required</v>
      </c>
      <c r="M73" s="42"/>
      <c r="N73" s="42"/>
      <c r="O73" s="42"/>
      <c r="P73" s="42"/>
      <c r="Q73" s="44"/>
      <c r="S73" s="42"/>
      <c r="T73" s="42"/>
      <c r="U73" s="42"/>
      <c r="V73" s="42"/>
      <c r="W73" s="42"/>
      <c r="X73" s="42"/>
      <c r="Y73" s="42"/>
      <c r="Z73" s="42"/>
      <c r="AA73" s="42"/>
      <c r="AB73" s="44" t="s">
        <v>21</v>
      </c>
      <c r="AC73" s="42"/>
      <c r="AD73" s="42"/>
      <c r="AE73" s="42"/>
      <c r="AF73" s="42"/>
      <c r="AG73" s="42"/>
      <c r="AH73" s="42"/>
      <c r="AI73" s="42">
        <f t="shared" si="3"/>
        <v>0</v>
      </c>
      <c r="AJ73" s="42"/>
      <c r="AK73" s="42"/>
    </row>
    <row r="74">
      <c r="A74" s="41" t="s">
        <v>263</v>
      </c>
      <c r="B74" s="41" t="s">
        <v>117</v>
      </c>
      <c r="C74" s="41" t="s">
        <v>112</v>
      </c>
      <c r="D74" s="41" t="s">
        <v>21</v>
      </c>
      <c r="E74" s="42"/>
      <c r="F74" s="42"/>
      <c r="G74" s="42"/>
      <c r="H74" s="42"/>
      <c r="I74" s="41" t="s">
        <v>264</v>
      </c>
      <c r="J74" s="41" t="s">
        <v>115</v>
      </c>
      <c r="K74" s="43" t="str">
        <f t="shared" si="1"/>
        <v>No Attunement Required, Adventuring Gear, 0</v>
      </c>
      <c r="L74" s="43" t="str">
        <f t="shared" si="2"/>
        <v>No Attunement Required</v>
      </c>
      <c r="M74" s="42"/>
      <c r="N74" s="42"/>
      <c r="O74" s="42"/>
      <c r="P74" s="42"/>
      <c r="Q74" s="44"/>
      <c r="S74" s="42"/>
      <c r="T74" s="42"/>
      <c r="U74" s="42"/>
      <c r="V74" s="42"/>
      <c r="W74" s="42"/>
      <c r="X74" s="42"/>
      <c r="Y74" s="42"/>
      <c r="Z74" s="42"/>
      <c r="AA74" s="42"/>
      <c r="AB74" s="44" t="s">
        <v>21</v>
      </c>
      <c r="AC74" s="42"/>
      <c r="AD74" s="42"/>
      <c r="AE74" s="42"/>
      <c r="AF74" s="42"/>
      <c r="AG74" s="42"/>
      <c r="AH74" s="42"/>
      <c r="AI74" s="42">
        <f t="shared" si="3"/>
        <v>0</v>
      </c>
      <c r="AJ74" s="42"/>
      <c r="AK74" s="42"/>
    </row>
    <row r="75">
      <c r="A75" s="41" t="s">
        <v>265</v>
      </c>
      <c r="B75" s="41" t="s">
        <v>117</v>
      </c>
      <c r="C75" s="41" t="s">
        <v>112</v>
      </c>
      <c r="D75" s="41" t="s">
        <v>21</v>
      </c>
      <c r="E75" s="42"/>
      <c r="F75" s="42"/>
      <c r="G75" s="42"/>
      <c r="H75" s="42"/>
      <c r="I75" s="41" t="s">
        <v>266</v>
      </c>
      <c r="J75" s="41" t="s">
        <v>115</v>
      </c>
      <c r="K75" s="43" t="str">
        <f t="shared" si="1"/>
        <v>No Attunement Required, Adventuring Gear, 0</v>
      </c>
      <c r="L75" s="43" t="str">
        <f t="shared" si="2"/>
        <v>No Attunement Required</v>
      </c>
      <c r="M75" s="42"/>
      <c r="N75" s="42"/>
      <c r="O75" s="42"/>
      <c r="P75" s="42"/>
      <c r="Q75" s="42"/>
      <c r="S75" s="42"/>
      <c r="T75" s="42"/>
      <c r="U75" s="42"/>
      <c r="V75" s="42"/>
      <c r="W75" s="42"/>
      <c r="X75" s="42"/>
      <c r="Y75" s="42"/>
      <c r="Z75" s="42"/>
      <c r="AA75" s="42"/>
      <c r="AB75" s="44" t="s">
        <v>21</v>
      </c>
      <c r="AC75" s="42"/>
      <c r="AD75" s="42"/>
      <c r="AE75" s="42"/>
      <c r="AF75" s="42"/>
      <c r="AG75" s="42"/>
      <c r="AH75" s="42"/>
      <c r="AI75" s="42">
        <f t="shared" si="3"/>
        <v>0</v>
      </c>
      <c r="AJ75" s="42"/>
      <c r="AK75" s="42"/>
    </row>
    <row r="76">
      <c r="A76" s="41" t="s">
        <v>267</v>
      </c>
      <c r="B76" s="41" t="s">
        <v>117</v>
      </c>
      <c r="C76" s="41" t="s">
        <v>112</v>
      </c>
      <c r="D76" s="41" t="s">
        <v>21</v>
      </c>
      <c r="E76" s="42"/>
      <c r="F76" s="42"/>
      <c r="G76" s="42"/>
      <c r="H76" s="42"/>
      <c r="I76" s="41" t="s">
        <v>268</v>
      </c>
      <c r="J76" s="41" t="s">
        <v>115</v>
      </c>
      <c r="K76" s="43" t="str">
        <f t="shared" si="1"/>
        <v>No Attunement Required, Adventuring Gear, 0</v>
      </c>
      <c r="L76" s="43" t="str">
        <f t="shared" si="2"/>
        <v>No Attunement Required</v>
      </c>
      <c r="M76" s="42"/>
      <c r="N76" s="42"/>
      <c r="O76" s="42"/>
      <c r="P76" s="42"/>
      <c r="Q76" s="42"/>
      <c r="S76" s="42"/>
      <c r="T76" s="42"/>
      <c r="U76" s="42"/>
      <c r="V76" s="42"/>
      <c r="W76" s="42"/>
      <c r="X76" s="42"/>
      <c r="Y76" s="42"/>
      <c r="Z76" s="42"/>
      <c r="AA76" s="42"/>
      <c r="AB76" s="44" t="s">
        <v>21</v>
      </c>
      <c r="AC76" s="42"/>
      <c r="AD76" s="42"/>
      <c r="AE76" s="42"/>
      <c r="AF76" s="42"/>
      <c r="AG76" s="42"/>
      <c r="AH76" s="42"/>
      <c r="AI76" s="42">
        <f t="shared" si="3"/>
        <v>0</v>
      </c>
      <c r="AJ76" s="42"/>
      <c r="AK76" s="42"/>
    </row>
    <row r="77">
      <c r="A77" s="41" t="s">
        <v>269</v>
      </c>
      <c r="B77" s="41" t="s">
        <v>117</v>
      </c>
      <c r="C77" s="41" t="s">
        <v>112</v>
      </c>
      <c r="D77" s="41" t="s">
        <v>21</v>
      </c>
      <c r="E77" s="42"/>
      <c r="F77" s="42"/>
      <c r="G77" s="42"/>
      <c r="H77" s="42"/>
      <c r="I77" s="41" t="s">
        <v>270</v>
      </c>
      <c r="J77" s="41" t="s">
        <v>115</v>
      </c>
      <c r="K77" s="43" t="str">
        <f t="shared" si="1"/>
        <v>No Attunement Required, Adventuring Gear, 0</v>
      </c>
      <c r="L77" s="43" t="str">
        <f t="shared" si="2"/>
        <v>No Attunement Required</v>
      </c>
      <c r="M77" s="42"/>
      <c r="N77" s="42"/>
      <c r="O77" s="42"/>
      <c r="P77" s="42"/>
      <c r="Q77" s="42"/>
      <c r="R77" s="42"/>
      <c r="S77" s="42"/>
      <c r="T77" s="42"/>
      <c r="U77" s="42"/>
      <c r="V77" s="42"/>
      <c r="W77" s="42"/>
      <c r="X77" s="44"/>
      <c r="Y77" s="42"/>
      <c r="Z77" s="42"/>
      <c r="AA77" s="42"/>
      <c r="AB77" s="44" t="s">
        <v>21</v>
      </c>
      <c r="AC77" s="42"/>
      <c r="AD77" s="42"/>
      <c r="AE77" s="42"/>
      <c r="AF77" s="42"/>
      <c r="AG77" s="42"/>
      <c r="AH77" s="42"/>
      <c r="AI77" s="42">
        <f t="shared" si="3"/>
        <v>0</v>
      </c>
      <c r="AJ77" s="42"/>
      <c r="AK77" s="42"/>
    </row>
    <row r="78">
      <c r="A78" s="41" t="s">
        <v>271</v>
      </c>
      <c r="B78" s="41" t="s">
        <v>117</v>
      </c>
      <c r="C78" s="41" t="s">
        <v>112</v>
      </c>
      <c r="D78" s="41" t="s">
        <v>21</v>
      </c>
      <c r="E78" s="42"/>
      <c r="F78" s="42"/>
      <c r="G78" s="42"/>
      <c r="H78" s="42"/>
      <c r="I78" s="41" t="s">
        <v>272</v>
      </c>
      <c r="J78" s="41" t="s">
        <v>115</v>
      </c>
      <c r="K78" s="43" t="str">
        <f t="shared" si="1"/>
        <v>No Attunement Required, Adventuring Gear, 0</v>
      </c>
      <c r="L78" s="43" t="str">
        <f t="shared" si="2"/>
        <v>No Attunement Required</v>
      </c>
      <c r="M78" s="42"/>
      <c r="N78" s="42"/>
      <c r="O78" s="42"/>
      <c r="P78" s="42"/>
      <c r="Q78" s="42"/>
      <c r="R78" s="45"/>
      <c r="S78" s="42"/>
      <c r="T78" s="42"/>
      <c r="U78" s="42"/>
      <c r="V78" s="42"/>
      <c r="W78" s="42"/>
      <c r="X78" s="42"/>
      <c r="Y78" s="42"/>
      <c r="Z78" s="42"/>
      <c r="AA78" s="42"/>
      <c r="AB78" s="44" t="s">
        <v>21</v>
      </c>
      <c r="AC78" s="42"/>
      <c r="AD78" s="42"/>
      <c r="AE78" s="42"/>
      <c r="AF78" s="42"/>
      <c r="AG78" s="42"/>
      <c r="AH78" s="42"/>
      <c r="AI78" s="42">
        <f t="shared" si="3"/>
        <v>0</v>
      </c>
      <c r="AJ78" s="42"/>
      <c r="AK78" s="42"/>
    </row>
    <row r="79">
      <c r="A79" s="41" t="s">
        <v>273</v>
      </c>
      <c r="B79" s="41" t="s">
        <v>117</v>
      </c>
      <c r="C79" s="41" t="s">
        <v>112</v>
      </c>
      <c r="D79" s="41" t="s">
        <v>21</v>
      </c>
      <c r="E79" s="42"/>
      <c r="F79" s="42"/>
      <c r="G79" s="42"/>
      <c r="H79" s="42"/>
      <c r="I79" s="41" t="s">
        <v>274</v>
      </c>
      <c r="J79" s="41" t="s">
        <v>115</v>
      </c>
      <c r="K79" s="43" t="str">
        <f t="shared" si="1"/>
        <v>No Attunement Required, Adventuring Gear, 0</v>
      </c>
      <c r="L79" s="43" t="str">
        <f t="shared" si="2"/>
        <v>No Attunement Required</v>
      </c>
      <c r="M79" s="42"/>
      <c r="N79" s="42"/>
      <c r="O79" s="42"/>
      <c r="P79" s="44"/>
      <c r="Q79" s="44"/>
      <c r="R79" s="42"/>
      <c r="S79" s="42"/>
      <c r="T79" s="42"/>
      <c r="U79" s="42"/>
      <c r="V79" s="42"/>
      <c r="W79" s="42"/>
      <c r="X79" s="42"/>
      <c r="Y79" s="42"/>
      <c r="Z79" s="42"/>
      <c r="AA79" s="42"/>
      <c r="AB79" s="44" t="s">
        <v>21</v>
      </c>
      <c r="AC79" s="42"/>
      <c r="AD79" s="42"/>
      <c r="AE79" s="42"/>
      <c r="AF79" s="42"/>
      <c r="AG79" s="42"/>
      <c r="AH79" s="42"/>
      <c r="AI79" s="42">
        <f t="shared" si="3"/>
        <v>0</v>
      </c>
      <c r="AJ79" s="42"/>
      <c r="AK79" s="42"/>
    </row>
    <row r="80">
      <c r="A80" s="41" t="s">
        <v>275</v>
      </c>
      <c r="B80" s="41" t="s">
        <v>117</v>
      </c>
      <c r="C80" s="41" t="s">
        <v>112</v>
      </c>
      <c r="D80" s="41" t="s">
        <v>21</v>
      </c>
      <c r="E80" s="42"/>
      <c r="F80" s="42"/>
      <c r="G80" s="42"/>
      <c r="H80" s="42"/>
      <c r="I80" s="41" t="s">
        <v>276</v>
      </c>
      <c r="J80" s="41" t="s">
        <v>115</v>
      </c>
      <c r="K80" s="43" t="str">
        <f t="shared" si="1"/>
        <v>No Attunement Required, Adventuring Gear, 0</v>
      </c>
      <c r="L80" s="43" t="str">
        <f t="shared" si="2"/>
        <v>No Attunement Required</v>
      </c>
      <c r="M80" s="42"/>
      <c r="N80" s="42"/>
      <c r="O80" s="42"/>
      <c r="P80" s="44"/>
      <c r="Q80" s="44"/>
      <c r="R80" s="42"/>
      <c r="S80" s="42"/>
      <c r="T80" s="42"/>
      <c r="U80" s="42"/>
      <c r="V80" s="42"/>
      <c r="W80" s="42"/>
      <c r="X80" s="42"/>
      <c r="Y80" s="42"/>
      <c r="Z80" s="42"/>
      <c r="AA80" s="42"/>
      <c r="AB80" s="44" t="s">
        <v>21</v>
      </c>
      <c r="AC80" s="42"/>
      <c r="AD80" s="42"/>
      <c r="AE80" s="42"/>
      <c r="AF80" s="42"/>
      <c r="AG80" s="42"/>
      <c r="AH80" s="42"/>
      <c r="AI80" s="42">
        <f t="shared" si="3"/>
        <v>0</v>
      </c>
      <c r="AJ80" s="42"/>
      <c r="AK80" s="42"/>
    </row>
    <row r="81">
      <c r="A81" s="41" t="s">
        <v>277</v>
      </c>
      <c r="B81" s="41" t="s">
        <v>153</v>
      </c>
      <c r="C81" s="41" t="s">
        <v>112</v>
      </c>
      <c r="D81" s="41" t="s">
        <v>21</v>
      </c>
      <c r="E81" s="42"/>
      <c r="F81" s="42"/>
      <c r="G81" s="42"/>
      <c r="H81" s="42"/>
      <c r="I81" s="41" t="s">
        <v>278</v>
      </c>
      <c r="J81" s="41" t="s">
        <v>115</v>
      </c>
      <c r="K81" s="43" t="str">
        <f t="shared" si="1"/>
        <v>No Attunement Required, Adventuring Gear, 0</v>
      </c>
      <c r="L81" s="43" t="str">
        <f t="shared" si="2"/>
        <v>No Attunement Required</v>
      </c>
      <c r="M81" s="42"/>
      <c r="N81" s="42"/>
      <c r="O81" s="42"/>
      <c r="P81" s="42"/>
      <c r="Q81" s="42"/>
      <c r="R81" s="42"/>
      <c r="S81" s="42"/>
      <c r="T81" s="42"/>
      <c r="U81" s="42"/>
      <c r="V81" s="42"/>
      <c r="W81" s="42"/>
      <c r="X81" s="42"/>
      <c r="Y81" s="42"/>
      <c r="Z81" s="42"/>
      <c r="AA81" s="42"/>
      <c r="AB81" s="44" t="s">
        <v>21</v>
      </c>
      <c r="AC81" s="42"/>
      <c r="AD81" s="42"/>
      <c r="AE81" s="42"/>
      <c r="AF81" s="42"/>
      <c r="AG81" s="42"/>
      <c r="AH81" s="42"/>
      <c r="AI81" s="42">
        <f t="shared" si="3"/>
        <v>0</v>
      </c>
      <c r="AJ81" s="42"/>
      <c r="AK81" s="42"/>
    </row>
    <row r="82">
      <c r="A82" s="41" t="s">
        <v>279</v>
      </c>
      <c r="B82" s="41" t="s">
        <v>160</v>
      </c>
      <c r="C82" s="41" t="s">
        <v>112</v>
      </c>
      <c r="D82" s="41" t="s">
        <v>21</v>
      </c>
      <c r="E82" s="42"/>
      <c r="F82" s="42"/>
      <c r="G82" s="42"/>
      <c r="H82" s="42"/>
      <c r="I82" s="41" t="s">
        <v>280</v>
      </c>
      <c r="J82" s="41" t="s">
        <v>115</v>
      </c>
      <c r="K82" s="43" t="str">
        <f t="shared" si="1"/>
        <v>No Attunement Required, Adventuring Gear, 0</v>
      </c>
      <c r="L82" s="43" t="str">
        <f t="shared" si="2"/>
        <v>No Attunement Required</v>
      </c>
      <c r="M82" s="42"/>
      <c r="N82" s="42"/>
      <c r="O82" s="42"/>
      <c r="P82" s="42"/>
      <c r="Q82" s="42"/>
      <c r="R82" s="42"/>
      <c r="S82" s="44"/>
      <c r="T82" s="44"/>
      <c r="U82" s="42"/>
      <c r="V82" s="42"/>
      <c r="W82" s="42"/>
      <c r="X82" s="42"/>
      <c r="Y82" s="42"/>
      <c r="Z82" s="42"/>
      <c r="AA82" s="42"/>
      <c r="AB82" s="44" t="s">
        <v>21</v>
      </c>
      <c r="AC82" s="42"/>
      <c r="AD82" s="42"/>
      <c r="AE82" s="42"/>
      <c r="AF82" s="42"/>
      <c r="AG82" s="42"/>
      <c r="AH82" s="42"/>
      <c r="AI82" s="42">
        <f t="shared" si="3"/>
        <v>0</v>
      </c>
      <c r="AJ82" s="42"/>
      <c r="AK82" s="42"/>
    </row>
    <row r="83">
      <c r="A83" s="41" t="s">
        <v>281</v>
      </c>
      <c r="B83" s="41" t="s">
        <v>117</v>
      </c>
      <c r="C83" s="41" t="s">
        <v>112</v>
      </c>
      <c r="D83" s="41" t="s">
        <v>21</v>
      </c>
      <c r="E83" s="42"/>
      <c r="F83" s="42"/>
      <c r="G83" s="42"/>
      <c r="H83" s="42"/>
      <c r="I83" s="41" t="s">
        <v>282</v>
      </c>
      <c r="J83" s="41" t="s">
        <v>115</v>
      </c>
      <c r="K83" s="43" t="str">
        <f t="shared" si="1"/>
        <v>No Attunement Required, Adventuring Gear, 0</v>
      </c>
      <c r="L83" s="43" t="str">
        <f t="shared" si="2"/>
        <v>No Attunement Required</v>
      </c>
      <c r="M83" s="42"/>
      <c r="N83" s="42"/>
      <c r="O83" s="42"/>
      <c r="P83" s="42"/>
      <c r="Q83" s="42"/>
      <c r="R83" s="42"/>
      <c r="S83" s="42"/>
      <c r="T83" s="42"/>
      <c r="U83" s="42"/>
      <c r="V83" s="42"/>
      <c r="W83" s="42"/>
      <c r="X83" s="42"/>
      <c r="Y83" s="42"/>
      <c r="Z83" s="42"/>
      <c r="AA83" s="42"/>
      <c r="AB83" s="44" t="s">
        <v>21</v>
      </c>
      <c r="AC83" s="42"/>
      <c r="AD83" s="42"/>
      <c r="AE83" s="42"/>
      <c r="AF83" s="42"/>
      <c r="AG83" s="42"/>
      <c r="AH83" s="42"/>
      <c r="AI83" s="42">
        <f t="shared" si="3"/>
        <v>0</v>
      </c>
      <c r="AJ83" s="42"/>
      <c r="AK83" s="42"/>
    </row>
    <row r="84">
      <c r="A84" s="41" t="s">
        <v>283</v>
      </c>
      <c r="B84" s="41" t="s">
        <v>153</v>
      </c>
      <c r="C84" s="41" t="s">
        <v>112</v>
      </c>
      <c r="D84" s="41" t="s">
        <v>21</v>
      </c>
      <c r="E84" s="42"/>
      <c r="F84" s="42"/>
      <c r="G84" s="42"/>
      <c r="H84" s="42"/>
      <c r="I84" s="41" t="s">
        <v>284</v>
      </c>
      <c r="J84" s="41" t="s">
        <v>115</v>
      </c>
      <c r="K84" s="43" t="str">
        <f t="shared" si="1"/>
        <v>No Attunement Required, Adventuring Gear, 0</v>
      </c>
      <c r="L84" s="43" t="str">
        <f t="shared" si="2"/>
        <v>No Attunement Required</v>
      </c>
      <c r="M84" s="42"/>
      <c r="N84" s="42"/>
      <c r="O84" s="42"/>
      <c r="P84" s="42"/>
      <c r="Q84" s="42"/>
      <c r="R84" s="42"/>
      <c r="S84" s="42"/>
      <c r="T84" s="42"/>
      <c r="U84" s="42"/>
      <c r="V84" s="42"/>
      <c r="W84" s="42"/>
      <c r="X84" s="42"/>
      <c r="Y84" s="42"/>
      <c r="Z84" s="42"/>
      <c r="AA84" s="42"/>
      <c r="AB84" s="44" t="s">
        <v>21</v>
      </c>
      <c r="AC84" s="42"/>
      <c r="AD84" s="42"/>
      <c r="AE84" s="42"/>
      <c r="AF84" s="42"/>
      <c r="AG84" s="42"/>
      <c r="AH84" s="42"/>
      <c r="AI84" s="42">
        <f t="shared" si="3"/>
        <v>0</v>
      </c>
      <c r="AJ84" s="42"/>
      <c r="AK84" s="42"/>
    </row>
    <row r="85">
      <c r="A85" s="41" t="s">
        <v>285</v>
      </c>
      <c r="B85" s="41" t="s">
        <v>117</v>
      </c>
      <c r="C85" s="41" t="s">
        <v>112</v>
      </c>
      <c r="D85" s="41" t="s">
        <v>21</v>
      </c>
      <c r="E85" s="42"/>
      <c r="F85" s="42"/>
      <c r="G85" s="42"/>
      <c r="H85" s="42"/>
      <c r="I85" s="41" t="s">
        <v>286</v>
      </c>
      <c r="J85" s="41" t="s">
        <v>115</v>
      </c>
      <c r="K85" s="43" t="str">
        <f t="shared" si="1"/>
        <v>No Attunement Required, Adventuring Gear, 0</v>
      </c>
      <c r="L85" s="43" t="str">
        <f t="shared" si="2"/>
        <v>No Attunement Required</v>
      </c>
      <c r="M85" s="42"/>
      <c r="N85" s="42"/>
      <c r="O85" s="42"/>
      <c r="P85" s="42"/>
      <c r="Q85" s="42"/>
      <c r="R85" s="44"/>
      <c r="S85" s="42"/>
      <c r="T85" s="42"/>
      <c r="U85" s="42"/>
      <c r="V85" s="42"/>
      <c r="W85" s="42"/>
      <c r="X85" s="42"/>
      <c r="Y85" s="42"/>
      <c r="Z85" s="42"/>
      <c r="AA85" s="42"/>
      <c r="AB85" s="44" t="s">
        <v>21</v>
      </c>
      <c r="AC85" s="42"/>
      <c r="AD85" s="42"/>
      <c r="AE85" s="42"/>
      <c r="AF85" s="42"/>
      <c r="AG85" s="42"/>
      <c r="AH85" s="42"/>
      <c r="AI85" s="42">
        <f t="shared" si="3"/>
        <v>0</v>
      </c>
      <c r="AJ85" s="42"/>
      <c r="AK85" s="42"/>
    </row>
    <row r="86">
      <c r="A86" s="41" t="s">
        <v>287</v>
      </c>
      <c r="B86" s="41" t="s">
        <v>117</v>
      </c>
      <c r="C86" s="41" t="s">
        <v>112</v>
      </c>
      <c r="D86" s="41" t="s">
        <v>21</v>
      </c>
      <c r="E86" s="42"/>
      <c r="F86" s="42"/>
      <c r="G86" s="42"/>
      <c r="H86" s="42"/>
      <c r="I86" s="41" t="s">
        <v>288</v>
      </c>
      <c r="J86" s="41" t="s">
        <v>115</v>
      </c>
      <c r="K86" s="43" t="str">
        <f t="shared" si="1"/>
        <v>No Attunement Required, Adventuring Gear, 0</v>
      </c>
      <c r="L86" s="43" t="str">
        <f t="shared" si="2"/>
        <v>No Attunement Required</v>
      </c>
      <c r="M86" s="42"/>
      <c r="N86" s="42"/>
      <c r="O86" s="42"/>
      <c r="P86" s="42"/>
      <c r="Q86" s="42"/>
      <c r="R86" s="42"/>
      <c r="S86" s="44"/>
      <c r="T86" s="44"/>
      <c r="U86" s="42"/>
      <c r="V86" s="42"/>
      <c r="W86" s="42"/>
      <c r="X86" s="42"/>
      <c r="Y86" s="42"/>
      <c r="Z86" s="42"/>
      <c r="AA86" s="42"/>
      <c r="AB86" s="44" t="s">
        <v>21</v>
      </c>
      <c r="AC86" s="42"/>
      <c r="AD86" s="42"/>
      <c r="AE86" s="42"/>
      <c r="AF86" s="42"/>
      <c r="AG86" s="42"/>
      <c r="AH86" s="42"/>
      <c r="AI86" s="42">
        <f t="shared" si="3"/>
        <v>0</v>
      </c>
      <c r="AJ86" s="42"/>
      <c r="AK86" s="42"/>
    </row>
    <row r="87">
      <c r="A87" s="41" t="s">
        <v>289</v>
      </c>
      <c r="B87" s="41" t="s">
        <v>117</v>
      </c>
      <c r="C87" s="41" t="s">
        <v>112</v>
      </c>
      <c r="D87" s="41" t="s">
        <v>21</v>
      </c>
      <c r="E87" s="42"/>
      <c r="F87" s="42"/>
      <c r="G87" s="42"/>
      <c r="H87" s="42"/>
      <c r="I87" s="41" t="s">
        <v>290</v>
      </c>
      <c r="J87" s="41" t="s">
        <v>115</v>
      </c>
      <c r="K87" s="43" t="str">
        <f t="shared" si="1"/>
        <v>No Attunement Required, Adventuring Gear, 0</v>
      </c>
      <c r="L87" s="43" t="str">
        <f t="shared" si="2"/>
        <v>No Attunement Required</v>
      </c>
      <c r="M87" s="42"/>
      <c r="N87" s="42"/>
      <c r="O87" s="42"/>
      <c r="P87" s="42"/>
      <c r="Q87" s="42"/>
      <c r="R87" s="42"/>
      <c r="S87" s="42"/>
      <c r="T87" s="42"/>
      <c r="U87" s="42"/>
      <c r="V87" s="42"/>
      <c r="W87" s="42"/>
      <c r="X87" s="42"/>
      <c r="Y87" s="42"/>
      <c r="Z87" s="42"/>
      <c r="AA87" s="42"/>
      <c r="AB87" s="44" t="s">
        <v>21</v>
      </c>
      <c r="AC87" s="42"/>
      <c r="AD87" s="42"/>
      <c r="AE87" s="42"/>
      <c r="AF87" s="42"/>
      <c r="AG87" s="42"/>
      <c r="AH87" s="42"/>
      <c r="AI87" s="42">
        <f t="shared" si="3"/>
        <v>0</v>
      </c>
      <c r="AJ87" s="42"/>
      <c r="AK87" s="42"/>
    </row>
    <row r="88">
      <c r="A88" s="41" t="s">
        <v>291</v>
      </c>
      <c r="B88" s="41" t="s">
        <v>117</v>
      </c>
      <c r="C88" s="41" t="s">
        <v>112</v>
      </c>
      <c r="D88" s="41" t="s">
        <v>21</v>
      </c>
      <c r="E88" s="42"/>
      <c r="F88" s="42"/>
      <c r="G88" s="42"/>
      <c r="H88" s="42"/>
      <c r="I88" s="41" t="s">
        <v>292</v>
      </c>
      <c r="J88" s="41" t="s">
        <v>115</v>
      </c>
      <c r="K88" s="43" t="str">
        <f t="shared" si="1"/>
        <v>No Attunement Required, Adventuring Gear, 0</v>
      </c>
      <c r="L88" s="43" t="str">
        <f t="shared" si="2"/>
        <v>No Attunement Required</v>
      </c>
      <c r="M88" s="42"/>
      <c r="N88" s="42"/>
      <c r="O88" s="42"/>
      <c r="P88" s="42"/>
      <c r="Q88" s="42"/>
      <c r="R88" s="44"/>
      <c r="S88" s="42"/>
      <c r="T88" s="42"/>
      <c r="U88" s="42"/>
      <c r="V88" s="42"/>
      <c r="W88" s="42"/>
      <c r="X88" s="42"/>
      <c r="Y88" s="42"/>
      <c r="Z88" s="42"/>
      <c r="AA88" s="42"/>
      <c r="AB88" s="44" t="s">
        <v>21</v>
      </c>
      <c r="AC88" s="42"/>
      <c r="AD88" s="42"/>
      <c r="AE88" s="42"/>
      <c r="AF88" s="42"/>
      <c r="AG88" s="42"/>
      <c r="AH88" s="42"/>
      <c r="AI88" s="42">
        <f t="shared" si="3"/>
        <v>0</v>
      </c>
      <c r="AJ88" s="42"/>
      <c r="AK88" s="42"/>
    </row>
    <row r="89">
      <c r="A89" s="41" t="s">
        <v>293</v>
      </c>
      <c r="B89" s="41" t="s">
        <v>117</v>
      </c>
      <c r="C89" s="41" t="s">
        <v>112</v>
      </c>
      <c r="D89" s="41" t="s">
        <v>21</v>
      </c>
      <c r="E89" s="42"/>
      <c r="F89" s="42"/>
      <c r="G89" s="42"/>
      <c r="H89" s="42"/>
      <c r="I89" s="41" t="s">
        <v>294</v>
      </c>
      <c r="J89" s="41" t="s">
        <v>115</v>
      </c>
      <c r="K89" s="43" t="str">
        <f t="shared" si="1"/>
        <v>No Attunement Required, Adventuring Gear, 0</v>
      </c>
      <c r="L89" s="43" t="str">
        <f t="shared" si="2"/>
        <v>No Attunement Required</v>
      </c>
      <c r="M89" s="42"/>
      <c r="N89" s="42"/>
      <c r="O89" s="42"/>
      <c r="P89" s="42"/>
      <c r="Q89" s="42"/>
      <c r="R89" s="44"/>
      <c r="S89" s="42"/>
      <c r="T89" s="42"/>
      <c r="U89" s="42"/>
      <c r="V89" s="42"/>
      <c r="W89" s="42"/>
      <c r="X89" s="42"/>
      <c r="Y89" s="42"/>
      <c r="Z89" s="42"/>
      <c r="AA89" s="42"/>
      <c r="AB89" s="44" t="s">
        <v>21</v>
      </c>
      <c r="AC89" s="42"/>
      <c r="AD89" s="42"/>
      <c r="AE89" s="42"/>
      <c r="AF89" s="42"/>
      <c r="AG89" s="42"/>
      <c r="AH89" s="42"/>
      <c r="AI89" s="42">
        <f t="shared" si="3"/>
        <v>0</v>
      </c>
      <c r="AJ89" s="42"/>
      <c r="AK89" s="42"/>
    </row>
    <row r="90">
      <c r="A90" s="41" t="s">
        <v>295</v>
      </c>
      <c r="B90" s="41" t="s">
        <v>117</v>
      </c>
      <c r="C90" s="41" t="s">
        <v>112</v>
      </c>
      <c r="D90" s="41" t="s">
        <v>21</v>
      </c>
      <c r="E90" s="42"/>
      <c r="F90" s="42"/>
      <c r="G90" s="42"/>
      <c r="H90" s="42"/>
      <c r="I90" s="41" t="s">
        <v>296</v>
      </c>
      <c r="J90" s="41" t="s">
        <v>115</v>
      </c>
      <c r="K90" s="43" t="str">
        <f t="shared" si="1"/>
        <v>No Attunement Required, Adventuring Gear, 0</v>
      </c>
      <c r="L90" s="43" t="str">
        <f t="shared" si="2"/>
        <v>No Attunement Required</v>
      </c>
      <c r="M90" s="42"/>
      <c r="N90" s="42"/>
      <c r="O90" s="42"/>
      <c r="P90" s="42"/>
      <c r="Q90" s="42"/>
      <c r="R90" s="42"/>
      <c r="S90" s="42"/>
      <c r="T90" s="42"/>
      <c r="U90" s="42"/>
      <c r="V90" s="42"/>
      <c r="W90" s="42"/>
      <c r="X90" s="42"/>
      <c r="Y90" s="42"/>
      <c r="Z90" s="42"/>
      <c r="AA90" s="42"/>
      <c r="AB90" s="44" t="s">
        <v>21</v>
      </c>
      <c r="AC90" s="42"/>
      <c r="AD90" s="42"/>
      <c r="AE90" s="42"/>
      <c r="AF90" s="42"/>
      <c r="AG90" s="42"/>
      <c r="AH90" s="42"/>
      <c r="AI90" s="42">
        <f t="shared" si="3"/>
        <v>0</v>
      </c>
      <c r="AJ90" s="42"/>
      <c r="AK90" s="42"/>
    </row>
    <row r="91">
      <c r="A91" s="41" t="s">
        <v>297</v>
      </c>
      <c r="B91" s="41" t="s">
        <v>173</v>
      </c>
      <c r="C91" s="41" t="s">
        <v>112</v>
      </c>
      <c r="D91" s="41" t="s">
        <v>21</v>
      </c>
      <c r="E91" s="42"/>
      <c r="F91" s="42"/>
      <c r="G91" s="42"/>
      <c r="H91" s="42"/>
      <c r="I91" s="41" t="s">
        <v>298</v>
      </c>
      <c r="J91" s="41" t="s">
        <v>115</v>
      </c>
      <c r="K91" s="43" t="str">
        <f t="shared" si="1"/>
        <v>No Attunement Required, Utility Gear, Grants Advantage, Adventuring Gear, 0</v>
      </c>
      <c r="L91" s="43" t="str">
        <f t="shared" si="2"/>
        <v>No Attunement Required</v>
      </c>
      <c r="M91" s="44"/>
      <c r="N91" s="44" t="s">
        <v>47</v>
      </c>
      <c r="O91" s="42"/>
      <c r="P91" s="42"/>
      <c r="Q91" s="42"/>
      <c r="R91" s="42"/>
      <c r="S91" s="42"/>
      <c r="T91" s="42"/>
      <c r="U91" s="44" t="s">
        <v>42</v>
      </c>
      <c r="V91" s="42"/>
      <c r="W91" s="42"/>
      <c r="X91" s="42"/>
      <c r="Y91" s="42"/>
      <c r="Z91" s="42"/>
      <c r="AA91" s="42"/>
      <c r="AB91" s="44" t="s">
        <v>21</v>
      </c>
      <c r="AC91" s="42"/>
      <c r="AD91" s="42"/>
      <c r="AE91" s="42"/>
      <c r="AF91" s="42"/>
      <c r="AG91" s="42"/>
      <c r="AH91" s="42"/>
      <c r="AI91" s="42">
        <f t="shared" si="3"/>
        <v>0</v>
      </c>
      <c r="AJ91" s="42"/>
      <c r="AK91" s="42"/>
    </row>
    <row r="92">
      <c r="A92" s="41" t="s">
        <v>299</v>
      </c>
      <c r="B92" s="41" t="s">
        <v>117</v>
      </c>
      <c r="C92" s="41" t="s">
        <v>112</v>
      </c>
      <c r="D92" s="41" t="s">
        <v>300</v>
      </c>
      <c r="E92" s="42"/>
      <c r="F92" s="42"/>
      <c r="G92" s="42"/>
      <c r="H92" s="42"/>
      <c r="I92" s="41" t="s">
        <v>301</v>
      </c>
      <c r="J92" s="41" t="s">
        <v>302</v>
      </c>
      <c r="K92" s="43" t="str">
        <f t="shared" si="1"/>
        <v>No Attunement Required, Tools and Instruments, 0</v>
      </c>
      <c r="L92" s="43" t="str">
        <f t="shared" si="2"/>
        <v>No Attunement Required</v>
      </c>
      <c r="M92" s="42"/>
      <c r="N92" s="42"/>
      <c r="O92" s="42"/>
      <c r="P92" s="42"/>
      <c r="Q92" s="42"/>
      <c r="R92" s="44"/>
      <c r="S92" s="42"/>
      <c r="T92" s="42"/>
      <c r="U92" s="44"/>
      <c r="V92" s="42"/>
      <c r="W92" s="42"/>
      <c r="X92" s="42"/>
      <c r="Y92" s="42"/>
      <c r="Z92" s="42"/>
      <c r="AA92" s="42"/>
      <c r="AB92" s="42"/>
      <c r="AC92" s="44" t="s">
        <v>19</v>
      </c>
      <c r="AD92" s="42"/>
      <c r="AE92" s="42"/>
      <c r="AF92" s="42"/>
      <c r="AG92" s="42"/>
      <c r="AH92" s="42"/>
      <c r="AI92" s="42">
        <f t="shared" si="3"/>
        <v>0</v>
      </c>
      <c r="AJ92" s="42"/>
      <c r="AK92" s="42"/>
    </row>
    <row r="93">
      <c r="A93" s="41" t="s">
        <v>303</v>
      </c>
      <c r="B93" s="41" t="s">
        <v>117</v>
      </c>
      <c r="C93" s="41" t="s">
        <v>112</v>
      </c>
      <c r="D93" s="41" t="s">
        <v>304</v>
      </c>
      <c r="E93" s="42"/>
      <c r="F93" s="41" t="s">
        <v>305</v>
      </c>
      <c r="G93" s="41" t="s">
        <v>306</v>
      </c>
      <c r="H93" s="41" t="s">
        <v>307</v>
      </c>
      <c r="I93" s="41" t="s">
        <v>308</v>
      </c>
      <c r="J93" s="41" t="s">
        <v>302</v>
      </c>
      <c r="K93" s="43" t="str">
        <f t="shared" si="1"/>
        <v>No Attunement Required, Base Item, Martial Weapon, Base Weapons, Melee Weapons, 0</v>
      </c>
      <c r="L93" s="43" t="str">
        <f t="shared" si="2"/>
        <v>No Attunement Required</v>
      </c>
      <c r="M93" s="44" t="s">
        <v>119</v>
      </c>
      <c r="N93" s="42"/>
      <c r="O93" s="42"/>
      <c r="P93" s="44" t="s">
        <v>309</v>
      </c>
      <c r="Q93" s="44"/>
      <c r="R93" s="44"/>
      <c r="S93" s="42"/>
      <c r="T93" s="42"/>
      <c r="U93" s="42"/>
      <c r="V93" s="42"/>
      <c r="W93" s="42"/>
      <c r="X93" s="42"/>
      <c r="Y93" s="42"/>
      <c r="Z93" s="44" t="s">
        <v>104</v>
      </c>
      <c r="AA93" s="42"/>
      <c r="AB93" s="42"/>
      <c r="AC93" s="42"/>
      <c r="AD93" s="42"/>
      <c r="AE93" s="42"/>
      <c r="AF93" s="41" t="s">
        <v>107</v>
      </c>
      <c r="AG93" s="42"/>
      <c r="AH93" s="42"/>
      <c r="AI93" s="42">
        <f t="shared" si="3"/>
        <v>0</v>
      </c>
      <c r="AJ93" s="42"/>
      <c r="AK93" s="42"/>
    </row>
    <row r="94">
      <c r="A94" s="41" t="s">
        <v>310</v>
      </c>
      <c r="B94" s="41" t="s">
        <v>117</v>
      </c>
      <c r="C94" s="41" t="s">
        <v>112</v>
      </c>
      <c r="D94" s="41" t="s">
        <v>311</v>
      </c>
      <c r="E94" s="42"/>
      <c r="F94" s="41" t="s">
        <v>312</v>
      </c>
      <c r="G94" s="41" t="s">
        <v>313</v>
      </c>
      <c r="H94" s="41" t="s">
        <v>314</v>
      </c>
      <c r="I94" s="41" t="s">
        <v>315</v>
      </c>
      <c r="J94" s="41" t="s">
        <v>302</v>
      </c>
      <c r="K94" s="43" t="str">
        <f t="shared" si="1"/>
        <v>No Attunement Required, Base Item, Martial Weapon, Grants Advantage, Base Weapons, Ranged Weapons, 0</v>
      </c>
      <c r="L94" s="43" t="str">
        <f t="shared" si="2"/>
        <v>No Attunement Required</v>
      </c>
      <c r="M94" s="44" t="s">
        <v>119</v>
      </c>
      <c r="N94" s="42"/>
      <c r="O94" s="42"/>
      <c r="P94" s="44" t="s">
        <v>309</v>
      </c>
      <c r="Q94" s="44"/>
      <c r="R94" s="44"/>
      <c r="S94" s="42"/>
      <c r="T94" s="42"/>
      <c r="U94" s="44" t="s">
        <v>42</v>
      </c>
      <c r="V94" s="42"/>
      <c r="W94" s="42"/>
      <c r="X94" s="42"/>
      <c r="Y94" s="42"/>
      <c r="Z94" s="44" t="s">
        <v>104</v>
      </c>
      <c r="AA94" s="42"/>
      <c r="AB94" s="42"/>
      <c r="AC94" s="42"/>
      <c r="AD94" s="42"/>
      <c r="AE94" s="44" t="s">
        <v>106</v>
      </c>
      <c r="AF94" s="42"/>
      <c r="AG94" s="42"/>
      <c r="AH94" s="42"/>
      <c r="AI94" s="42">
        <f t="shared" si="3"/>
        <v>0</v>
      </c>
      <c r="AJ94" s="42"/>
      <c r="AK94" s="42"/>
    </row>
    <row r="95">
      <c r="A95" s="41" t="s">
        <v>316</v>
      </c>
      <c r="B95" s="41" t="s">
        <v>117</v>
      </c>
      <c r="C95" s="41" t="s">
        <v>112</v>
      </c>
      <c r="D95" s="41" t="s">
        <v>300</v>
      </c>
      <c r="E95" s="42"/>
      <c r="F95" s="42"/>
      <c r="G95" s="42"/>
      <c r="H95" s="42"/>
      <c r="I95" s="41" t="s">
        <v>317</v>
      </c>
      <c r="J95" s="41" t="s">
        <v>302</v>
      </c>
      <c r="K95" s="43" t="str">
        <f t="shared" si="1"/>
        <v>No Attunement Required, Tools and Instruments, 0</v>
      </c>
      <c r="L95" s="43" t="str">
        <f t="shared" si="2"/>
        <v>No Attunement Required</v>
      </c>
      <c r="M95" s="42"/>
      <c r="N95" s="42"/>
      <c r="O95" s="42"/>
      <c r="P95" s="42"/>
      <c r="Q95" s="42"/>
      <c r="R95" s="42"/>
      <c r="S95" s="42"/>
      <c r="T95" s="42"/>
      <c r="U95" s="44"/>
      <c r="V95" s="42"/>
      <c r="W95" s="42"/>
      <c r="X95" s="42"/>
      <c r="Y95" s="42"/>
      <c r="Z95" s="42"/>
      <c r="AA95" s="42"/>
      <c r="AB95" s="42"/>
      <c r="AC95" s="44" t="s">
        <v>19</v>
      </c>
      <c r="AD95" s="42"/>
      <c r="AE95" s="42"/>
      <c r="AF95" s="42"/>
      <c r="AG95" s="42"/>
      <c r="AH95" s="42"/>
      <c r="AI95" s="42">
        <f t="shared" si="3"/>
        <v>0</v>
      </c>
      <c r="AJ95" s="42"/>
      <c r="AK95" s="42"/>
    </row>
    <row r="96">
      <c r="A96" s="41" t="s">
        <v>318</v>
      </c>
      <c r="B96" s="41" t="s">
        <v>117</v>
      </c>
      <c r="C96" s="41" t="s">
        <v>112</v>
      </c>
      <c r="D96" s="41" t="s">
        <v>300</v>
      </c>
      <c r="E96" s="42"/>
      <c r="F96" s="42"/>
      <c r="G96" s="42"/>
      <c r="H96" s="42"/>
      <c r="I96" s="41" t="s">
        <v>319</v>
      </c>
      <c r="J96" s="41" t="s">
        <v>302</v>
      </c>
      <c r="K96" s="43" t="str">
        <f t="shared" si="1"/>
        <v>No Attunement Required, Tools and Instruments, 0</v>
      </c>
      <c r="L96" s="43" t="str">
        <f t="shared" si="2"/>
        <v>No Attunement Required</v>
      </c>
      <c r="M96" s="42"/>
      <c r="N96" s="42"/>
      <c r="O96" s="42"/>
      <c r="P96" s="42"/>
      <c r="Q96" s="42"/>
      <c r="R96" s="44"/>
      <c r="S96" s="42"/>
      <c r="T96" s="42"/>
      <c r="U96" s="44"/>
      <c r="V96" s="42"/>
      <c r="W96" s="42"/>
      <c r="X96" s="42"/>
      <c r="Y96" s="42"/>
      <c r="Z96" s="42"/>
      <c r="AA96" s="42"/>
      <c r="AB96" s="42"/>
      <c r="AC96" s="44" t="s">
        <v>19</v>
      </c>
      <c r="AD96" s="42"/>
      <c r="AE96" s="42"/>
      <c r="AF96" s="42"/>
      <c r="AG96" s="42"/>
      <c r="AH96" s="42"/>
      <c r="AI96" s="42">
        <f t="shared" si="3"/>
        <v>0</v>
      </c>
      <c r="AJ96" s="42"/>
      <c r="AK96" s="42"/>
    </row>
    <row r="97">
      <c r="A97" s="41" t="s">
        <v>320</v>
      </c>
      <c r="B97" s="41" t="s">
        <v>117</v>
      </c>
      <c r="C97" s="41" t="s">
        <v>112</v>
      </c>
      <c r="D97" s="41" t="s">
        <v>300</v>
      </c>
      <c r="E97" s="42"/>
      <c r="F97" s="42"/>
      <c r="G97" s="42"/>
      <c r="H97" s="42"/>
      <c r="I97" s="41" t="s">
        <v>321</v>
      </c>
      <c r="J97" s="41" t="s">
        <v>302</v>
      </c>
      <c r="K97" s="43" t="str">
        <f t="shared" si="1"/>
        <v>No Attunement Required, Tools and Instruments, 0</v>
      </c>
      <c r="L97" s="43" t="str">
        <f t="shared" si="2"/>
        <v>No Attunement Required</v>
      </c>
      <c r="M97" s="42"/>
      <c r="N97" s="42"/>
      <c r="O97" s="42"/>
      <c r="P97" s="42"/>
      <c r="Q97" s="42"/>
      <c r="R97" s="42"/>
      <c r="S97" s="42"/>
      <c r="T97" s="42"/>
      <c r="U97" s="44"/>
      <c r="V97" s="42"/>
      <c r="W97" s="42"/>
      <c r="X97" s="42"/>
      <c r="Y97" s="42"/>
      <c r="Z97" s="42"/>
      <c r="AA97" s="42"/>
      <c r="AB97" s="42"/>
      <c r="AC97" s="44" t="s">
        <v>19</v>
      </c>
      <c r="AD97" s="42"/>
      <c r="AE97" s="42"/>
      <c r="AF97" s="42"/>
      <c r="AG97" s="42"/>
      <c r="AH97" s="42"/>
      <c r="AI97" s="42">
        <f t="shared" si="3"/>
        <v>0</v>
      </c>
      <c r="AJ97" s="42"/>
      <c r="AK97" s="42"/>
    </row>
    <row r="98">
      <c r="A98" s="41" t="s">
        <v>322</v>
      </c>
      <c r="B98" s="41" t="s">
        <v>117</v>
      </c>
      <c r="C98" s="41" t="s">
        <v>112</v>
      </c>
      <c r="D98" s="41" t="s">
        <v>300</v>
      </c>
      <c r="E98" s="42"/>
      <c r="F98" s="42"/>
      <c r="G98" s="42"/>
      <c r="H98" s="42"/>
      <c r="I98" s="41" t="s">
        <v>323</v>
      </c>
      <c r="J98" s="41" t="s">
        <v>302</v>
      </c>
      <c r="K98" s="43" t="str">
        <f t="shared" si="1"/>
        <v>No Attunement Required, Tools and Instruments, 0</v>
      </c>
      <c r="L98" s="43" t="str">
        <f t="shared" si="2"/>
        <v>No Attunement Required</v>
      </c>
      <c r="M98" s="42"/>
      <c r="N98" s="42"/>
      <c r="O98" s="42"/>
      <c r="P98" s="42"/>
      <c r="Q98" s="42"/>
      <c r="R98" s="42"/>
      <c r="S98" s="42"/>
      <c r="T98" s="42"/>
      <c r="U98" s="44"/>
      <c r="V98" s="42"/>
      <c r="W98" s="42"/>
      <c r="X98" s="42"/>
      <c r="Y98" s="42"/>
      <c r="Z98" s="42"/>
      <c r="AA98" s="42"/>
      <c r="AB98" s="42"/>
      <c r="AC98" s="44" t="s">
        <v>19</v>
      </c>
      <c r="AD98" s="42"/>
      <c r="AE98" s="42"/>
      <c r="AF98" s="42"/>
      <c r="AG98" s="42"/>
      <c r="AH98" s="42"/>
      <c r="AI98" s="42">
        <f t="shared" si="3"/>
        <v>0</v>
      </c>
      <c r="AJ98" s="42"/>
      <c r="AK98" s="42"/>
    </row>
    <row r="99">
      <c r="A99" s="41" t="s">
        <v>324</v>
      </c>
      <c r="B99" s="41" t="s">
        <v>117</v>
      </c>
      <c r="C99" s="41" t="s">
        <v>112</v>
      </c>
      <c r="D99" s="41" t="s">
        <v>20</v>
      </c>
      <c r="E99" s="42"/>
      <c r="F99" s="41" t="s">
        <v>325</v>
      </c>
      <c r="G99" s="42"/>
      <c r="H99" s="42"/>
      <c r="I99" s="41" t="s">
        <v>326</v>
      </c>
      <c r="J99" s="41" t="s">
        <v>302</v>
      </c>
      <c r="K99" s="43" t="str">
        <f t="shared" si="1"/>
        <v>No Attunement Required, Base Item, Heavy Armor, Base Armor, 0</v>
      </c>
      <c r="L99" s="43" t="str">
        <f t="shared" si="2"/>
        <v>No Attunement Required</v>
      </c>
      <c r="M99" s="44" t="s">
        <v>119</v>
      </c>
      <c r="N99" s="42"/>
      <c r="O99" s="46" t="s">
        <v>20</v>
      </c>
      <c r="P99" s="42"/>
      <c r="Q99" s="42"/>
      <c r="R99" s="47"/>
      <c r="S99" s="42"/>
      <c r="T99" s="42"/>
      <c r="U99" s="44"/>
      <c r="V99" s="42"/>
      <c r="W99" s="42"/>
      <c r="X99" s="42"/>
      <c r="Y99" s="42"/>
      <c r="Z99" s="42"/>
      <c r="AA99" s="44" t="s">
        <v>105</v>
      </c>
      <c r="AB99" s="42"/>
      <c r="AC99" s="42"/>
      <c r="AD99" s="42"/>
      <c r="AE99" s="42"/>
      <c r="AF99" s="42"/>
      <c r="AG99" s="42"/>
      <c r="AH99" s="42"/>
      <c r="AI99" s="42">
        <f t="shared" si="3"/>
        <v>0</v>
      </c>
      <c r="AJ99" s="42"/>
      <c r="AK99" s="42"/>
    </row>
    <row r="100">
      <c r="A100" s="41" t="s">
        <v>327</v>
      </c>
      <c r="B100" s="41" t="s">
        <v>117</v>
      </c>
      <c r="C100" s="41" t="s">
        <v>112</v>
      </c>
      <c r="D100" s="41" t="s">
        <v>17</v>
      </c>
      <c r="E100" s="42"/>
      <c r="F100" s="41" t="s">
        <v>328</v>
      </c>
      <c r="G100" s="42"/>
      <c r="H100" s="42"/>
      <c r="I100" s="48" t="s">
        <v>329</v>
      </c>
      <c r="J100" s="41" t="s">
        <v>302</v>
      </c>
      <c r="K100" s="43" t="str">
        <f t="shared" si="1"/>
        <v>No Attunement Required, Base Item, Medium Armor, Base Armor, 0</v>
      </c>
      <c r="L100" s="43" t="str">
        <f t="shared" si="2"/>
        <v>No Attunement Required</v>
      </c>
      <c r="M100" s="44" t="s">
        <v>119</v>
      </c>
      <c r="N100" s="42"/>
      <c r="O100" s="46" t="s">
        <v>17</v>
      </c>
      <c r="P100" s="42"/>
      <c r="Q100" s="42"/>
      <c r="R100" s="43"/>
      <c r="S100" s="42"/>
      <c r="T100" s="42"/>
      <c r="U100" s="42"/>
      <c r="V100" s="42"/>
      <c r="W100" s="42"/>
      <c r="X100" s="42"/>
      <c r="Y100" s="42"/>
      <c r="Z100" s="42"/>
      <c r="AA100" s="44" t="s">
        <v>105</v>
      </c>
      <c r="AB100" s="42"/>
      <c r="AC100" s="42"/>
      <c r="AD100" s="42"/>
      <c r="AE100" s="42"/>
      <c r="AF100" s="42"/>
      <c r="AG100" s="42"/>
      <c r="AH100" s="42"/>
      <c r="AI100" s="42">
        <f t="shared" si="3"/>
        <v>0</v>
      </c>
      <c r="AJ100" s="42"/>
      <c r="AK100" s="42"/>
    </row>
    <row r="101">
      <c r="A101" s="41" t="s">
        <v>330</v>
      </c>
      <c r="B101" s="41" t="s">
        <v>117</v>
      </c>
      <c r="C101" s="41" t="s">
        <v>112</v>
      </c>
      <c r="D101" s="41" t="s">
        <v>331</v>
      </c>
      <c r="E101" s="42"/>
      <c r="F101" s="41" t="s">
        <v>332</v>
      </c>
      <c r="G101" s="41" t="s">
        <v>333</v>
      </c>
      <c r="H101" s="41" t="s">
        <v>334</v>
      </c>
      <c r="I101" s="41" t="s">
        <v>335</v>
      </c>
      <c r="J101" s="41" t="s">
        <v>302</v>
      </c>
      <c r="K101" s="43" t="str">
        <f t="shared" si="1"/>
        <v>No Attunement Required, Base Item, Simple Weapon, Base Weapons, Melee Weapons, 0</v>
      </c>
      <c r="L101" s="43" t="str">
        <f t="shared" si="2"/>
        <v>No Attunement Required</v>
      </c>
      <c r="M101" s="44" t="s">
        <v>119</v>
      </c>
      <c r="N101" s="42"/>
      <c r="O101" s="42"/>
      <c r="P101" s="44" t="s">
        <v>336</v>
      </c>
      <c r="Q101" s="44"/>
      <c r="R101" s="42"/>
      <c r="S101" s="42"/>
      <c r="T101" s="42"/>
      <c r="U101" s="42"/>
      <c r="V101" s="42"/>
      <c r="W101" s="42"/>
      <c r="X101" s="42"/>
      <c r="Y101" s="42"/>
      <c r="Z101" s="44" t="s">
        <v>104</v>
      </c>
      <c r="AA101" s="42"/>
      <c r="AB101" s="42"/>
      <c r="AC101" s="42"/>
      <c r="AD101" s="42"/>
      <c r="AE101" s="42"/>
      <c r="AF101" s="41" t="s">
        <v>107</v>
      </c>
      <c r="AG101" s="42"/>
      <c r="AH101" s="42"/>
      <c r="AI101" s="42">
        <f t="shared" si="3"/>
        <v>0</v>
      </c>
      <c r="AJ101" s="42"/>
      <c r="AK101" s="42"/>
    </row>
    <row r="102">
      <c r="A102" s="41" t="s">
        <v>337</v>
      </c>
      <c r="B102" s="41" t="s">
        <v>117</v>
      </c>
      <c r="C102" s="41" t="s">
        <v>112</v>
      </c>
      <c r="D102" s="41" t="s">
        <v>300</v>
      </c>
      <c r="E102" s="42"/>
      <c r="F102" s="42"/>
      <c r="G102" s="42"/>
      <c r="H102" s="42"/>
      <c r="I102" s="41" t="s">
        <v>338</v>
      </c>
      <c r="J102" s="41" t="s">
        <v>302</v>
      </c>
      <c r="K102" s="43" t="str">
        <f t="shared" si="1"/>
        <v>No Attunement Required, Tools and Instruments, 0</v>
      </c>
      <c r="L102" s="43" t="str">
        <f t="shared" si="2"/>
        <v>No Attunement Required</v>
      </c>
      <c r="M102" s="42"/>
      <c r="N102" s="42"/>
      <c r="O102" s="42"/>
      <c r="P102" s="44"/>
      <c r="Q102" s="44"/>
      <c r="R102" s="42"/>
      <c r="S102" s="42"/>
      <c r="T102" s="42"/>
      <c r="U102" s="42"/>
      <c r="V102" s="42"/>
      <c r="W102" s="42"/>
      <c r="X102" s="42"/>
      <c r="Y102" s="42"/>
      <c r="Z102" s="42"/>
      <c r="AA102" s="42"/>
      <c r="AB102" s="42"/>
      <c r="AC102" s="44" t="s">
        <v>19</v>
      </c>
      <c r="AD102" s="42"/>
      <c r="AE102" s="42"/>
      <c r="AF102" s="42"/>
      <c r="AG102" s="42"/>
      <c r="AH102" s="42"/>
      <c r="AI102" s="42">
        <f t="shared" si="3"/>
        <v>0</v>
      </c>
      <c r="AJ102" s="42"/>
      <c r="AK102" s="42"/>
    </row>
    <row r="103">
      <c r="A103" s="41" t="s">
        <v>339</v>
      </c>
      <c r="B103" s="41" t="s">
        <v>117</v>
      </c>
      <c r="C103" s="41" t="s">
        <v>112</v>
      </c>
      <c r="D103" s="41" t="s">
        <v>300</v>
      </c>
      <c r="E103" s="42"/>
      <c r="F103" s="42"/>
      <c r="G103" s="42"/>
      <c r="H103" s="42"/>
      <c r="I103" s="41" t="s">
        <v>340</v>
      </c>
      <c r="J103" s="41" t="s">
        <v>302</v>
      </c>
      <c r="K103" s="43" t="str">
        <f t="shared" si="1"/>
        <v>No Attunement Required, Tools and Instruments, 0</v>
      </c>
      <c r="L103" s="43" t="str">
        <f t="shared" si="2"/>
        <v>No Attunement Required</v>
      </c>
      <c r="M103" s="42"/>
      <c r="N103" s="42"/>
      <c r="O103" s="42"/>
      <c r="P103" s="42"/>
      <c r="Q103" s="42"/>
      <c r="R103" s="42"/>
      <c r="S103" s="42"/>
      <c r="T103" s="42"/>
      <c r="U103" s="42"/>
      <c r="V103" s="42"/>
      <c r="W103" s="42"/>
      <c r="X103" s="42"/>
      <c r="Y103" s="42"/>
      <c r="Z103" s="42"/>
      <c r="AA103" s="42"/>
      <c r="AB103" s="42"/>
      <c r="AC103" s="44" t="s">
        <v>19</v>
      </c>
      <c r="AD103" s="42"/>
      <c r="AE103" s="42"/>
      <c r="AF103" s="42"/>
      <c r="AG103" s="42"/>
      <c r="AH103" s="42"/>
      <c r="AI103" s="42">
        <f t="shared" si="3"/>
        <v>0</v>
      </c>
      <c r="AJ103" s="42"/>
      <c r="AK103" s="42"/>
    </row>
    <row r="104">
      <c r="A104" s="41" t="s">
        <v>341</v>
      </c>
      <c r="B104" s="41" t="s">
        <v>117</v>
      </c>
      <c r="C104" s="41" t="s">
        <v>112</v>
      </c>
      <c r="D104" s="41" t="s">
        <v>331</v>
      </c>
      <c r="E104" s="42"/>
      <c r="F104" s="41" t="s">
        <v>342</v>
      </c>
      <c r="G104" s="41" t="s">
        <v>343</v>
      </c>
      <c r="H104" s="41" t="s">
        <v>344</v>
      </c>
      <c r="I104" s="41" t="s">
        <v>345</v>
      </c>
      <c r="J104" s="41" t="s">
        <v>302</v>
      </c>
      <c r="K104" s="43" t="str">
        <f t="shared" si="1"/>
        <v>No Attunement Required, Base Item, Simple Weapon, Base Weapons, Melee Weapons, 0</v>
      </c>
      <c r="L104" s="43" t="str">
        <f t="shared" si="2"/>
        <v>No Attunement Required</v>
      </c>
      <c r="M104" s="44" t="s">
        <v>119</v>
      </c>
      <c r="N104" s="42"/>
      <c r="O104" s="42"/>
      <c r="P104" s="44" t="s">
        <v>336</v>
      </c>
      <c r="Q104" s="44"/>
      <c r="R104" s="42"/>
      <c r="S104" s="42"/>
      <c r="T104" s="42"/>
      <c r="U104" s="42"/>
      <c r="V104" s="42"/>
      <c r="W104" s="42"/>
      <c r="X104" s="44"/>
      <c r="Y104" s="42"/>
      <c r="Z104" s="44" t="s">
        <v>104</v>
      </c>
      <c r="AA104" s="42"/>
      <c r="AB104" s="42"/>
      <c r="AC104" s="42"/>
      <c r="AD104" s="42"/>
      <c r="AE104" s="42"/>
      <c r="AF104" s="41" t="s">
        <v>107</v>
      </c>
      <c r="AG104" s="42"/>
      <c r="AH104" s="42"/>
      <c r="AI104" s="42">
        <f t="shared" si="3"/>
        <v>0</v>
      </c>
      <c r="AJ104" s="42"/>
      <c r="AK104" s="42"/>
    </row>
    <row r="105">
      <c r="A105" s="41" t="s">
        <v>346</v>
      </c>
      <c r="B105" s="41" t="s">
        <v>117</v>
      </c>
      <c r="C105" s="41" t="s">
        <v>112</v>
      </c>
      <c r="D105" s="41" t="s">
        <v>347</v>
      </c>
      <c r="E105" s="42"/>
      <c r="F105" s="41" t="s">
        <v>342</v>
      </c>
      <c r="G105" s="41" t="s">
        <v>348</v>
      </c>
      <c r="H105" s="41" t="s">
        <v>314</v>
      </c>
      <c r="I105" s="41" t="s">
        <v>349</v>
      </c>
      <c r="J105" s="41" t="s">
        <v>302</v>
      </c>
      <c r="K105" s="43" t="str">
        <f t="shared" si="1"/>
        <v>No Attunement Required, Base Item, Simple Weapon, Grants Advantage, Base Weapons, Ranged Weapons, 0</v>
      </c>
      <c r="L105" s="43" t="str">
        <f t="shared" si="2"/>
        <v>No Attunement Required</v>
      </c>
      <c r="M105" s="44" t="s">
        <v>119</v>
      </c>
      <c r="N105" s="42"/>
      <c r="O105" s="42"/>
      <c r="P105" s="44" t="s">
        <v>336</v>
      </c>
      <c r="Q105" s="44"/>
      <c r="R105" s="42"/>
      <c r="S105" s="44"/>
      <c r="T105" s="44"/>
      <c r="U105" s="44" t="s">
        <v>42</v>
      </c>
      <c r="V105" s="42"/>
      <c r="W105" s="42"/>
      <c r="X105" s="42"/>
      <c r="Y105" s="42"/>
      <c r="Z105" s="44" t="s">
        <v>104</v>
      </c>
      <c r="AA105" s="42"/>
      <c r="AB105" s="42"/>
      <c r="AC105" s="42"/>
      <c r="AD105" s="42"/>
      <c r="AE105" s="44" t="s">
        <v>106</v>
      </c>
      <c r="AF105" s="42"/>
      <c r="AG105" s="42"/>
      <c r="AH105" s="42"/>
      <c r="AI105" s="42">
        <f t="shared" si="3"/>
        <v>0</v>
      </c>
      <c r="AJ105" s="42"/>
      <c r="AK105" s="42"/>
    </row>
    <row r="106">
      <c r="A106" s="41" t="s">
        <v>350</v>
      </c>
      <c r="B106" s="41" t="s">
        <v>117</v>
      </c>
      <c r="C106" s="41" t="s">
        <v>112</v>
      </c>
      <c r="D106" s="41" t="s">
        <v>351</v>
      </c>
      <c r="E106" s="42"/>
      <c r="F106" s="42"/>
      <c r="G106" s="42"/>
      <c r="H106" s="42"/>
      <c r="I106" s="41" t="s">
        <v>352</v>
      </c>
      <c r="J106" s="41" t="s">
        <v>302</v>
      </c>
      <c r="K106" s="43" t="str">
        <f t="shared" si="1"/>
        <v>No Attunement Required, Tools and Instruments, 0</v>
      </c>
      <c r="L106" s="43" t="str">
        <f t="shared" si="2"/>
        <v>No Attunement Required</v>
      </c>
      <c r="M106" s="42"/>
      <c r="N106" s="42"/>
      <c r="O106" s="42"/>
      <c r="P106" s="44"/>
      <c r="Q106" s="44"/>
      <c r="R106" s="42"/>
      <c r="S106" s="42"/>
      <c r="T106" s="42"/>
      <c r="U106" s="42"/>
      <c r="V106" s="42"/>
      <c r="W106" s="42"/>
      <c r="X106" s="42"/>
      <c r="Y106" s="42"/>
      <c r="Z106" s="42"/>
      <c r="AA106" s="42"/>
      <c r="AB106" s="42"/>
      <c r="AC106" s="44" t="s">
        <v>19</v>
      </c>
      <c r="AD106" s="42"/>
      <c r="AE106" s="42"/>
      <c r="AF106" s="42"/>
      <c r="AG106" s="42"/>
      <c r="AH106" s="42"/>
      <c r="AI106" s="42">
        <f t="shared" si="3"/>
        <v>0</v>
      </c>
      <c r="AJ106" s="42"/>
      <c r="AK106" s="42"/>
    </row>
    <row r="107">
      <c r="A107" s="41" t="s">
        <v>353</v>
      </c>
      <c r="B107" s="41" t="s">
        <v>117</v>
      </c>
      <c r="C107" s="41" t="s">
        <v>112</v>
      </c>
      <c r="D107" s="41" t="s">
        <v>354</v>
      </c>
      <c r="E107" s="42"/>
      <c r="F107" s="42"/>
      <c r="G107" s="42"/>
      <c r="H107" s="42"/>
      <c r="I107" s="41" t="s">
        <v>355</v>
      </c>
      <c r="J107" s="41" t="s">
        <v>302</v>
      </c>
      <c r="K107" s="43" t="str">
        <f t="shared" si="1"/>
        <v>No Attunement Required, Tools and Instruments, 0</v>
      </c>
      <c r="L107" s="43" t="str">
        <f t="shared" si="2"/>
        <v>No Attunement Required</v>
      </c>
      <c r="M107" s="42"/>
      <c r="N107" s="42"/>
      <c r="O107" s="42"/>
      <c r="P107" s="42"/>
      <c r="Q107" s="42"/>
      <c r="R107" s="42"/>
      <c r="S107" s="42"/>
      <c r="T107" s="42"/>
      <c r="U107" s="42"/>
      <c r="V107" s="42"/>
      <c r="W107" s="42"/>
      <c r="X107" s="42"/>
      <c r="Y107" s="42"/>
      <c r="Z107" s="42"/>
      <c r="AA107" s="42"/>
      <c r="AB107" s="42"/>
      <c r="AC107" s="44" t="s">
        <v>19</v>
      </c>
      <c r="AD107" s="42"/>
      <c r="AE107" s="42"/>
      <c r="AF107" s="42"/>
      <c r="AG107" s="42"/>
      <c r="AH107" s="42"/>
      <c r="AI107" s="42">
        <f t="shared" si="3"/>
        <v>0</v>
      </c>
      <c r="AJ107" s="42"/>
      <c r="AK107" s="42"/>
    </row>
    <row r="108">
      <c r="A108" s="41" t="s">
        <v>356</v>
      </c>
      <c r="B108" s="41" t="s">
        <v>357</v>
      </c>
      <c r="C108" s="41" t="s">
        <v>112</v>
      </c>
      <c r="D108" s="41" t="s">
        <v>304</v>
      </c>
      <c r="E108" s="42"/>
      <c r="F108" s="41" t="s">
        <v>358</v>
      </c>
      <c r="G108" s="41" t="s">
        <v>359</v>
      </c>
      <c r="H108" s="42"/>
      <c r="I108" s="41" t="s">
        <v>360</v>
      </c>
      <c r="J108" s="41" t="s">
        <v>302</v>
      </c>
      <c r="K108" s="43" t="str">
        <f t="shared" si="1"/>
        <v>No Attunement Required, Base Item, Martial Weapon, Base Weapons, Melee Weapons, 0</v>
      </c>
      <c r="L108" s="43" t="str">
        <f t="shared" si="2"/>
        <v>No Attunement Required</v>
      </c>
      <c r="M108" s="44" t="s">
        <v>119</v>
      </c>
      <c r="N108" s="42"/>
      <c r="O108" s="42"/>
      <c r="P108" s="44" t="s">
        <v>309</v>
      </c>
      <c r="Q108" s="44"/>
      <c r="R108" s="42"/>
      <c r="S108" s="42"/>
      <c r="T108" s="42"/>
      <c r="U108" s="42"/>
      <c r="V108" s="42"/>
      <c r="W108" s="42"/>
      <c r="X108" s="42"/>
      <c r="Y108" s="42"/>
      <c r="Z108" s="44" t="s">
        <v>104</v>
      </c>
      <c r="AA108" s="42"/>
      <c r="AB108" s="42"/>
      <c r="AC108" s="42"/>
      <c r="AD108" s="42"/>
      <c r="AE108" s="42"/>
      <c r="AF108" s="41" t="s">
        <v>107</v>
      </c>
      <c r="AG108" s="42"/>
      <c r="AH108" s="42"/>
      <c r="AI108" s="42">
        <f t="shared" si="3"/>
        <v>0</v>
      </c>
      <c r="AJ108" s="42"/>
      <c r="AK108" s="42"/>
    </row>
    <row r="109">
      <c r="A109" s="41" t="s">
        <v>361</v>
      </c>
      <c r="B109" s="41" t="s">
        <v>117</v>
      </c>
      <c r="C109" s="41" t="s">
        <v>112</v>
      </c>
      <c r="D109" s="41" t="s">
        <v>351</v>
      </c>
      <c r="E109" s="42"/>
      <c r="F109" s="42"/>
      <c r="G109" s="42"/>
      <c r="H109" s="42"/>
      <c r="I109" s="41" t="s">
        <v>352</v>
      </c>
      <c r="J109" s="41" t="s">
        <v>302</v>
      </c>
      <c r="K109" s="43" t="str">
        <f t="shared" si="1"/>
        <v>No Attunement Required, Tools and Instruments, 0</v>
      </c>
      <c r="L109" s="43" t="str">
        <f t="shared" si="2"/>
        <v>No Attunement Required</v>
      </c>
      <c r="M109" s="42"/>
      <c r="N109" s="42"/>
      <c r="O109" s="42"/>
      <c r="P109" s="44"/>
      <c r="Q109" s="44"/>
      <c r="R109" s="42"/>
      <c r="S109" s="42"/>
      <c r="T109" s="42"/>
      <c r="U109" s="42"/>
      <c r="V109" s="42"/>
      <c r="W109" s="42"/>
      <c r="X109" s="42"/>
      <c r="Y109" s="42"/>
      <c r="Z109" s="42"/>
      <c r="AA109" s="42"/>
      <c r="AB109" s="42"/>
      <c r="AC109" s="44" t="s">
        <v>19</v>
      </c>
      <c r="AD109" s="42"/>
      <c r="AE109" s="42"/>
      <c r="AF109" s="42"/>
      <c r="AG109" s="42"/>
      <c r="AH109" s="42"/>
      <c r="AI109" s="42">
        <f t="shared" si="3"/>
        <v>0</v>
      </c>
      <c r="AJ109" s="42"/>
      <c r="AK109" s="42"/>
    </row>
    <row r="110">
      <c r="A110" s="41" t="s">
        <v>362</v>
      </c>
      <c r="B110" s="41" t="s">
        <v>117</v>
      </c>
      <c r="C110" s="41" t="s">
        <v>112</v>
      </c>
      <c r="D110" s="41" t="s">
        <v>304</v>
      </c>
      <c r="E110" s="42"/>
      <c r="F110" s="41" t="s">
        <v>363</v>
      </c>
      <c r="G110" s="42"/>
      <c r="H110" s="41" t="s">
        <v>364</v>
      </c>
      <c r="I110" s="41" t="s">
        <v>365</v>
      </c>
      <c r="J110" s="41" t="s">
        <v>302</v>
      </c>
      <c r="K110" s="43" t="str">
        <f t="shared" si="1"/>
        <v>No Attunement Required, Base Item, Martial Weapon, Imposes Disadvantage, Base Weapons, Melee Weapons, 0</v>
      </c>
      <c r="L110" s="43" t="str">
        <f t="shared" si="2"/>
        <v>No Attunement Required</v>
      </c>
      <c r="M110" s="44" t="s">
        <v>119</v>
      </c>
      <c r="N110" s="42"/>
      <c r="O110" s="42"/>
      <c r="P110" s="44" t="s">
        <v>309</v>
      </c>
      <c r="Q110" s="44"/>
      <c r="R110" s="42"/>
      <c r="S110" s="42"/>
      <c r="T110" s="42"/>
      <c r="U110" s="44" t="s">
        <v>43</v>
      </c>
      <c r="V110" s="42"/>
      <c r="W110" s="42"/>
      <c r="X110" s="42"/>
      <c r="Y110" s="42"/>
      <c r="Z110" s="44" t="s">
        <v>104</v>
      </c>
      <c r="AA110" s="42"/>
      <c r="AB110" s="42"/>
      <c r="AC110" s="42"/>
      <c r="AD110" s="42"/>
      <c r="AE110" s="42"/>
      <c r="AF110" s="41" t="s">
        <v>107</v>
      </c>
      <c r="AG110" s="42"/>
      <c r="AH110" s="42"/>
      <c r="AI110" s="42">
        <f t="shared" si="3"/>
        <v>0</v>
      </c>
      <c r="AJ110" s="42"/>
      <c r="AK110" s="42"/>
    </row>
    <row r="111">
      <c r="A111" s="41" t="s">
        <v>366</v>
      </c>
      <c r="B111" s="41" t="s">
        <v>117</v>
      </c>
      <c r="C111" s="41" t="s">
        <v>112</v>
      </c>
      <c r="D111" s="41" t="s">
        <v>354</v>
      </c>
      <c r="E111" s="42"/>
      <c r="F111" s="42"/>
      <c r="G111" s="42"/>
      <c r="H111" s="42"/>
      <c r="I111" s="41" t="s">
        <v>367</v>
      </c>
      <c r="J111" s="41" t="s">
        <v>302</v>
      </c>
      <c r="K111" s="43" t="str">
        <f t="shared" si="1"/>
        <v>No Attunement Required, Tools and Instruments, 0</v>
      </c>
      <c r="L111" s="43" t="str">
        <f t="shared" si="2"/>
        <v>No Attunement Required</v>
      </c>
      <c r="M111" s="42"/>
      <c r="N111" s="42"/>
      <c r="O111" s="42"/>
      <c r="P111" s="42"/>
      <c r="Q111" s="42"/>
      <c r="R111" s="42"/>
      <c r="S111" s="44"/>
      <c r="T111" s="44"/>
      <c r="U111" s="42"/>
      <c r="V111" s="42"/>
      <c r="W111" s="42"/>
      <c r="X111" s="42"/>
      <c r="Y111" s="42"/>
      <c r="Z111" s="42"/>
      <c r="AA111" s="42"/>
      <c r="AB111" s="42"/>
      <c r="AC111" s="44" t="s">
        <v>19</v>
      </c>
      <c r="AD111" s="42"/>
      <c r="AE111" s="42"/>
      <c r="AF111" s="42"/>
      <c r="AG111" s="42"/>
      <c r="AH111" s="42"/>
      <c r="AI111" s="42">
        <f t="shared" si="3"/>
        <v>0</v>
      </c>
      <c r="AJ111" s="42"/>
      <c r="AK111" s="42"/>
    </row>
    <row r="112">
      <c r="A112" s="41" t="s">
        <v>351</v>
      </c>
      <c r="B112" s="41" t="s">
        <v>117</v>
      </c>
      <c r="C112" s="41" t="s">
        <v>112</v>
      </c>
      <c r="D112" s="41" t="s">
        <v>351</v>
      </c>
      <c r="E112" s="42"/>
      <c r="F112" s="42"/>
      <c r="G112" s="42"/>
      <c r="H112" s="42"/>
      <c r="I112" s="41" t="s">
        <v>368</v>
      </c>
      <c r="J112" s="41" t="s">
        <v>302</v>
      </c>
      <c r="K112" s="43" t="str">
        <f t="shared" si="1"/>
        <v>No Attunement Required, Tools and Instruments, 0</v>
      </c>
      <c r="L112" s="43" t="str">
        <f t="shared" si="2"/>
        <v>No Attunement Required</v>
      </c>
      <c r="M112" s="42"/>
      <c r="N112" s="42"/>
      <c r="O112" s="42"/>
      <c r="P112" s="42"/>
      <c r="Q112" s="42"/>
      <c r="R112" s="42"/>
      <c r="S112" s="42"/>
      <c r="T112" s="42"/>
      <c r="U112" s="42"/>
      <c r="V112" s="42"/>
      <c r="W112" s="42"/>
      <c r="X112" s="44"/>
      <c r="Y112" s="42"/>
      <c r="Z112" s="42"/>
      <c r="AA112" s="42"/>
      <c r="AB112" s="42"/>
      <c r="AC112" s="44" t="s">
        <v>19</v>
      </c>
      <c r="AD112" s="42"/>
      <c r="AE112" s="42"/>
      <c r="AF112" s="42"/>
      <c r="AG112" s="42"/>
      <c r="AH112" s="42"/>
      <c r="AI112" s="42">
        <f t="shared" si="3"/>
        <v>0</v>
      </c>
      <c r="AJ112" s="42"/>
      <c r="AK112" s="42"/>
    </row>
    <row r="113">
      <c r="A113" s="41" t="s">
        <v>369</v>
      </c>
      <c r="B113" s="41" t="s">
        <v>117</v>
      </c>
      <c r="C113" s="41" t="s">
        <v>112</v>
      </c>
      <c r="D113" s="41" t="s">
        <v>304</v>
      </c>
      <c r="E113" s="42"/>
      <c r="F113" s="41" t="s">
        <v>370</v>
      </c>
      <c r="G113" s="41" t="s">
        <v>371</v>
      </c>
      <c r="H113" s="41" t="s">
        <v>372</v>
      </c>
      <c r="I113" s="41" t="s">
        <v>373</v>
      </c>
      <c r="J113" s="41" t="s">
        <v>302</v>
      </c>
      <c r="K113" s="43" t="str">
        <f t="shared" si="1"/>
        <v>No Attunement Required, Base Item, Martial Weapon, Base Weapons, Melee Weapons, 0</v>
      </c>
      <c r="L113" s="43" t="str">
        <f t="shared" si="2"/>
        <v>No Attunement Required</v>
      </c>
      <c r="M113" s="44" t="s">
        <v>119</v>
      </c>
      <c r="N113" s="42"/>
      <c r="O113" s="42"/>
      <c r="P113" s="44" t="s">
        <v>309</v>
      </c>
      <c r="Q113" s="44"/>
      <c r="R113" s="42"/>
      <c r="S113" s="42"/>
      <c r="T113" s="42"/>
      <c r="U113" s="42"/>
      <c r="V113" s="42"/>
      <c r="W113" s="42"/>
      <c r="X113" s="42"/>
      <c r="Y113" s="42"/>
      <c r="Z113" s="44" t="s">
        <v>104</v>
      </c>
      <c r="AA113" s="42"/>
      <c r="AB113" s="42"/>
      <c r="AC113" s="42"/>
      <c r="AD113" s="42"/>
      <c r="AE113" s="42"/>
      <c r="AF113" s="41" t="s">
        <v>107</v>
      </c>
      <c r="AG113" s="42"/>
      <c r="AH113" s="42"/>
      <c r="AI113" s="42">
        <f t="shared" si="3"/>
        <v>0</v>
      </c>
      <c r="AJ113" s="42"/>
      <c r="AK113" s="42"/>
    </row>
    <row r="114">
      <c r="A114" s="41" t="s">
        <v>374</v>
      </c>
      <c r="B114" s="41" t="s">
        <v>117</v>
      </c>
      <c r="C114" s="41" t="s">
        <v>112</v>
      </c>
      <c r="D114" s="41" t="s">
        <v>300</v>
      </c>
      <c r="E114" s="42"/>
      <c r="F114" s="42"/>
      <c r="G114" s="42"/>
      <c r="H114" s="42"/>
      <c r="I114" s="41" t="s">
        <v>375</v>
      </c>
      <c r="J114" s="41" t="s">
        <v>302</v>
      </c>
      <c r="K114" s="43" t="str">
        <f t="shared" si="1"/>
        <v>No Attunement Required, Tools and Instruments, 0</v>
      </c>
      <c r="L114" s="43" t="str">
        <f t="shared" si="2"/>
        <v>No Attunement Required</v>
      </c>
      <c r="M114" s="42"/>
      <c r="N114" s="42"/>
      <c r="O114" s="42"/>
      <c r="P114" s="42"/>
      <c r="Q114" s="42"/>
      <c r="R114" s="42"/>
      <c r="S114" s="42"/>
      <c r="T114" s="42"/>
      <c r="U114" s="42"/>
      <c r="V114" s="42"/>
      <c r="W114" s="42"/>
      <c r="X114" s="42"/>
      <c r="Y114" s="42"/>
      <c r="Z114" s="42"/>
      <c r="AA114" s="42"/>
      <c r="AB114" s="42"/>
      <c r="AC114" s="44" t="s">
        <v>19</v>
      </c>
      <c r="AD114" s="42"/>
      <c r="AE114" s="42"/>
      <c r="AF114" s="42"/>
      <c r="AG114" s="42"/>
      <c r="AH114" s="42"/>
      <c r="AI114" s="42">
        <f t="shared" si="3"/>
        <v>0</v>
      </c>
      <c r="AJ114" s="42"/>
      <c r="AK114" s="42"/>
    </row>
    <row r="115">
      <c r="A115" s="41" t="s">
        <v>376</v>
      </c>
      <c r="B115" s="41" t="s">
        <v>117</v>
      </c>
      <c r="C115" s="41" t="s">
        <v>112</v>
      </c>
      <c r="D115" s="41" t="s">
        <v>304</v>
      </c>
      <c r="E115" s="42"/>
      <c r="F115" s="41" t="s">
        <v>377</v>
      </c>
      <c r="G115" s="41" t="s">
        <v>378</v>
      </c>
      <c r="H115" s="41" t="s">
        <v>379</v>
      </c>
      <c r="I115" s="41" t="s">
        <v>380</v>
      </c>
      <c r="J115" s="41" t="s">
        <v>302</v>
      </c>
      <c r="K115" s="43" t="str">
        <f t="shared" si="1"/>
        <v>No Attunement Required, Base Item, Martial Weapon, Base Weapons, Melee Weapons, 0</v>
      </c>
      <c r="L115" s="43" t="str">
        <f t="shared" si="2"/>
        <v>No Attunement Required</v>
      </c>
      <c r="M115" s="44" t="s">
        <v>119</v>
      </c>
      <c r="N115" s="42"/>
      <c r="O115" s="42"/>
      <c r="P115" s="44" t="s">
        <v>309</v>
      </c>
      <c r="Q115" s="44"/>
      <c r="R115" s="42"/>
      <c r="S115" s="42"/>
      <c r="T115" s="42"/>
      <c r="U115" s="42"/>
      <c r="V115" s="42"/>
      <c r="W115" s="42"/>
      <c r="X115" s="42"/>
      <c r="Y115" s="42"/>
      <c r="Z115" s="44" t="s">
        <v>104</v>
      </c>
      <c r="AA115" s="42"/>
      <c r="AB115" s="42"/>
      <c r="AC115" s="42"/>
      <c r="AD115" s="42"/>
      <c r="AE115" s="42"/>
      <c r="AF115" s="41" t="s">
        <v>107</v>
      </c>
      <c r="AG115" s="42"/>
      <c r="AH115" s="42"/>
      <c r="AI115" s="42">
        <f t="shared" si="3"/>
        <v>0</v>
      </c>
      <c r="AJ115" s="42"/>
      <c r="AK115" s="42"/>
    </row>
    <row r="116">
      <c r="A116" s="41" t="s">
        <v>381</v>
      </c>
      <c r="B116" s="41" t="s">
        <v>117</v>
      </c>
      <c r="C116" s="41" t="s">
        <v>112</v>
      </c>
      <c r="D116" s="41" t="s">
        <v>331</v>
      </c>
      <c r="E116" s="42"/>
      <c r="F116" s="41" t="s">
        <v>363</v>
      </c>
      <c r="G116" s="41" t="s">
        <v>382</v>
      </c>
      <c r="H116" s="41" t="s">
        <v>383</v>
      </c>
      <c r="I116" s="41" t="s">
        <v>384</v>
      </c>
      <c r="J116" s="41" t="s">
        <v>302</v>
      </c>
      <c r="K116" s="43" t="str">
        <f t="shared" si="1"/>
        <v>No Attunement Required, Base Item, Simple Weapon, Base Weapons, Melee Weapons, 0</v>
      </c>
      <c r="L116" s="43" t="str">
        <f t="shared" si="2"/>
        <v>No Attunement Required</v>
      </c>
      <c r="M116" s="44" t="s">
        <v>119</v>
      </c>
      <c r="N116" s="42"/>
      <c r="O116" s="42"/>
      <c r="P116" s="44" t="s">
        <v>336</v>
      </c>
      <c r="Q116" s="44"/>
      <c r="R116" s="42"/>
      <c r="S116" s="42"/>
      <c r="T116" s="42"/>
      <c r="U116" s="42"/>
      <c r="V116" s="42"/>
      <c r="W116" s="42"/>
      <c r="X116" s="42"/>
      <c r="Y116" s="42"/>
      <c r="Z116" s="44" t="s">
        <v>104</v>
      </c>
      <c r="AA116" s="42"/>
      <c r="AB116" s="42"/>
      <c r="AC116" s="42"/>
      <c r="AD116" s="42"/>
      <c r="AE116" s="42"/>
      <c r="AF116" s="41" t="s">
        <v>107</v>
      </c>
      <c r="AG116" s="42"/>
      <c r="AH116" s="42"/>
      <c r="AI116" s="42">
        <f t="shared" si="3"/>
        <v>0</v>
      </c>
      <c r="AJ116" s="42"/>
      <c r="AK116" s="42"/>
    </row>
    <row r="117">
      <c r="A117" s="41" t="s">
        <v>385</v>
      </c>
      <c r="B117" s="41" t="s">
        <v>117</v>
      </c>
      <c r="C117" s="41" t="s">
        <v>112</v>
      </c>
      <c r="D117" s="41" t="s">
        <v>304</v>
      </c>
      <c r="E117" s="42"/>
      <c r="F117" s="41" t="s">
        <v>386</v>
      </c>
      <c r="G117" s="41" t="s">
        <v>378</v>
      </c>
      <c r="H117" s="41" t="s">
        <v>372</v>
      </c>
      <c r="I117" s="41" t="s">
        <v>387</v>
      </c>
      <c r="J117" s="41" t="s">
        <v>302</v>
      </c>
      <c r="K117" s="43" t="str">
        <f t="shared" si="1"/>
        <v>No Attunement Required, Base Item, Martial Weapon, Base Weapons, Melee Weapons, 0</v>
      </c>
      <c r="L117" s="43" t="str">
        <f t="shared" si="2"/>
        <v>No Attunement Required</v>
      </c>
      <c r="M117" s="44" t="s">
        <v>119</v>
      </c>
      <c r="N117" s="42"/>
      <c r="O117" s="42"/>
      <c r="P117" s="44" t="s">
        <v>309</v>
      </c>
      <c r="Q117" s="44"/>
      <c r="R117" s="42"/>
      <c r="S117" s="42"/>
      <c r="T117" s="42"/>
      <c r="U117" s="42"/>
      <c r="V117" s="42"/>
      <c r="W117" s="42"/>
      <c r="X117" s="42"/>
      <c r="Y117" s="42"/>
      <c r="Z117" s="44" t="s">
        <v>104</v>
      </c>
      <c r="AA117" s="42"/>
      <c r="AB117" s="42"/>
      <c r="AC117" s="42"/>
      <c r="AD117" s="42"/>
      <c r="AE117" s="42"/>
      <c r="AF117" s="41" t="s">
        <v>107</v>
      </c>
      <c r="AG117" s="42"/>
      <c r="AH117" s="42"/>
      <c r="AI117" s="42">
        <f t="shared" si="3"/>
        <v>0</v>
      </c>
      <c r="AJ117" s="42"/>
      <c r="AK117" s="42"/>
    </row>
    <row r="118">
      <c r="A118" s="41" t="s">
        <v>388</v>
      </c>
      <c r="B118" s="41" t="s">
        <v>117</v>
      </c>
      <c r="C118" s="41" t="s">
        <v>112</v>
      </c>
      <c r="D118" s="41" t="s">
        <v>304</v>
      </c>
      <c r="E118" s="42"/>
      <c r="F118" s="41" t="s">
        <v>370</v>
      </c>
      <c r="G118" s="41" t="s">
        <v>371</v>
      </c>
      <c r="H118" s="41" t="s">
        <v>379</v>
      </c>
      <c r="I118" s="41" t="s">
        <v>389</v>
      </c>
      <c r="J118" s="41" t="s">
        <v>302</v>
      </c>
      <c r="K118" s="43" t="str">
        <f t="shared" si="1"/>
        <v>No Attunement Required, Base Item, Martial Weapon, Base Weapons, Melee Weapons, 0</v>
      </c>
      <c r="L118" s="43" t="str">
        <f t="shared" si="2"/>
        <v>No Attunement Required</v>
      </c>
      <c r="M118" s="44" t="s">
        <v>119</v>
      </c>
      <c r="N118" s="42"/>
      <c r="O118" s="42"/>
      <c r="P118" s="44" t="s">
        <v>309</v>
      </c>
      <c r="Q118" s="44"/>
      <c r="R118" s="42"/>
      <c r="S118" s="42"/>
      <c r="T118" s="42"/>
      <c r="U118" s="42"/>
      <c r="V118" s="42"/>
      <c r="W118" s="42"/>
      <c r="X118" s="42"/>
      <c r="Y118" s="42"/>
      <c r="Z118" s="44" t="s">
        <v>104</v>
      </c>
      <c r="AA118" s="42"/>
      <c r="AB118" s="42"/>
      <c r="AC118" s="42"/>
      <c r="AD118" s="42"/>
      <c r="AE118" s="42"/>
      <c r="AF118" s="41" t="s">
        <v>107</v>
      </c>
      <c r="AG118" s="42"/>
      <c r="AH118" s="42"/>
      <c r="AI118" s="42">
        <f t="shared" si="3"/>
        <v>0</v>
      </c>
      <c r="AJ118" s="42"/>
      <c r="AK118" s="42"/>
    </row>
    <row r="119">
      <c r="A119" s="41" t="s">
        <v>390</v>
      </c>
      <c r="B119" s="41" t="s">
        <v>117</v>
      </c>
      <c r="C119" s="41" t="s">
        <v>112</v>
      </c>
      <c r="D119" s="41" t="s">
        <v>311</v>
      </c>
      <c r="E119" s="42"/>
      <c r="F119" s="41" t="s">
        <v>391</v>
      </c>
      <c r="G119" s="41" t="s">
        <v>392</v>
      </c>
      <c r="H119" s="41" t="s">
        <v>314</v>
      </c>
      <c r="I119" s="41" t="s">
        <v>393</v>
      </c>
      <c r="J119" s="41" t="s">
        <v>302</v>
      </c>
      <c r="K119" s="43" t="str">
        <f t="shared" si="1"/>
        <v>No Attunement Required, Base Item, Martial Weapon, Grants Advantage, Base Weapons, Ranged Weapons, 0</v>
      </c>
      <c r="L119" s="43" t="str">
        <f t="shared" si="2"/>
        <v>No Attunement Required</v>
      </c>
      <c r="M119" s="44" t="s">
        <v>119</v>
      </c>
      <c r="N119" s="42"/>
      <c r="O119" s="42"/>
      <c r="P119" s="44" t="s">
        <v>309</v>
      </c>
      <c r="Q119" s="44"/>
      <c r="R119" s="42"/>
      <c r="S119" s="42"/>
      <c r="T119" s="42"/>
      <c r="U119" s="44" t="s">
        <v>42</v>
      </c>
      <c r="V119" s="42"/>
      <c r="W119" s="42"/>
      <c r="X119" s="42"/>
      <c r="Y119" s="42"/>
      <c r="Z119" s="44" t="s">
        <v>104</v>
      </c>
      <c r="AA119" s="42"/>
      <c r="AB119" s="42"/>
      <c r="AC119" s="42"/>
      <c r="AD119" s="42"/>
      <c r="AE119" s="44" t="s">
        <v>106</v>
      </c>
      <c r="AF119" s="42"/>
      <c r="AG119" s="42"/>
      <c r="AH119" s="42"/>
      <c r="AI119" s="42">
        <f t="shared" si="3"/>
        <v>0</v>
      </c>
      <c r="AJ119" s="42"/>
      <c r="AK119" s="42"/>
    </row>
    <row r="120">
      <c r="A120" s="41" t="s">
        <v>394</v>
      </c>
      <c r="B120" s="41" t="s">
        <v>117</v>
      </c>
      <c r="C120" s="41" t="s">
        <v>112</v>
      </c>
      <c r="D120" s="41" t="s">
        <v>331</v>
      </c>
      <c r="E120" s="42"/>
      <c r="F120" s="41" t="s">
        <v>395</v>
      </c>
      <c r="G120" s="41" t="s">
        <v>396</v>
      </c>
      <c r="H120" s="41" t="s">
        <v>314</v>
      </c>
      <c r="I120" s="41" t="s">
        <v>397</v>
      </c>
      <c r="J120" s="41" t="s">
        <v>302</v>
      </c>
      <c r="K120" s="43" t="str">
        <f t="shared" si="1"/>
        <v>No Attunement Required, Base Item, Simple Weapon, Grants Advantage, Base Weapons, Melee Weapons, 0</v>
      </c>
      <c r="L120" s="43" t="str">
        <f t="shared" si="2"/>
        <v>No Attunement Required</v>
      </c>
      <c r="M120" s="44" t="s">
        <v>119</v>
      </c>
      <c r="N120" s="42"/>
      <c r="O120" s="42"/>
      <c r="P120" s="44" t="s">
        <v>336</v>
      </c>
      <c r="Q120" s="44"/>
      <c r="R120" s="42"/>
      <c r="S120" s="42"/>
      <c r="T120" s="42"/>
      <c r="U120" s="44" t="s">
        <v>42</v>
      </c>
      <c r="V120" s="42"/>
      <c r="W120" s="42"/>
      <c r="X120" s="42"/>
      <c r="Y120" s="42"/>
      <c r="Z120" s="44" t="s">
        <v>104</v>
      </c>
      <c r="AA120" s="42"/>
      <c r="AB120" s="42"/>
      <c r="AC120" s="42"/>
      <c r="AD120" s="42"/>
      <c r="AE120" s="42"/>
      <c r="AF120" s="41" t="s">
        <v>107</v>
      </c>
      <c r="AG120" s="42"/>
      <c r="AH120" s="42"/>
      <c r="AI120" s="42">
        <f t="shared" si="3"/>
        <v>0</v>
      </c>
      <c r="AJ120" s="42"/>
      <c r="AK120" s="42"/>
    </row>
    <row r="121">
      <c r="A121" s="41" t="s">
        <v>398</v>
      </c>
      <c r="B121" s="41" t="s">
        <v>117</v>
      </c>
      <c r="C121" s="41" t="s">
        <v>112</v>
      </c>
      <c r="D121" s="41" t="s">
        <v>21</v>
      </c>
      <c r="E121" s="42"/>
      <c r="F121" s="42"/>
      <c r="G121" s="42"/>
      <c r="H121" s="42"/>
      <c r="I121" s="41" t="s">
        <v>399</v>
      </c>
      <c r="J121" s="41" t="s">
        <v>302</v>
      </c>
      <c r="K121" s="43" t="str">
        <f t="shared" si="1"/>
        <v>No Attunement Required, Adventuring Gear, 0</v>
      </c>
      <c r="L121" s="43" t="str">
        <f t="shared" si="2"/>
        <v>No Attunement Required</v>
      </c>
      <c r="M121" s="42"/>
      <c r="N121" s="42"/>
      <c r="O121" s="42"/>
      <c r="P121" s="42"/>
      <c r="Q121" s="42"/>
      <c r="R121" s="42"/>
      <c r="S121" s="42"/>
      <c r="T121" s="42"/>
      <c r="U121" s="42"/>
      <c r="V121" s="42"/>
      <c r="W121" s="42"/>
      <c r="X121" s="42"/>
      <c r="Y121" s="42"/>
      <c r="Z121" s="42"/>
      <c r="AA121" s="42"/>
      <c r="AB121" s="44" t="s">
        <v>21</v>
      </c>
      <c r="AC121" s="42"/>
      <c r="AD121" s="42"/>
      <c r="AE121" s="42"/>
      <c r="AF121" s="42"/>
      <c r="AG121" s="42"/>
      <c r="AH121" s="42"/>
      <c r="AI121" s="42">
        <f t="shared" si="3"/>
        <v>0</v>
      </c>
      <c r="AJ121" s="42"/>
      <c r="AK121" s="42"/>
    </row>
    <row r="122">
      <c r="A122" s="41" t="s">
        <v>400</v>
      </c>
      <c r="B122" s="41" t="s">
        <v>117</v>
      </c>
      <c r="C122" s="41" t="s">
        <v>112</v>
      </c>
      <c r="D122" s="41" t="s">
        <v>311</v>
      </c>
      <c r="E122" s="42"/>
      <c r="F122" s="41" t="s">
        <v>401</v>
      </c>
      <c r="G122" s="41" t="s">
        <v>402</v>
      </c>
      <c r="H122" s="41" t="s">
        <v>383</v>
      </c>
      <c r="I122" s="41" t="s">
        <v>403</v>
      </c>
      <c r="J122" s="41" t="s">
        <v>302</v>
      </c>
      <c r="K122" s="43" t="str">
        <f t="shared" si="1"/>
        <v>No Attunement Required, Base Item, Heavy Armor, Martial Weapon, Base Weapons, Ranged Weapons, 0</v>
      </c>
      <c r="L122" s="43" t="str">
        <f t="shared" si="2"/>
        <v>No Attunement Required</v>
      </c>
      <c r="M122" s="44" t="s">
        <v>119</v>
      </c>
      <c r="N122" s="42"/>
      <c r="O122" s="41" t="s">
        <v>20</v>
      </c>
      <c r="P122" s="44" t="s">
        <v>309</v>
      </c>
      <c r="Q122" s="44"/>
      <c r="R122" s="42"/>
      <c r="S122" s="42"/>
      <c r="T122" s="42"/>
      <c r="U122" s="42"/>
      <c r="V122" s="42"/>
      <c r="W122" s="42"/>
      <c r="X122" s="44"/>
      <c r="Y122" s="42"/>
      <c r="Z122" s="44" t="s">
        <v>104</v>
      </c>
      <c r="AA122" s="42"/>
      <c r="AB122" s="42"/>
      <c r="AC122" s="42"/>
      <c r="AD122" s="42"/>
      <c r="AE122" s="44" t="s">
        <v>106</v>
      </c>
      <c r="AF122" s="42"/>
      <c r="AG122" s="42"/>
      <c r="AH122" s="42"/>
      <c r="AI122" s="42">
        <f t="shared" si="3"/>
        <v>0</v>
      </c>
      <c r="AJ122" s="42"/>
      <c r="AK122" s="42"/>
    </row>
    <row r="123">
      <c r="A123" s="41" t="s">
        <v>404</v>
      </c>
      <c r="B123" s="41" t="s">
        <v>117</v>
      </c>
      <c r="C123" s="41" t="s">
        <v>112</v>
      </c>
      <c r="D123" s="41" t="s">
        <v>354</v>
      </c>
      <c r="E123" s="42"/>
      <c r="F123" s="42"/>
      <c r="G123" s="42"/>
      <c r="H123" s="42"/>
      <c r="I123" s="41" t="s">
        <v>405</v>
      </c>
      <c r="J123" s="41" t="s">
        <v>302</v>
      </c>
      <c r="K123" s="43" t="str">
        <f t="shared" si="1"/>
        <v>No Attunement Required, Tools and Instruments, 0</v>
      </c>
      <c r="L123" s="43" t="str">
        <f t="shared" si="2"/>
        <v>No Attunement Required</v>
      </c>
      <c r="M123" s="42"/>
      <c r="N123" s="42"/>
      <c r="O123" s="42"/>
      <c r="P123" s="42"/>
      <c r="Q123" s="42"/>
      <c r="R123" s="42"/>
      <c r="S123" s="42"/>
      <c r="T123" s="42"/>
      <c r="U123" s="42"/>
      <c r="V123" s="42"/>
      <c r="W123" s="42"/>
      <c r="X123" s="42"/>
      <c r="Y123" s="42"/>
      <c r="Z123" s="42"/>
      <c r="AA123" s="42"/>
      <c r="AB123" s="42"/>
      <c r="AC123" s="44" t="s">
        <v>19</v>
      </c>
      <c r="AD123" s="42"/>
      <c r="AE123" s="42"/>
      <c r="AF123" s="42"/>
      <c r="AG123" s="42"/>
      <c r="AH123" s="42"/>
      <c r="AI123" s="42">
        <f t="shared" si="3"/>
        <v>0</v>
      </c>
      <c r="AJ123" s="42"/>
      <c r="AK123" s="42"/>
    </row>
    <row r="124">
      <c r="A124" s="41" t="s">
        <v>406</v>
      </c>
      <c r="B124" s="41" t="s">
        <v>117</v>
      </c>
      <c r="C124" s="41" t="s">
        <v>112</v>
      </c>
      <c r="D124" s="41" t="s">
        <v>17</v>
      </c>
      <c r="E124" s="42"/>
      <c r="F124" s="41" t="s">
        <v>407</v>
      </c>
      <c r="G124" s="42"/>
      <c r="H124" s="42"/>
      <c r="I124" s="48" t="s">
        <v>408</v>
      </c>
      <c r="J124" s="41" t="s">
        <v>302</v>
      </c>
      <c r="K124" s="43" t="str">
        <f t="shared" si="1"/>
        <v>No Attunement Required, Base Item, Medium Armor, Base Armor, 0</v>
      </c>
      <c r="L124" s="43" t="str">
        <f t="shared" si="2"/>
        <v>No Attunement Required</v>
      </c>
      <c r="M124" s="44" t="s">
        <v>119</v>
      </c>
      <c r="N124" s="42"/>
      <c r="O124" s="46" t="s">
        <v>17</v>
      </c>
      <c r="P124" s="42"/>
      <c r="Q124" s="42"/>
      <c r="R124" s="47"/>
      <c r="S124" s="42"/>
      <c r="T124" s="42"/>
      <c r="U124" s="42"/>
      <c r="V124" s="42"/>
      <c r="W124" s="42"/>
      <c r="X124" s="42"/>
      <c r="Y124" s="42"/>
      <c r="Z124" s="42"/>
      <c r="AA124" s="44" t="s">
        <v>105</v>
      </c>
      <c r="AB124" s="42"/>
      <c r="AC124" s="42"/>
      <c r="AD124" s="42"/>
      <c r="AE124" s="42"/>
      <c r="AF124" s="42"/>
      <c r="AG124" s="42"/>
      <c r="AH124" s="42"/>
      <c r="AI124" s="42">
        <f t="shared" si="3"/>
        <v>0</v>
      </c>
      <c r="AJ124" s="42"/>
      <c r="AK124" s="42"/>
    </row>
    <row r="125">
      <c r="A125" s="41" t="s">
        <v>409</v>
      </c>
      <c r="B125" s="41" t="s">
        <v>410</v>
      </c>
      <c r="C125" s="41" t="s">
        <v>112</v>
      </c>
      <c r="D125" s="41" t="s">
        <v>304</v>
      </c>
      <c r="E125" s="42"/>
      <c r="F125" s="41" t="s">
        <v>342</v>
      </c>
      <c r="G125" s="41" t="s">
        <v>411</v>
      </c>
      <c r="H125" s="42"/>
      <c r="I125" s="41" t="s">
        <v>412</v>
      </c>
      <c r="J125" s="41" t="s">
        <v>302</v>
      </c>
      <c r="K125" s="43" t="str">
        <f t="shared" si="1"/>
        <v>No Attunement Required, Base Item, Martial Weapon, Base Weapons, Melee Weapons, 0</v>
      </c>
      <c r="L125" s="43" t="str">
        <f t="shared" si="2"/>
        <v>No Attunement Required</v>
      </c>
      <c r="M125" s="44" t="s">
        <v>119</v>
      </c>
      <c r="N125" s="42"/>
      <c r="O125" s="42"/>
      <c r="P125" s="44" t="s">
        <v>309</v>
      </c>
      <c r="Q125" s="44"/>
      <c r="R125" s="42"/>
      <c r="S125" s="42"/>
      <c r="T125" s="42"/>
      <c r="U125" s="42"/>
      <c r="V125" s="42"/>
      <c r="W125" s="42"/>
      <c r="X125" s="42"/>
      <c r="Y125" s="42"/>
      <c r="Z125" s="44" t="s">
        <v>104</v>
      </c>
      <c r="AA125" s="42"/>
      <c r="AB125" s="42"/>
      <c r="AC125" s="42"/>
      <c r="AD125" s="42"/>
      <c r="AE125" s="42"/>
      <c r="AF125" s="41" t="s">
        <v>107</v>
      </c>
      <c r="AG125" s="42"/>
      <c r="AH125" s="42"/>
      <c r="AI125" s="42">
        <f t="shared" si="3"/>
        <v>0</v>
      </c>
      <c r="AJ125" s="42"/>
      <c r="AK125" s="42"/>
    </row>
    <row r="126">
      <c r="A126" s="41" t="s">
        <v>413</v>
      </c>
      <c r="B126" s="41" t="s">
        <v>414</v>
      </c>
      <c r="C126" s="41" t="s">
        <v>112</v>
      </c>
      <c r="D126" s="41" t="s">
        <v>304</v>
      </c>
      <c r="E126" s="42"/>
      <c r="F126" s="41" t="s">
        <v>391</v>
      </c>
      <c r="G126" s="41" t="s">
        <v>415</v>
      </c>
      <c r="H126" s="42"/>
      <c r="I126" s="41" t="s">
        <v>416</v>
      </c>
      <c r="J126" s="41" t="s">
        <v>302</v>
      </c>
      <c r="K126" s="43" t="str">
        <f t="shared" si="1"/>
        <v>No Attunement Required, Base Item, Martial Weapon, Base Weapons, Melee Weapons, 0</v>
      </c>
      <c r="L126" s="43" t="str">
        <f t="shared" si="2"/>
        <v>No Attunement Required</v>
      </c>
      <c r="M126" s="44" t="s">
        <v>119</v>
      </c>
      <c r="N126" s="42"/>
      <c r="O126" s="42"/>
      <c r="P126" s="44" t="s">
        <v>309</v>
      </c>
      <c r="Q126" s="44"/>
      <c r="R126" s="42"/>
      <c r="S126" s="42"/>
      <c r="T126" s="42"/>
      <c r="U126" s="42"/>
      <c r="V126" s="42"/>
      <c r="W126" s="42"/>
      <c r="X126" s="42"/>
      <c r="Y126" s="42"/>
      <c r="Z126" s="44" t="s">
        <v>104</v>
      </c>
      <c r="AA126" s="42"/>
      <c r="AB126" s="42"/>
      <c r="AC126" s="42"/>
      <c r="AD126" s="42"/>
      <c r="AE126" s="42"/>
      <c r="AF126" s="41" t="s">
        <v>107</v>
      </c>
      <c r="AG126" s="42"/>
      <c r="AH126" s="42"/>
      <c r="AI126" s="42">
        <f t="shared" si="3"/>
        <v>0</v>
      </c>
      <c r="AJ126" s="42"/>
      <c r="AK126" s="42"/>
    </row>
    <row r="127">
      <c r="A127" s="41" t="s">
        <v>417</v>
      </c>
      <c r="B127" s="41" t="s">
        <v>117</v>
      </c>
      <c r="C127" s="41" t="s">
        <v>112</v>
      </c>
      <c r="D127" s="41" t="s">
        <v>331</v>
      </c>
      <c r="E127" s="42"/>
      <c r="F127" s="41" t="s">
        <v>391</v>
      </c>
      <c r="G127" s="41" t="s">
        <v>418</v>
      </c>
      <c r="H127" s="41" t="s">
        <v>334</v>
      </c>
      <c r="I127" s="41" t="s">
        <v>419</v>
      </c>
      <c r="J127" s="41" t="s">
        <v>302</v>
      </c>
      <c r="K127" s="43" t="str">
        <f t="shared" si="1"/>
        <v>No Attunement Required, Base Item, Simple Weapon, Base Weapons, Melee Weapons, 0</v>
      </c>
      <c r="L127" s="43" t="str">
        <f t="shared" si="2"/>
        <v>No Attunement Required</v>
      </c>
      <c r="M127" s="44" t="s">
        <v>119</v>
      </c>
      <c r="N127" s="42"/>
      <c r="O127" s="42"/>
      <c r="P127" s="44" t="s">
        <v>336</v>
      </c>
      <c r="Q127" s="44"/>
      <c r="S127" s="42"/>
      <c r="T127" s="42"/>
      <c r="U127" s="42"/>
      <c r="V127" s="42"/>
      <c r="W127" s="42"/>
      <c r="X127" s="42"/>
      <c r="Y127" s="42"/>
      <c r="Z127" s="44" t="s">
        <v>104</v>
      </c>
      <c r="AA127" s="42"/>
      <c r="AB127" s="42"/>
      <c r="AC127" s="42"/>
      <c r="AD127" s="42"/>
      <c r="AE127" s="42"/>
      <c r="AF127" s="41" t="s">
        <v>107</v>
      </c>
      <c r="AG127" s="42"/>
      <c r="AH127" s="42"/>
      <c r="AI127" s="42">
        <f t="shared" si="3"/>
        <v>0</v>
      </c>
      <c r="AJ127" s="42"/>
      <c r="AK127" s="42"/>
    </row>
    <row r="128">
      <c r="A128" s="41" t="s">
        <v>420</v>
      </c>
      <c r="B128" s="41" t="s">
        <v>117</v>
      </c>
      <c r="C128" s="41" t="s">
        <v>112</v>
      </c>
      <c r="D128" s="41" t="s">
        <v>300</v>
      </c>
      <c r="E128" s="42"/>
      <c r="F128" s="42"/>
      <c r="G128" s="42"/>
      <c r="H128" s="42"/>
      <c r="I128" s="41" t="s">
        <v>421</v>
      </c>
      <c r="J128" s="41" t="s">
        <v>302</v>
      </c>
      <c r="K128" s="43" t="str">
        <f t="shared" si="1"/>
        <v>No Attunement Required, Tools and Instruments, 0</v>
      </c>
      <c r="L128" s="43" t="str">
        <f t="shared" si="2"/>
        <v>No Attunement Required</v>
      </c>
      <c r="M128" s="42"/>
      <c r="N128" s="42"/>
      <c r="O128" s="42"/>
      <c r="P128" s="42"/>
      <c r="Q128" s="42"/>
      <c r="S128" s="42"/>
      <c r="T128" s="42"/>
      <c r="U128" s="42"/>
      <c r="V128" s="42"/>
      <c r="W128" s="42"/>
      <c r="X128" s="42"/>
      <c r="Y128" s="42"/>
      <c r="Z128" s="42"/>
      <c r="AA128" s="42"/>
      <c r="AB128" s="42"/>
      <c r="AC128" s="44" t="s">
        <v>19</v>
      </c>
      <c r="AD128" s="42"/>
      <c r="AE128" s="42"/>
      <c r="AF128" s="42"/>
      <c r="AG128" s="42"/>
      <c r="AH128" s="42"/>
      <c r="AI128" s="42">
        <f t="shared" si="3"/>
        <v>0</v>
      </c>
      <c r="AJ128" s="42"/>
      <c r="AK128" s="42"/>
    </row>
    <row r="129">
      <c r="A129" s="41" t="s">
        <v>422</v>
      </c>
      <c r="B129" s="41" t="s">
        <v>117</v>
      </c>
      <c r="C129" s="41" t="s">
        <v>112</v>
      </c>
      <c r="D129" s="41" t="s">
        <v>304</v>
      </c>
      <c r="E129" s="42"/>
      <c r="F129" s="41" t="s">
        <v>401</v>
      </c>
      <c r="G129" s="41" t="s">
        <v>423</v>
      </c>
      <c r="H129" s="41" t="s">
        <v>307</v>
      </c>
      <c r="I129" s="41" t="s">
        <v>424</v>
      </c>
      <c r="J129" s="41" t="s">
        <v>302</v>
      </c>
      <c r="K129" s="43" t="str">
        <f t="shared" si="1"/>
        <v>No Attunement Required, Base Item, Martial Weapon, Base Weapons, Melee Weapons, 0</v>
      </c>
      <c r="L129" s="43" t="str">
        <f t="shared" si="2"/>
        <v>No Attunement Required</v>
      </c>
      <c r="M129" s="44" t="s">
        <v>119</v>
      </c>
      <c r="N129" s="42"/>
      <c r="O129" s="42"/>
      <c r="P129" s="44" t="s">
        <v>309</v>
      </c>
      <c r="Q129" s="44"/>
      <c r="S129" s="42"/>
      <c r="T129" s="42"/>
      <c r="U129" s="42"/>
      <c r="V129" s="42"/>
      <c r="W129" s="42"/>
      <c r="X129" s="42"/>
      <c r="Y129" s="42"/>
      <c r="Z129" s="44" t="s">
        <v>104</v>
      </c>
      <c r="AA129" s="42"/>
      <c r="AB129" s="42"/>
      <c r="AC129" s="42"/>
      <c r="AD129" s="42"/>
      <c r="AE129" s="42"/>
      <c r="AF129" s="41" t="s">
        <v>107</v>
      </c>
      <c r="AG129" s="42"/>
      <c r="AH129" s="42"/>
      <c r="AI129" s="42">
        <f t="shared" si="3"/>
        <v>0</v>
      </c>
      <c r="AJ129" s="42"/>
      <c r="AK129" s="42"/>
    </row>
    <row r="130">
      <c r="A130" s="41" t="s">
        <v>425</v>
      </c>
      <c r="B130" s="41" t="s">
        <v>117</v>
      </c>
      <c r="C130" s="41" t="s">
        <v>112</v>
      </c>
      <c r="D130" s="41" t="s">
        <v>14</v>
      </c>
      <c r="E130" s="42"/>
      <c r="F130" s="41" t="s">
        <v>426</v>
      </c>
      <c r="G130" s="42"/>
      <c r="H130" s="42"/>
      <c r="I130" s="48" t="s">
        <v>427</v>
      </c>
      <c r="J130" s="41" t="s">
        <v>302</v>
      </c>
      <c r="K130" s="43" t="str">
        <f t="shared" si="1"/>
        <v>No Attunement Required, base Item, Light Armor, Base Armor, 0</v>
      </c>
      <c r="L130" s="43" t="str">
        <f t="shared" si="2"/>
        <v>No Attunement Required</v>
      </c>
      <c r="M130" s="44" t="s">
        <v>428</v>
      </c>
      <c r="N130" s="42"/>
      <c r="O130" s="46" t="s">
        <v>14</v>
      </c>
      <c r="P130" s="47"/>
      <c r="Q130" s="44"/>
      <c r="S130" s="42"/>
      <c r="T130" s="42"/>
      <c r="U130" s="42"/>
      <c r="V130" s="42"/>
      <c r="W130" s="42"/>
      <c r="X130" s="42"/>
      <c r="Y130" s="42"/>
      <c r="Z130" s="42"/>
      <c r="AA130" s="44" t="s">
        <v>105</v>
      </c>
      <c r="AB130" s="42"/>
      <c r="AC130" s="42"/>
      <c r="AD130" s="42"/>
      <c r="AE130" s="42"/>
      <c r="AF130" s="42"/>
      <c r="AG130" s="42"/>
      <c r="AH130" s="42"/>
      <c r="AI130" s="42">
        <f t="shared" si="3"/>
        <v>0</v>
      </c>
      <c r="AJ130" s="42"/>
      <c r="AK130" s="42"/>
    </row>
    <row r="131">
      <c r="A131" s="41" t="s">
        <v>429</v>
      </c>
      <c r="B131" s="41" t="s">
        <v>117</v>
      </c>
      <c r="C131" s="41" t="s">
        <v>112</v>
      </c>
      <c r="D131" s="41" t="s">
        <v>300</v>
      </c>
      <c r="E131" s="42"/>
      <c r="F131" s="42"/>
      <c r="G131" s="42"/>
      <c r="H131" s="42"/>
      <c r="I131" s="41" t="s">
        <v>430</v>
      </c>
      <c r="J131" s="41" t="s">
        <v>302</v>
      </c>
      <c r="K131" s="43" t="str">
        <f t="shared" si="1"/>
        <v>No Attunement Required, Tools and Instruments, 0</v>
      </c>
      <c r="L131" s="43" t="str">
        <f t="shared" si="2"/>
        <v>No Attunement Required</v>
      </c>
      <c r="M131" s="42"/>
      <c r="N131" s="42"/>
      <c r="O131" s="42"/>
      <c r="P131" s="45"/>
      <c r="Q131" s="42"/>
      <c r="S131" s="42"/>
      <c r="T131" s="42"/>
      <c r="U131" s="42"/>
      <c r="V131" s="42"/>
      <c r="W131" s="42"/>
      <c r="X131" s="42"/>
      <c r="Y131" s="42"/>
      <c r="Z131" s="42"/>
      <c r="AA131" s="42"/>
      <c r="AB131" s="42"/>
      <c r="AC131" s="44" t="s">
        <v>19</v>
      </c>
      <c r="AD131" s="42"/>
      <c r="AE131" s="42"/>
      <c r="AF131" s="42"/>
      <c r="AG131" s="42"/>
      <c r="AH131" s="42"/>
      <c r="AI131" s="42">
        <f t="shared" si="3"/>
        <v>0</v>
      </c>
      <c r="AJ131" s="42"/>
      <c r="AK131" s="42"/>
    </row>
    <row r="132">
      <c r="A132" s="41" t="s">
        <v>431</v>
      </c>
      <c r="B132" s="41" t="s">
        <v>117</v>
      </c>
      <c r="C132" s="41" t="s">
        <v>112</v>
      </c>
      <c r="D132" s="41" t="s">
        <v>347</v>
      </c>
      <c r="E132" s="42"/>
      <c r="F132" s="41" t="s">
        <v>432</v>
      </c>
      <c r="G132" s="41" t="s">
        <v>433</v>
      </c>
      <c r="H132" s="41" t="s">
        <v>334</v>
      </c>
      <c r="I132" s="41" t="s">
        <v>434</v>
      </c>
      <c r="J132" s="41" t="s">
        <v>302</v>
      </c>
      <c r="K132" s="43" t="str">
        <f t="shared" si="1"/>
        <v>No Attunement Required, Base Item, Light Armor, Simple Weapon, Base Weapons, Ranged Weapons, 0</v>
      </c>
      <c r="L132" s="43" t="str">
        <f t="shared" si="2"/>
        <v>No Attunement Required</v>
      </c>
      <c r="M132" s="44" t="s">
        <v>119</v>
      </c>
      <c r="N132" s="42"/>
      <c r="O132" s="41" t="s">
        <v>14</v>
      </c>
      <c r="P132" s="44" t="s">
        <v>336</v>
      </c>
      <c r="Q132" s="44"/>
      <c r="S132" s="42"/>
      <c r="T132" s="42"/>
      <c r="U132" s="42"/>
      <c r="V132" s="42"/>
      <c r="W132" s="42"/>
      <c r="X132" s="44"/>
      <c r="Y132" s="42"/>
      <c r="Z132" s="44" t="s">
        <v>104</v>
      </c>
      <c r="AA132" s="42"/>
      <c r="AB132" s="42"/>
      <c r="AC132" s="42"/>
      <c r="AD132" s="42"/>
      <c r="AE132" s="44" t="s">
        <v>106</v>
      </c>
      <c r="AF132" s="42"/>
      <c r="AG132" s="42"/>
      <c r="AH132" s="42"/>
      <c r="AI132" s="42">
        <f t="shared" si="3"/>
        <v>0</v>
      </c>
      <c r="AJ132" s="42"/>
      <c r="AK132" s="42"/>
    </row>
    <row r="133">
      <c r="A133" s="41" t="s">
        <v>435</v>
      </c>
      <c r="B133" s="41" t="s">
        <v>117</v>
      </c>
      <c r="C133" s="41" t="s">
        <v>112</v>
      </c>
      <c r="D133" s="41" t="s">
        <v>331</v>
      </c>
      <c r="E133" s="42"/>
      <c r="F133" s="41" t="s">
        <v>332</v>
      </c>
      <c r="G133" s="41" t="s">
        <v>396</v>
      </c>
      <c r="H133" s="41" t="s">
        <v>344</v>
      </c>
      <c r="I133" s="41" t="s">
        <v>436</v>
      </c>
      <c r="J133" s="41" t="s">
        <v>302</v>
      </c>
      <c r="K133" s="43" t="str">
        <f t="shared" si="1"/>
        <v>No Attunement Required, Base Item, Light Armor, Simple Weapon, Base Weapons, Melee Weapons, 0</v>
      </c>
      <c r="L133" s="43" t="str">
        <f t="shared" si="2"/>
        <v>No Attunement Required</v>
      </c>
      <c r="M133" s="44" t="s">
        <v>119</v>
      </c>
      <c r="N133" s="42"/>
      <c r="O133" s="41" t="s">
        <v>14</v>
      </c>
      <c r="P133" s="44" t="s">
        <v>336</v>
      </c>
      <c r="Q133" s="44"/>
      <c r="S133" s="42"/>
      <c r="T133" s="42"/>
      <c r="U133" s="42"/>
      <c r="V133" s="42"/>
      <c r="W133" s="42"/>
      <c r="X133" s="42"/>
      <c r="Y133" s="42"/>
      <c r="Z133" s="44" t="s">
        <v>104</v>
      </c>
      <c r="AA133" s="42"/>
      <c r="AB133" s="42"/>
      <c r="AC133" s="42"/>
      <c r="AD133" s="42"/>
      <c r="AE133" s="42"/>
      <c r="AF133" s="41" t="s">
        <v>107</v>
      </c>
      <c r="AG133" s="42"/>
      <c r="AH133" s="42"/>
      <c r="AI133" s="42">
        <f t="shared" si="3"/>
        <v>0</v>
      </c>
      <c r="AJ133" s="42"/>
      <c r="AK133" s="42"/>
    </row>
    <row r="134">
      <c r="A134" s="41" t="s">
        <v>437</v>
      </c>
      <c r="B134" s="41" t="s">
        <v>117</v>
      </c>
      <c r="C134" s="41" t="s">
        <v>112</v>
      </c>
      <c r="D134" s="41" t="s">
        <v>311</v>
      </c>
      <c r="E134" s="42"/>
      <c r="F134" s="41" t="s">
        <v>432</v>
      </c>
      <c r="G134" s="41" t="s">
        <v>438</v>
      </c>
      <c r="H134" s="41" t="s">
        <v>334</v>
      </c>
      <c r="I134" s="41" t="s">
        <v>439</v>
      </c>
      <c r="J134" s="41" t="s">
        <v>302</v>
      </c>
      <c r="K134" s="43" t="str">
        <f t="shared" si="1"/>
        <v>No Attunement Required, Base Item, Martial Weapon, Base Weapons, Ranged Weapons, 0</v>
      </c>
      <c r="L134" s="43" t="str">
        <f t="shared" si="2"/>
        <v>No Attunement Required</v>
      </c>
      <c r="M134" s="44" t="s">
        <v>119</v>
      </c>
      <c r="N134" s="42"/>
      <c r="O134" s="42"/>
      <c r="P134" s="44" t="s">
        <v>309</v>
      </c>
      <c r="Q134" s="44"/>
      <c r="S134" s="42"/>
      <c r="T134" s="42"/>
      <c r="U134" s="42"/>
      <c r="V134" s="42"/>
      <c r="W134" s="42"/>
      <c r="X134" s="42"/>
      <c r="Y134" s="42"/>
      <c r="Z134" s="44" t="s">
        <v>104</v>
      </c>
      <c r="AA134" s="42"/>
      <c r="AB134" s="42"/>
      <c r="AC134" s="42"/>
      <c r="AD134" s="42"/>
      <c r="AE134" s="44" t="s">
        <v>106</v>
      </c>
      <c r="AF134" s="42"/>
      <c r="AG134" s="42"/>
      <c r="AH134" s="42"/>
      <c r="AI134" s="42">
        <f t="shared" si="3"/>
        <v>0</v>
      </c>
      <c r="AJ134" s="42"/>
      <c r="AK134" s="42"/>
    </row>
    <row r="135">
      <c r="A135" s="41" t="s">
        <v>440</v>
      </c>
      <c r="B135" s="41" t="s">
        <v>117</v>
      </c>
      <c r="C135" s="41" t="s">
        <v>112</v>
      </c>
      <c r="D135" s="41" t="s">
        <v>304</v>
      </c>
      <c r="E135" s="42"/>
      <c r="F135" s="41" t="s">
        <v>305</v>
      </c>
      <c r="G135" s="41" t="s">
        <v>306</v>
      </c>
      <c r="H135" s="41" t="s">
        <v>364</v>
      </c>
      <c r="I135" s="41" t="s">
        <v>441</v>
      </c>
      <c r="J135" s="41" t="s">
        <v>302</v>
      </c>
      <c r="K135" s="43" t="str">
        <f t="shared" si="1"/>
        <v>No Attunement Required, Base Item, Martial Weapon, Imposes Disadvantage, Base Weapons, Melee Weapons, 0</v>
      </c>
      <c r="L135" s="43" t="str">
        <f t="shared" si="2"/>
        <v>No Attunement Required</v>
      </c>
      <c r="M135" s="44" t="s">
        <v>119</v>
      </c>
      <c r="N135" s="42"/>
      <c r="O135" s="42"/>
      <c r="P135" s="44" t="s">
        <v>309</v>
      </c>
      <c r="Q135" s="44"/>
      <c r="S135" s="42"/>
      <c r="T135" s="42"/>
      <c r="U135" s="44" t="s">
        <v>43</v>
      </c>
      <c r="V135" s="42"/>
      <c r="W135" s="42"/>
      <c r="X135" s="42"/>
      <c r="Y135" s="42"/>
      <c r="Z135" s="44" t="s">
        <v>104</v>
      </c>
      <c r="AA135" s="42"/>
      <c r="AB135" s="42"/>
      <c r="AC135" s="42"/>
      <c r="AD135" s="42"/>
      <c r="AE135" s="42"/>
      <c r="AF135" s="41" t="s">
        <v>107</v>
      </c>
      <c r="AG135" s="42"/>
      <c r="AH135" s="42"/>
      <c r="AI135" s="42">
        <f t="shared" si="3"/>
        <v>0</v>
      </c>
      <c r="AJ135" s="42"/>
      <c r="AK135" s="42"/>
    </row>
    <row r="136">
      <c r="A136" s="41" t="s">
        <v>442</v>
      </c>
      <c r="B136" s="41" t="s">
        <v>117</v>
      </c>
      <c r="C136" s="41" t="s">
        <v>112</v>
      </c>
      <c r="D136" s="41" t="s">
        <v>331</v>
      </c>
      <c r="E136" s="42"/>
      <c r="F136" s="41" t="s">
        <v>443</v>
      </c>
      <c r="G136" s="42"/>
      <c r="H136" s="41" t="s">
        <v>364</v>
      </c>
      <c r="I136" s="41" t="s">
        <v>365</v>
      </c>
      <c r="J136" s="41" t="s">
        <v>302</v>
      </c>
      <c r="K136" s="43" t="str">
        <f t="shared" si="1"/>
        <v>No Attunement Required, Base Item, Simple Weapon, Imposes Disadvantage, Base Weapons, Melee Weapons, 0</v>
      </c>
      <c r="L136" s="43" t="str">
        <f t="shared" si="2"/>
        <v>No Attunement Required</v>
      </c>
      <c r="M136" s="44" t="s">
        <v>119</v>
      </c>
      <c r="N136" s="42"/>
      <c r="O136" s="42"/>
      <c r="P136" s="44" t="s">
        <v>336</v>
      </c>
      <c r="Q136" s="44"/>
      <c r="S136" s="42"/>
      <c r="T136" s="42"/>
      <c r="U136" s="44" t="s">
        <v>43</v>
      </c>
      <c r="V136" s="42"/>
      <c r="W136" s="42"/>
      <c r="X136" s="42"/>
      <c r="Y136" s="42"/>
      <c r="Z136" s="44" t="s">
        <v>104</v>
      </c>
      <c r="AA136" s="42"/>
      <c r="AB136" s="42"/>
      <c r="AC136" s="42"/>
      <c r="AD136" s="42"/>
      <c r="AE136" s="42"/>
      <c r="AF136" s="41" t="s">
        <v>107</v>
      </c>
      <c r="AG136" s="42"/>
      <c r="AH136" s="42"/>
      <c r="AI136" s="42">
        <f t="shared" si="3"/>
        <v>0</v>
      </c>
      <c r="AJ136" s="42"/>
      <c r="AK136" s="42"/>
    </row>
    <row r="137">
      <c r="A137" s="41" t="s">
        <v>444</v>
      </c>
      <c r="B137" s="41" t="s">
        <v>117</v>
      </c>
      <c r="C137" s="41" t="s">
        <v>112</v>
      </c>
      <c r="D137" s="41" t="s">
        <v>300</v>
      </c>
      <c r="E137" s="42"/>
      <c r="F137" s="42"/>
      <c r="G137" s="42"/>
      <c r="H137" s="42"/>
      <c r="I137" s="41" t="s">
        <v>445</v>
      </c>
      <c r="J137" s="41" t="s">
        <v>302</v>
      </c>
      <c r="K137" s="43" t="str">
        <f t="shared" si="1"/>
        <v>No Attunement Required, Tools and Instruments, 0</v>
      </c>
      <c r="L137" s="43" t="str">
        <f t="shared" si="2"/>
        <v>No Attunement Required</v>
      </c>
      <c r="M137" s="42"/>
      <c r="N137" s="42"/>
      <c r="O137" s="42"/>
      <c r="P137" s="42"/>
      <c r="Q137" s="42"/>
      <c r="S137" s="42"/>
      <c r="T137" s="42"/>
      <c r="U137" s="42"/>
      <c r="V137" s="42"/>
      <c r="W137" s="42"/>
      <c r="X137" s="42"/>
      <c r="Y137" s="42"/>
      <c r="Z137" s="42"/>
      <c r="AA137" s="42"/>
      <c r="AB137" s="42"/>
      <c r="AC137" s="44" t="s">
        <v>19</v>
      </c>
      <c r="AD137" s="42"/>
      <c r="AE137" s="42"/>
      <c r="AF137" s="42"/>
      <c r="AG137" s="42"/>
      <c r="AH137" s="42"/>
      <c r="AI137" s="42">
        <f t="shared" si="3"/>
        <v>0</v>
      </c>
      <c r="AJ137" s="42"/>
      <c r="AK137" s="42"/>
    </row>
    <row r="138">
      <c r="A138" s="41" t="s">
        <v>446</v>
      </c>
      <c r="B138" s="41" t="s">
        <v>117</v>
      </c>
      <c r="C138" s="41" t="s">
        <v>112</v>
      </c>
      <c r="D138" s="41" t="s">
        <v>304</v>
      </c>
      <c r="E138" s="42"/>
      <c r="F138" s="41" t="s">
        <v>447</v>
      </c>
      <c r="G138" s="41" t="s">
        <v>378</v>
      </c>
      <c r="H138" s="41" t="s">
        <v>307</v>
      </c>
      <c r="I138" s="41" t="s">
        <v>448</v>
      </c>
      <c r="J138" s="41" t="s">
        <v>302</v>
      </c>
      <c r="K138" s="43" t="str">
        <f t="shared" si="1"/>
        <v>No Attunement Required, Base Item, Martial Weapon, Base Weapons, Melee Weapons, 0</v>
      </c>
      <c r="L138" s="43" t="str">
        <f t="shared" si="2"/>
        <v>No Attunement Required</v>
      </c>
      <c r="M138" s="44" t="s">
        <v>119</v>
      </c>
      <c r="N138" s="42"/>
      <c r="O138" s="42"/>
      <c r="P138" s="44" t="s">
        <v>309</v>
      </c>
      <c r="Q138" s="44"/>
      <c r="S138" s="42"/>
      <c r="T138" s="42"/>
      <c r="U138" s="42"/>
      <c r="V138" s="42"/>
      <c r="W138" s="42"/>
      <c r="X138" s="42"/>
      <c r="Y138" s="42"/>
      <c r="Z138" s="44" t="s">
        <v>104</v>
      </c>
      <c r="AA138" s="42"/>
      <c r="AB138" s="42"/>
      <c r="AC138" s="42"/>
      <c r="AD138" s="42"/>
      <c r="AE138" s="42"/>
      <c r="AF138" s="41" t="s">
        <v>107</v>
      </c>
      <c r="AG138" s="42"/>
      <c r="AH138" s="42"/>
      <c r="AI138" s="42">
        <f t="shared" si="3"/>
        <v>0</v>
      </c>
      <c r="AJ138" s="42"/>
      <c r="AK138" s="42"/>
    </row>
    <row r="139">
      <c r="A139" s="41" t="s">
        <v>449</v>
      </c>
      <c r="B139" s="41" t="s">
        <v>117</v>
      </c>
      <c r="C139" s="41" t="s">
        <v>112</v>
      </c>
      <c r="D139" s="41" t="s">
        <v>304</v>
      </c>
      <c r="E139" s="42"/>
      <c r="F139" s="41" t="s">
        <v>432</v>
      </c>
      <c r="G139" s="42"/>
      <c r="H139" s="41" t="s">
        <v>364</v>
      </c>
      <c r="I139" s="41" t="s">
        <v>365</v>
      </c>
      <c r="J139" s="41" t="s">
        <v>302</v>
      </c>
      <c r="K139" s="43" t="str">
        <f t="shared" si="1"/>
        <v>No Attunement Required, Base Item, Martial Weapon, Imposes Disadvantage, Base Weapons, Melee Weapons, 0</v>
      </c>
      <c r="L139" s="43" t="str">
        <f t="shared" si="2"/>
        <v>No Attunement Required</v>
      </c>
      <c r="M139" s="44" t="s">
        <v>119</v>
      </c>
      <c r="N139" s="42"/>
      <c r="O139" s="42"/>
      <c r="P139" s="44" t="s">
        <v>309</v>
      </c>
      <c r="Q139" s="44"/>
      <c r="S139" s="44"/>
      <c r="T139" s="44"/>
      <c r="U139" s="44" t="s">
        <v>43</v>
      </c>
      <c r="V139" s="42"/>
      <c r="W139" s="42"/>
      <c r="X139" s="42"/>
      <c r="Y139" s="42"/>
      <c r="Z139" s="44" t="s">
        <v>104</v>
      </c>
      <c r="AA139" s="42"/>
      <c r="AB139" s="42"/>
      <c r="AC139" s="42"/>
      <c r="AD139" s="42"/>
      <c r="AE139" s="42"/>
      <c r="AF139" s="41" t="s">
        <v>107</v>
      </c>
      <c r="AG139" s="42"/>
      <c r="AH139" s="42"/>
      <c r="AI139" s="42">
        <f t="shared" si="3"/>
        <v>0</v>
      </c>
      <c r="AJ139" s="42"/>
      <c r="AK139" s="42"/>
    </row>
    <row r="140">
      <c r="A140" s="41" t="s">
        <v>450</v>
      </c>
      <c r="B140" s="41" t="s">
        <v>117</v>
      </c>
      <c r="C140" s="41" t="s">
        <v>112</v>
      </c>
      <c r="D140" s="41" t="s">
        <v>39</v>
      </c>
      <c r="E140" s="42"/>
      <c r="F140" s="42"/>
      <c r="G140" s="42"/>
      <c r="H140" s="42"/>
      <c r="I140" s="41" t="s">
        <v>451</v>
      </c>
      <c r="J140" s="41" t="s">
        <v>302</v>
      </c>
      <c r="K140" s="43" t="str">
        <f t="shared" si="1"/>
        <v>No Attunement Required, Tools and Instruments, 0</v>
      </c>
      <c r="L140" s="43" t="str">
        <f t="shared" si="2"/>
        <v>No Attunement Required</v>
      </c>
      <c r="M140" s="42"/>
      <c r="N140" s="42"/>
      <c r="O140" s="42"/>
      <c r="P140" s="42"/>
      <c r="Q140" s="44"/>
      <c r="S140" s="42"/>
      <c r="T140" s="42"/>
      <c r="U140" s="42"/>
      <c r="V140" s="42"/>
      <c r="W140" s="42"/>
      <c r="X140" s="42"/>
      <c r="Y140" s="42"/>
      <c r="Z140" s="42"/>
      <c r="AA140" s="42"/>
      <c r="AB140" s="42"/>
      <c r="AC140" s="44" t="s">
        <v>19</v>
      </c>
      <c r="AD140" s="42"/>
      <c r="AE140" s="42"/>
      <c r="AF140" s="42"/>
      <c r="AG140" s="42"/>
      <c r="AH140" s="42"/>
      <c r="AI140" s="42">
        <f t="shared" si="3"/>
        <v>0</v>
      </c>
      <c r="AJ140" s="42"/>
      <c r="AK140" s="42"/>
    </row>
    <row r="141">
      <c r="A141" s="41" t="s">
        <v>452</v>
      </c>
      <c r="B141" s="41" t="s">
        <v>117</v>
      </c>
      <c r="C141" s="41" t="s">
        <v>112</v>
      </c>
      <c r="D141" s="41" t="s">
        <v>354</v>
      </c>
      <c r="E141" s="42"/>
      <c r="F141" s="42"/>
      <c r="G141" s="42"/>
      <c r="H141" s="42"/>
      <c r="I141" s="41" t="s">
        <v>453</v>
      </c>
      <c r="J141" s="41" t="s">
        <v>302</v>
      </c>
      <c r="K141" s="43" t="str">
        <f t="shared" si="1"/>
        <v>No Attunement Required, Tools and Instruments, 0</v>
      </c>
      <c r="L141" s="43" t="str">
        <f t="shared" si="2"/>
        <v>No Attunement Required</v>
      </c>
      <c r="M141" s="42"/>
      <c r="N141" s="42"/>
      <c r="O141" s="42"/>
      <c r="P141" s="42"/>
      <c r="Q141" s="42"/>
      <c r="S141" s="42"/>
      <c r="T141" s="42"/>
      <c r="U141" s="42"/>
      <c r="V141" s="42"/>
      <c r="W141" s="42"/>
      <c r="X141" s="44"/>
      <c r="Y141" s="42"/>
      <c r="Z141" s="42"/>
      <c r="AA141" s="42"/>
      <c r="AB141" s="42"/>
      <c r="AC141" s="44" t="s">
        <v>19</v>
      </c>
      <c r="AD141" s="42"/>
      <c r="AE141" s="42"/>
      <c r="AF141" s="42"/>
      <c r="AG141" s="42"/>
      <c r="AH141" s="42"/>
      <c r="AI141" s="42">
        <f t="shared" si="3"/>
        <v>0</v>
      </c>
      <c r="AJ141" s="42"/>
      <c r="AK141" s="42"/>
    </row>
    <row r="142">
      <c r="A142" s="41" t="s">
        <v>454</v>
      </c>
      <c r="B142" s="41" t="s">
        <v>117</v>
      </c>
      <c r="C142" s="41" t="s">
        <v>112</v>
      </c>
      <c r="D142" s="41" t="s">
        <v>21</v>
      </c>
      <c r="E142" s="42"/>
      <c r="F142" s="42"/>
      <c r="G142" s="42"/>
      <c r="H142" s="42"/>
      <c r="I142" s="41" t="s">
        <v>455</v>
      </c>
      <c r="J142" s="41" t="s">
        <v>302</v>
      </c>
      <c r="K142" s="43" t="str">
        <f t="shared" si="1"/>
        <v>No Attunement Required, Adventuring Gear, 0</v>
      </c>
      <c r="L142" s="43" t="str">
        <f t="shared" si="2"/>
        <v>No Attunement Required</v>
      </c>
      <c r="M142" s="42"/>
      <c r="N142" s="42"/>
      <c r="O142" s="42"/>
      <c r="P142" s="42"/>
      <c r="Q142" s="42"/>
      <c r="S142" s="44"/>
      <c r="T142" s="44"/>
      <c r="U142" s="42"/>
      <c r="V142" s="42"/>
      <c r="W142" s="42"/>
      <c r="X142" s="42"/>
      <c r="Y142" s="42"/>
      <c r="Z142" s="42"/>
      <c r="AA142" s="42"/>
      <c r="AB142" s="44" t="s">
        <v>21</v>
      </c>
      <c r="AC142" s="42"/>
      <c r="AD142" s="42"/>
      <c r="AE142" s="42"/>
      <c r="AF142" s="42"/>
      <c r="AG142" s="42"/>
      <c r="AH142" s="42"/>
      <c r="AI142" s="42">
        <f t="shared" si="3"/>
        <v>0</v>
      </c>
      <c r="AJ142" s="42"/>
      <c r="AK142" s="42"/>
    </row>
    <row r="143">
      <c r="A143" s="41" t="s">
        <v>456</v>
      </c>
      <c r="B143" s="41" t="s">
        <v>117</v>
      </c>
      <c r="C143" s="41" t="s">
        <v>112</v>
      </c>
      <c r="D143" s="41" t="s">
        <v>14</v>
      </c>
      <c r="E143" s="42"/>
      <c r="F143" s="41" t="s">
        <v>426</v>
      </c>
      <c r="G143" s="42"/>
      <c r="H143" s="42"/>
      <c r="I143" s="41" t="s">
        <v>457</v>
      </c>
      <c r="J143" s="41" t="s">
        <v>302</v>
      </c>
      <c r="K143" s="43" t="str">
        <f t="shared" si="1"/>
        <v>No Attunement Required, base Item, Light Armor, Base Armor, 0</v>
      </c>
      <c r="L143" s="43" t="str">
        <f t="shared" si="2"/>
        <v>No Attunement Required</v>
      </c>
      <c r="M143" s="44" t="s">
        <v>428</v>
      </c>
      <c r="N143" s="42"/>
      <c r="O143" s="46" t="s">
        <v>14</v>
      </c>
      <c r="P143" s="47"/>
      <c r="Q143" s="42"/>
      <c r="S143" s="42"/>
      <c r="T143" s="42"/>
      <c r="U143" s="42"/>
      <c r="V143" s="42"/>
      <c r="W143" s="42"/>
      <c r="X143" s="44"/>
      <c r="Y143" s="42"/>
      <c r="Z143" s="42"/>
      <c r="AA143" s="44" t="s">
        <v>105</v>
      </c>
      <c r="AB143" s="42"/>
      <c r="AC143" s="42"/>
      <c r="AD143" s="42"/>
      <c r="AE143" s="42"/>
      <c r="AF143" s="42"/>
      <c r="AG143" s="42"/>
      <c r="AH143" s="42"/>
      <c r="AI143" s="42">
        <f t="shared" si="3"/>
        <v>0</v>
      </c>
      <c r="AJ143" s="42"/>
      <c r="AK143" s="42"/>
    </row>
    <row r="144">
      <c r="A144" s="41" t="s">
        <v>458</v>
      </c>
      <c r="B144" s="41" t="s">
        <v>117</v>
      </c>
      <c r="C144" s="41" t="s">
        <v>112</v>
      </c>
      <c r="D144" s="41" t="s">
        <v>300</v>
      </c>
      <c r="E144" s="42"/>
      <c r="F144" s="42"/>
      <c r="G144" s="42"/>
      <c r="H144" s="42"/>
      <c r="I144" s="41" t="s">
        <v>459</v>
      </c>
      <c r="J144" s="41" t="s">
        <v>302</v>
      </c>
      <c r="K144" s="43" t="str">
        <f t="shared" si="1"/>
        <v>No Attunement Required, Tools and Instruments, 0</v>
      </c>
      <c r="L144" s="43" t="str">
        <f t="shared" si="2"/>
        <v>No Attunement Required</v>
      </c>
      <c r="M144" s="42"/>
      <c r="N144" s="42"/>
      <c r="O144" s="42"/>
      <c r="P144" s="45"/>
      <c r="Q144" s="42"/>
      <c r="S144" s="42"/>
      <c r="T144" s="42"/>
      <c r="U144" s="42"/>
      <c r="V144" s="42"/>
      <c r="W144" s="42"/>
      <c r="X144" s="42"/>
      <c r="Y144" s="42"/>
      <c r="Z144" s="42"/>
      <c r="AA144" s="42"/>
      <c r="AB144" s="42"/>
      <c r="AC144" s="44" t="s">
        <v>19</v>
      </c>
      <c r="AD144" s="42"/>
      <c r="AE144" s="42"/>
      <c r="AF144" s="42"/>
      <c r="AG144" s="42"/>
      <c r="AH144" s="42"/>
      <c r="AI144" s="42">
        <f t="shared" si="3"/>
        <v>0</v>
      </c>
      <c r="AJ144" s="42"/>
      <c r="AK144" s="42"/>
    </row>
    <row r="145">
      <c r="A145" s="41" t="s">
        <v>460</v>
      </c>
      <c r="B145" s="41" t="s">
        <v>117</v>
      </c>
      <c r="C145" s="41" t="s">
        <v>112</v>
      </c>
      <c r="D145" s="41" t="s">
        <v>304</v>
      </c>
      <c r="E145" s="42"/>
      <c r="F145" s="41" t="s">
        <v>401</v>
      </c>
      <c r="G145" s="41" t="s">
        <v>371</v>
      </c>
      <c r="H145" s="41" t="s">
        <v>383</v>
      </c>
      <c r="I145" s="41" t="s">
        <v>461</v>
      </c>
      <c r="J145" s="41" t="s">
        <v>302</v>
      </c>
      <c r="K145" s="43" t="str">
        <f t="shared" si="1"/>
        <v>No Attunement Required, Base Item, Martial Weapon, Base Weapons, Melee Weapons, 0</v>
      </c>
      <c r="L145" s="43" t="str">
        <f t="shared" si="2"/>
        <v>No Attunement Required</v>
      </c>
      <c r="M145" s="44" t="s">
        <v>119</v>
      </c>
      <c r="N145" s="42"/>
      <c r="O145" s="42"/>
      <c r="P145" s="44" t="s">
        <v>309</v>
      </c>
      <c r="Q145" s="44"/>
      <c r="S145" s="42"/>
      <c r="T145" s="42"/>
      <c r="U145" s="42"/>
      <c r="V145" s="42"/>
      <c r="W145" s="42"/>
      <c r="X145" s="42"/>
      <c r="Y145" s="42"/>
      <c r="Z145" s="44" t="s">
        <v>104</v>
      </c>
      <c r="AA145" s="42"/>
      <c r="AB145" s="42"/>
      <c r="AC145" s="42"/>
      <c r="AD145" s="42"/>
      <c r="AE145" s="42"/>
      <c r="AF145" s="41" t="s">
        <v>107</v>
      </c>
      <c r="AG145" s="42"/>
      <c r="AH145" s="42"/>
      <c r="AI145" s="42">
        <f t="shared" si="3"/>
        <v>0</v>
      </c>
      <c r="AJ145" s="42"/>
      <c r="AK145" s="42"/>
    </row>
    <row r="146">
      <c r="A146" s="41" t="s">
        <v>462</v>
      </c>
      <c r="B146" s="41" t="s">
        <v>117</v>
      </c>
      <c r="C146" s="41" t="s">
        <v>112</v>
      </c>
      <c r="D146" s="41" t="s">
        <v>351</v>
      </c>
      <c r="E146" s="42"/>
      <c r="F146" s="42"/>
      <c r="G146" s="42"/>
      <c r="H146" s="42"/>
      <c r="I146" s="41" t="s">
        <v>352</v>
      </c>
      <c r="J146" s="41" t="s">
        <v>302</v>
      </c>
      <c r="K146" s="43" t="str">
        <f t="shared" si="1"/>
        <v>No Attunement Required, Tools and Instruments, 0</v>
      </c>
      <c r="L146" s="43" t="str">
        <f t="shared" si="2"/>
        <v>No Attunement Required</v>
      </c>
      <c r="M146" s="42"/>
      <c r="N146" s="42"/>
      <c r="O146" s="42"/>
      <c r="P146" s="42"/>
      <c r="Q146" s="42"/>
      <c r="S146" s="42"/>
      <c r="T146" s="42"/>
      <c r="U146" s="42"/>
      <c r="V146" s="42"/>
      <c r="W146" s="42"/>
      <c r="X146" s="42"/>
      <c r="Y146" s="42"/>
      <c r="Z146" s="42"/>
      <c r="AA146" s="42"/>
      <c r="AB146" s="42"/>
      <c r="AC146" s="44" t="s">
        <v>19</v>
      </c>
      <c r="AD146" s="42"/>
      <c r="AE146" s="42"/>
      <c r="AF146" s="42"/>
      <c r="AG146" s="42"/>
      <c r="AH146" s="42"/>
      <c r="AI146" s="42">
        <f t="shared" si="3"/>
        <v>0</v>
      </c>
      <c r="AJ146" s="42"/>
      <c r="AK146" s="42"/>
    </row>
    <row r="147">
      <c r="A147" s="41" t="s">
        <v>463</v>
      </c>
      <c r="B147" s="41" t="s">
        <v>117</v>
      </c>
      <c r="C147" s="41" t="s">
        <v>112</v>
      </c>
      <c r="D147" s="41" t="s">
        <v>354</v>
      </c>
      <c r="E147" s="42"/>
      <c r="F147" s="42"/>
      <c r="G147" s="42"/>
      <c r="H147" s="42"/>
      <c r="I147" s="41" t="s">
        <v>464</v>
      </c>
      <c r="J147" s="41" t="s">
        <v>302</v>
      </c>
      <c r="K147" s="43" t="str">
        <f t="shared" si="1"/>
        <v>No Attunement Required, Tools and Instruments, 0</v>
      </c>
      <c r="L147" s="43" t="str">
        <f t="shared" si="2"/>
        <v>No Attunement Required</v>
      </c>
      <c r="M147" s="42"/>
      <c r="N147" s="42"/>
      <c r="O147" s="42"/>
      <c r="P147" s="42"/>
      <c r="Q147" s="44"/>
      <c r="S147" s="42"/>
      <c r="T147" s="42"/>
      <c r="U147" s="42"/>
      <c r="V147" s="42"/>
      <c r="W147" s="42"/>
      <c r="X147" s="42"/>
      <c r="Y147" s="42"/>
      <c r="Z147" s="42"/>
      <c r="AA147" s="42"/>
      <c r="AB147" s="42"/>
      <c r="AC147" s="44" t="s">
        <v>19</v>
      </c>
      <c r="AD147" s="42"/>
      <c r="AE147" s="42"/>
      <c r="AF147" s="42"/>
      <c r="AG147" s="42"/>
      <c r="AH147" s="42"/>
      <c r="AI147" s="42">
        <f t="shared" si="3"/>
        <v>0</v>
      </c>
      <c r="AJ147" s="42"/>
      <c r="AK147" s="42"/>
    </row>
    <row r="148">
      <c r="A148" s="41" t="s">
        <v>465</v>
      </c>
      <c r="B148" s="41" t="s">
        <v>117</v>
      </c>
      <c r="C148" s="41" t="s">
        <v>112</v>
      </c>
      <c r="D148" s="41" t="s">
        <v>300</v>
      </c>
      <c r="E148" s="42"/>
      <c r="F148" s="42"/>
      <c r="G148" s="42"/>
      <c r="H148" s="42"/>
      <c r="I148" s="41" t="s">
        <v>466</v>
      </c>
      <c r="J148" s="41" t="s">
        <v>302</v>
      </c>
      <c r="K148" s="43" t="str">
        <f t="shared" si="1"/>
        <v>No Attunement Required, Tools and Instruments, 0</v>
      </c>
      <c r="L148" s="43" t="str">
        <f t="shared" si="2"/>
        <v>No Attunement Required</v>
      </c>
      <c r="M148" s="42"/>
      <c r="N148" s="42"/>
      <c r="O148" s="42"/>
      <c r="P148" s="42"/>
      <c r="Q148" s="42"/>
      <c r="S148" s="42"/>
      <c r="T148" s="42"/>
      <c r="U148" s="42"/>
      <c r="V148" s="42"/>
      <c r="W148" s="42"/>
      <c r="X148" s="42"/>
      <c r="Y148" s="42"/>
      <c r="Z148" s="42"/>
      <c r="AA148" s="42"/>
      <c r="AB148" s="42"/>
      <c r="AC148" s="44" t="s">
        <v>19</v>
      </c>
      <c r="AD148" s="42"/>
      <c r="AE148" s="42"/>
      <c r="AF148" s="42"/>
      <c r="AG148" s="42"/>
      <c r="AH148" s="42"/>
      <c r="AI148" s="42">
        <f t="shared" si="3"/>
        <v>0</v>
      </c>
      <c r="AJ148" s="42"/>
      <c r="AK148" s="42"/>
    </row>
    <row r="149">
      <c r="A149" s="41" t="s">
        <v>467</v>
      </c>
      <c r="B149" s="41" t="s">
        <v>117</v>
      </c>
      <c r="C149" s="41" t="s">
        <v>112</v>
      </c>
      <c r="D149" s="41" t="s">
        <v>331</v>
      </c>
      <c r="E149" s="42"/>
      <c r="F149" s="41" t="s">
        <v>443</v>
      </c>
      <c r="G149" s="41" t="s">
        <v>468</v>
      </c>
      <c r="H149" s="41" t="s">
        <v>307</v>
      </c>
      <c r="I149" s="41" t="s">
        <v>308</v>
      </c>
      <c r="J149" s="41" t="s">
        <v>302</v>
      </c>
      <c r="K149" s="43" t="str">
        <f t="shared" si="1"/>
        <v>No Attunement Required, Base Item, Simple Weapon, Base Weapons, Melee Weapons, 0</v>
      </c>
      <c r="L149" s="43" t="str">
        <f t="shared" si="2"/>
        <v>No Attunement Required</v>
      </c>
      <c r="M149" s="44" t="s">
        <v>119</v>
      </c>
      <c r="N149" s="42"/>
      <c r="O149" s="42"/>
      <c r="P149" s="44" t="s">
        <v>336</v>
      </c>
      <c r="Q149" s="44"/>
      <c r="S149" s="42"/>
      <c r="T149" s="42"/>
      <c r="U149" s="42"/>
      <c r="V149" s="42"/>
      <c r="W149" s="42"/>
      <c r="X149" s="42"/>
      <c r="Y149" s="42"/>
      <c r="Z149" s="44" t="s">
        <v>104</v>
      </c>
      <c r="AA149" s="42"/>
      <c r="AB149" s="42"/>
      <c r="AC149" s="42"/>
      <c r="AD149" s="42"/>
      <c r="AE149" s="42"/>
      <c r="AF149" s="41" t="s">
        <v>107</v>
      </c>
      <c r="AG149" s="42"/>
      <c r="AH149" s="42"/>
      <c r="AI149" s="42">
        <f t="shared" si="3"/>
        <v>0</v>
      </c>
      <c r="AJ149" s="42"/>
      <c r="AK149" s="42"/>
    </row>
    <row r="150">
      <c r="A150" s="41" t="s">
        <v>469</v>
      </c>
      <c r="B150" s="41" t="s">
        <v>117</v>
      </c>
      <c r="C150" s="41" t="s">
        <v>112</v>
      </c>
      <c r="D150" s="41" t="s">
        <v>304</v>
      </c>
      <c r="E150" s="42"/>
      <c r="F150" s="41" t="s">
        <v>432</v>
      </c>
      <c r="G150" s="41" t="s">
        <v>470</v>
      </c>
      <c r="H150" s="41" t="s">
        <v>314</v>
      </c>
      <c r="I150" s="41" t="s">
        <v>471</v>
      </c>
      <c r="J150" s="41" t="s">
        <v>302</v>
      </c>
      <c r="K150" s="43" t="str">
        <f t="shared" si="1"/>
        <v>No Attunement Required, Base Item, Martial Weapon, Grants Advantage, Base Weapons, Melee Weapons, 0</v>
      </c>
      <c r="L150" s="43" t="str">
        <f t="shared" si="2"/>
        <v>No Attunement Required</v>
      </c>
      <c r="M150" s="44" t="s">
        <v>119</v>
      </c>
      <c r="N150" s="42"/>
      <c r="O150" s="42"/>
      <c r="P150" s="44" t="s">
        <v>309</v>
      </c>
      <c r="Q150" s="44"/>
      <c r="S150" s="44"/>
      <c r="T150" s="44"/>
      <c r="U150" s="44" t="s">
        <v>42</v>
      </c>
      <c r="V150" s="42"/>
      <c r="W150" s="42"/>
      <c r="X150" s="42"/>
      <c r="Y150" s="42"/>
      <c r="Z150" s="44" t="s">
        <v>104</v>
      </c>
      <c r="AA150" s="42"/>
      <c r="AB150" s="42"/>
      <c r="AC150" s="42"/>
      <c r="AD150" s="42"/>
      <c r="AE150" s="42"/>
      <c r="AF150" s="41" t="s">
        <v>107</v>
      </c>
      <c r="AG150" s="42"/>
      <c r="AH150" s="42"/>
      <c r="AI150" s="42">
        <f t="shared" si="3"/>
        <v>0</v>
      </c>
      <c r="AJ150" s="42"/>
      <c r="AK150" s="42"/>
    </row>
    <row r="151">
      <c r="A151" s="41" t="s">
        <v>472</v>
      </c>
      <c r="B151" s="41" t="s">
        <v>117</v>
      </c>
      <c r="C151" s="41" t="s">
        <v>112</v>
      </c>
      <c r="D151" s="41" t="s">
        <v>20</v>
      </c>
      <c r="E151" s="42"/>
      <c r="F151" s="41" t="s">
        <v>473</v>
      </c>
      <c r="G151" s="42"/>
      <c r="H151" s="42"/>
      <c r="I151" s="41" t="s">
        <v>457</v>
      </c>
      <c r="J151" s="41" t="s">
        <v>302</v>
      </c>
      <c r="K151" s="43" t="str">
        <f t="shared" si="1"/>
        <v>No Attunement Required, Base Item, Heavy Armor, Base Armor, 0</v>
      </c>
      <c r="L151" s="43" t="str">
        <f t="shared" si="2"/>
        <v>No Attunement Required</v>
      </c>
      <c r="M151" s="44" t="s">
        <v>119</v>
      </c>
      <c r="N151" s="42"/>
      <c r="O151" s="46" t="s">
        <v>20</v>
      </c>
      <c r="P151" s="47"/>
      <c r="Q151" s="42"/>
      <c r="S151" s="44"/>
      <c r="T151" s="44"/>
      <c r="U151" s="42"/>
      <c r="V151" s="42"/>
      <c r="W151" s="42"/>
      <c r="X151" s="42"/>
      <c r="Y151" s="42"/>
      <c r="Z151" s="42"/>
      <c r="AA151" s="44" t="s">
        <v>105</v>
      </c>
      <c r="AB151" s="42"/>
      <c r="AC151" s="42"/>
      <c r="AD151" s="42"/>
      <c r="AE151" s="42"/>
      <c r="AF151" s="42"/>
      <c r="AG151" s="42"/>
      <c r="AH151" s="42"/>
      <c r="AI151" s="42">
        <f t="shared" si="3"/>
        <v>0</v>
      </c>
      <c r="AJ151" s="42"/>
      <c r="AK151" s="42"/>
    </row>
    <row r="152">
      <c r="A152" s="41" t="s">
        <v>474</v>
      </c>
      <c r="B152" s="41" t="s">
        <v>117</v>
      </c>
      <c r="C152" s="41" t="s">
        <v>112</v>
      </c>
      <c r="D152" s="41" t="s">
        <v>304</v>
      </c>
      <c r="E152" s="42"/>
      <c r="F152" s="41" t="s">
        <v>395</v>
      </c>
      <c r="G152" s="41" t="s">
        <v>475</v>
      </c>
      <c r="H152" s="41" t="s">
        <v>344</v>
      </c>
      <c r="I152" s="41" t="s">
        <v>476</v>
      </c>
      <c r="J152" s="41" t="s">
        <v>302</v>
      </c>
      <c r="K152" s="43" t="str">
        <f t="shared" si="1"/>
        <v>No Attunement Required, Base Item, Martial Weapon, Base Weapons, Melee Weapons, 0</v>
      </c>
      <c r="L152" s="43" t="str">
        <f t="shared" si="2"/>
        <v>No Attunement Required</v>
      </c>
      <c r="M152" s="44" t="s">
        <v>119</v>
      </c>
      <c r="N152" s="42"/>
      <c r="O152" s="42"/>
      <c r="P152" s="44" t="s">
        <v>309</v>
      </c>
      <c r="Q152" s="44"/>
      <c r="R152" s="42"/>
      <c r="S152" s="42"/>
      <c r="T152" s="42"/>
      <c r="U152" s="42"/>
      <c r="V152" s="42"/>
      <c r="W152" s="42"/>
      <c r="X152" s="42"/>
      <c r="Y152" s="42"/>
      <c r="Z152" s="44" t="s">
        <v>104</v>
      </c>
      <c r="AA152" s="42"/>
      <c r="AB152" s="42"/>
      <c r="AC152" s="42"/>
      <c r="AD152" s="42"/>
      <c r="AE152" s="42"/>
      <c r="AF152" s="41" t="s">
        <v>107</v>
      </c>
      <c r="AG152" s="42"/>
      <c r="AH152" s="42"/>
      <c r="AI152" s="42">
        <f t="shared" si="3"/>
        <v>0</v>
      </c>
      <c r="AJ152" s="42"/>
      <c r="AK152" s="42"/>
    </row>
    <row r="153">
      <c r="A153" s="41" t="s">
        <v>23</v>
      </c>
      <c r="B153" s="41" t="s">
        <v>117</v>
      </c>
      <c r="C153" s="41" t="s">
        <v>112</v>
      </c>
      <c r="D153" s="41" t="s">
        <v>23</v>
      </c>
      <c r="E153" s="42"/>
      <c r="F153" s="41" t="s">
        <v>477</v>
      </c>
      <c r="G153" s="42"/>
      <c r="H153" s="42"/>
      <c r="I153" s="48" t="s">
        <v>478</v>
      </c>
      <c r="J153" s="41" t="s">
        <v>302</v>
      </c>
      <c r="K153" s="43" t="str">
        <f t="shared" si="1"/>
        <v>No Attunement Required, Base Item, Shield, Base Armor, 0</v>
      </c>
      <c r="L153" s="43" t="str">
        <f t="shared" si="2"/>
        <v>No Attunement Required</v>
      </c>
      <c r="M153" s="44" t="s">
        <v>119</v>
      </c>
      <c r="N153" s="42"/>
      <c r="O153" s="46" t="s">
        <v>23</v>
      </c>
      <c r="P153" s="42"/>
      <c r="Q153" s="42"/>
      <c r="R153" s="47"/>
      <c r="S153" s="42"/>
      <c r="T153" s="42"/>
      <c r="U153" s="42"/>
      <c r="V153" s="42"/>
      <c r="W153" s="42"/>
      <c r="X153" s="44"/>
      <c r="Y153" s="42"/>
      <c r="Z153" s="42"/>
      <c r="AA153" s="44" t="s">
        <v>105</v>
      </c>
      <c r="AB153" s="42"/>
      <c r="AC153" s="42"/>
      <c r="AD153" s="42"/>
      <c r="AE153" s="42"/>
      <c r="AF153" s="42"/>
      <c r="AG153" s="42"/>
      <c r="AH153" s="42"/>
      <c r="AI153" s="42">
        <f t="shared" si="3"/>
        <v>0</v>
      </c>
      <c r="AJ153" s="42"/>
      <c r="AK153" s="42"/>
    </row>
    <row r="154">
      <c r="A154" s="41" t="s">
        <v>479</v>
      </c>
      <c r="B154" s="41" t="s">
        <v>117</v>
      </c>
      <c r="C154" s="41" t="s">
        <v>112</v>
      </c>
      <c r="D154" s="41" t="s">
        <v>347</v>
      </c>
      <c r="E154" s="42"/>
      <c r="F154" s="41" t="s">
        <v>391</v>
      </c>
      <c r="G154" s="41" t="s">
        <v>480</v>
      </c>
      <c r="H154" s="41" t="s">
        <v>314</v>
      </c>
      <c r="I154" s="41" t="s">
        <v>481</v>
      </c>
      <c r="J154" s="41" t="s">
        <v>302</v>
      </c>
      <c r="K154" s="43" t="str">
        <f t="shared" si="1"/>
        <v>No Attunement Required, Base Item, Simple Weapon, Grants Advantage, Base Weapons, Ranged Weapons, 0</v>
      </c>
      <c r="L154" s="43" t="str">
        <f t="shared" si="2"/>
        <v>No Attunement Required</v>
      </c>
      <c r="M154" s="44" t="s">
        <v>119</v>
      </c>
      <c r="N154" s="42"/>
      <c r="O154" s="42"/>
      <c r="P154" s="44" t="s">
        <v>336</v>
      </c>
      <c r="Q154" s="44"/>
      <c r="R154" s="45"/>
      <c r="S154" s="42"/>
      <c r="T154" s="42"/>
      <c r="U154" s="44" t="s">
        <v>42</v>
      </c>
      <c r="V154" s="42"/>
      <c r="W154" s="42"/>
      <c r="X154" s="42"/>
      <c r="Y154" s="42"/>
      <c r="Z154" s="44" t="s">
        <v>104</v>
      </c>
      <c r="AA154" s="42"/>
      <c r="AB154" s="42"/>
      <c r="AC154" s="42"/>
      <c r="AD154" s="42"/>
      <c r="AE154" s="44" t="s">
        <v>106</v>
      </c>
      <c r="AF154" s="42"/>
      <c r="AG154" s="42"/>
      <c r="AH154" s="42"/>
      <c r="AI154" s="42">
        <f t="shared" si="3"/>
        <v>0</v>
      </c>
      <c r="AJ154" s="42"/>
      <c r="AK154" s="42"/>
    </row>
    <row r="155">
      <c r="A155" s="41" t="s">
        <v>482</v>
      </c>
      <c r="B155" s="41" t="s">
        <v>117</v>
      </c>
      <c r="C155" s="41" t="s">
        <v>112</v>
      </c>
      <c r="D155" s="41" t="s">
        <v>304</v>
      </c>
      <c r="E155" s="42"/>
      <c r="F155" s="41" t="s">
        <v>391</v>
      </c>
      <c r="G155" s="41" t="s">
        <v>475</v>
      </c>
      <c r="H155" s="41" t="s">
        <v>314</v>
      </c>
      <c r="I155" s="41" t="s">
        <v>483</v>
      </c>
      <c r="J155" s="41" t="s">
        <v>302</v>
      </c>
      <c r="K155" s="43" t="str">
        <f t="shared" si="1"/>
        <v>No Attunement Required, Base Item, Martial Weapon, Grants Advantage, Base Weapons, Melee Weapons, 0</v>
      </c>
      <c r="L155" s="43" t="str">
        <f t="shared" si="2"/>
        <v>No Attunement Required</v>
      </c>
      <c r="M155" s="44" t="s">
        <v>119</v>
      </c>
      <c r="N155" s="42"/>
      <c r="O155" s="42"/>
      <c r="P155" s="44" t="s">
        <v>309</v>
      </c>
      <c r="Q155" s="44"/>
      <c r="R155" s="42"/>
      <c r="S155" s="42"/>
      <c r="T155" s="42"/>
      <c r="U155" s="44" t="s">
        <v>42</v>
      </c>
      <c r="V155" s="42"/>
      <c r="W155" s="42"/>
      <c r="X155" s="42"/>
      <c r="Y155" s="42"/>
      <c r="Z155" s="44" t="s">
        <v>104</v>
      </c>
      <c r="AA155" s="42"/>
      <c r="AB155" s="42"/>
      <c r="AC155" s="42"/>
      <c r="AD155" s="42"/>
      <c r="AE155" s="42"/>
      <c r="AF155" s="41" t="s">
        <v>107</v>
      </c>
      <c r="AG155" s="42"/>
      <c r="AH155" s="42"/>
      <c r="AI155" s="42">
        <f t="shared" si="3"/>
        <v>0</v>
      </c>
      <c r="AJ155" s="42"/>
      <c r="AK155" s="42"/>
    </row>
    <row r="156">
      <c r="A156" s="41" t="s">
        <v>484</v>
      </c>
      <c r="B156" s="41" t="s">
        <v>117</v>
      </c>
      <c r="C156" s="41" t="s">
        <v>112</v>
      </c>
      <c r="D156" s="41" t="s">
        <v>331</v>
      </c>
      <c r="E156" s="42"/>
      <c r="F156" s="41" t="s">
        <v>485</v>
      </c>
      <c r="G156" s="41" t="s">
        <v>333</v>
      </c>
      <c r="H156" s="41" t="s">
        <v>344</v>
      </c>
      <c r="I156" s="41" t="s">
        <v>486</v>
      </c>
      <c r="J156" s="41" t="s">
        <v>302</v>
      </c>
      <c r="K156" s="43" t="str">
        <f t="shared" si="1"/>
        <v>No Attunement Required, Base Item, Simple Weapon, Base Weapons, Melee Weapons, 0</v>
      </c>
      <c r="L156" s="43" t="str">
        <f t="shared" si="2"/>
        <v>No Attunement Required</v>
      </c>
      <c r="M156" s="44" t="s">
        <v>119</v>
      </c>
      <c r="N156" s="42"/>
      <c r="O156" s="42"/>
      <c r="P156" s="44" t="s">
        <v>336</v>
      </c>
      <c r="Q156" s="44"/>
      <c r="R156" s="42"/>
      <c r="S156" s="42"/>
      <c r="T156" s="42"/>
      <c r="U156" s="42"/>
      <c r="V156" s="42"/>
      <c r="W156" s="42"/>
      <c r="X156" s="42"/>
      <c r="Y156" s="42"/>
      <c r="Z156" s="44" t="s">
        <v>104</v>
      </c>
      <c r="AA156" s="42"/>
      <c r="AB156" s="42"/>
      <c r="AC156" s="42"/>
      <c r="AD156" s="42"/>
      <c r="AE156" s="42"/>
      <c r="AF156" s="41" t="s">
        <v>107</v>
      </c>
      <c r="AG156" s="42"/>
      <c r="AH156" s="42"/>
      <c r="AI156" s="42">
        <f t="shared" si="3"/>
        <v>0</v>
      </c>
      <c r="AJ156" s="42"/>
      <c r="AK156" s="42"/>
    </row>
    <row r="157">
      <c r="A157" s="41" t="s">
        <v>487</v>
      </c>
      <c r="B157" s="41" t="s">
        <v>117</v>
      </c>
      <c r="C157" s="41" t="s">
        <v>112</v>
      </c>
      <c r="D157" s="41" t="s">
        <v>347</v>
      </c>
      <c r="E157" s="42"/>
      <c r="F157" s="41" t="s">
        <v>332</v>
      </c>
      <c r="G157" s="41" t="s">
        <v>488</v>
      </c>
      <c r="H157" s="41" t="s">
        <v>334</v>
      </c>
      <c r="I157" s="41" t="s">
        <v>489</v>
      </c>
      <c r="J157" s="41" t="s">
        <v>302</v>
      </c>
      <c r="K157" s="43" t="str">
        <f t="shared" si="1"/>
        <v>No Attunement Required, Base Item, Simple Weapon, Base Weapons, Ranged Weapons, 0</v>
      </c>
      <c r="L157" s="43" t="str">
        <f t="shared" si="2"/>
        <v>No Attunement Required</v>
      </c>
      <c r="M157" s="44" t="s">
        <v>119</v>
      </c>
      <c r="N157" s="42"/>
      <c r="O157" s="42"/>
      <c r="P157" s="44" t="s">
        <v>336</v>
      </c>
      <c r="Q157" s="44"/>
      <c r="R157" s="42"/>
      <c r="S157" s="42"/>
      <c r="T157" s="42"/>
      <c r="U157" s="42"/>
      <c r="V157" s="42"/>
      <c r="W157" s="42"/>
      <c r="X157" s="42"/>
      <c r="Y157" s="42"/>
      <c r="Z157" s="44" t="s">
        <v>104</v>
      </c>
      <c r="AA157" s="42"/>
      <c r="AB157" s="42"/>
      <c r="AC157" s="42"/>
      <c r="AD157" s="42"/>
      <c r="AE157" s="44" t="s">
        <v>106</v>
      </c>
      <c r="AF157" s="42"/>
      <c r="AG157" s="42"/>
      <c r="AH157" s="42"/>
      <c r="AI157" s="42">
        <f t="shared" si="3"/>
        <v>0</v>
      </c>
      <c r="AJ157" s="42"/>
      <c r="AK157" s="42"/>
    </row>
    <row r="158">
      <c r="A158" s="41" t="s">
        <v>490</v>
      </c>
      <c r="B158" s="41" t="s">
        <v>117</v>
      </c>
      <c r="C158" s="41" t="s">
        <v>112</v>
      </c>
      <c r="D158" s="41" t="s">
        <v>300</v>
      </c>
      <c r="E158" s="42"/>
      <c r="F158" s="42"/>
      <c r="G158" s="42"/>
      <c r="H158" s="42"/>
      <c r="I158" s="41" t="s">
        <v>491</v>
      </c>
      <c r="J158" s="41" t="s">
        <v>302</v>
      </c>
      <c r="K158" s="43" t="str">
        <f t="shared" si="1"/>
        <v>No Attunement Required, Tools and Instruments, 0</v>
      </c>
      <c r="L158" s="43" t="str">
        <f t="shared" si="2"/>
        <v>No Attunement Required</v>
      </c>
      <c r="M158" s="42"/>
      <c r="N158" s="42"/>
      <c r="O158" s="42"/>
      <c r="P158" s="42"/>
      <c r="Q158" s="42"/>
      <c r="R158" s="42"/>
      <c r="S158" s="42"/>
      <c r="T158" s="42"/>
      <c r="U158" s="42"/>
      <c r="V158" s="42"/>
      <c r="W158" s="42"/>
      <c r="X158" s="42"/>
      <c r="Y158" s="42"/>
      <c r="Z158" s="42"/>
      <c r="AA158" s="42"/>
      <c r="AB158" s="42"/>
      <c r="AC158" s="44" t="s">
        <v>19</v>
      </c>
      <c r="AD158" s="42"/>
      <c r="AE158" s="42"/>
      <c r="AF158" s="42"/>
      <c r="AG158" s="42"/>
      <c r="AH158" s="42"/>
      <c r="AI158" s="42">
        <f t="shared" si="3"/>
        <v>0</v>
      </c>
      <c r="AJ158" s="42"/>
      <c r="AK158" s="42"/>
    </row>
    <row r="159">
      <c r="A159" s="41" t="s">
        <v>492</v>
      </c>
      <c r="B159" s="41" t="s">
        <v>117</v>
      </c>
      <c r="C159" s="41" t="s">
        <v>112</v>
      </c>
      <c r="D159" s="41" t="s">
        <v>331</v>
      </c>
      <c r="E159" s="42"/>
      <c r="F159" s="41" t="s">
        <v>391</v>
      </c>
      <c r="G159" s="41" t="s">
        <v>493</v>
      </c>
      <c r="H159" s="41" t="s">
        <v>364</v>
      </c>
      <c r="I159" s="41" t="s">
        <v>494</v>
      </c>
      <c r="J159" s="41" t="s">
        <v>302</v>
      </c>
      <c r="K159" s="43" t="str">
        <f t="shared" si="1"/>
        <v>No Attunement Required, Base Item, Simple Weapon, Imposes Disadvantage, Base Weapons, Melee Weapons, 0</v>
      </c>
      <c r="L159" s="43" t="str">
        <f t="shared" si="2"/>
        <v>No Attunement Required</v>
      </c>
      <c r="M159" s="44" t="s">
        <v>119</v>
      </c>
      <c r="N159" s="42"/>
      <c r="O159" s="42"/>
      <c r="P159" s="44" t="s">
        <v>336</v>
      </c>
      <c r="Q159" s="44"/>
      <c r="R159" s="42"/>
      <c r="S159" s="42"/>
      <c r="T159" s="42"/>
      <c r="U159" s="44" t="s">
        <v>43</v>
      </c>
      <c r="V159" s="42"/>
      <c r="W159" s="42"/>
      <c r="X159" s="42"/>
      <c r="Y159" s="42"/>
      <c r="Z159" s="44" t="s">
        <v>104</v>
      </c>
      <c r="AA159" s="42"/>
      <c r="AB159" s="42"/>
      <c r="AC159" s="42"/>
      <c r="AD159" s="42"/>
      <c r="AE159" s="42"/>
      <c r="AF159" s="41" t="s">
        <v>107</v>
      </c>
      <c r="AG159" s="42"/>
      <c r="AH159" s="42"/>
      <c r="AI159" s="42">
        <f t="shared" si="3"/>
        <v>0</v>
      </c>
      <c r="AJ159" s="42"/>
      <c r="AK159" s="42"/>
    </row>
    <row r="160">
      <c r="A160" s="41" t="s">
        <v>495</v>
      </c>
      <c r="B160" s="41" t="s">
        <v>117</v>
      </c>
      <c r="C160" s="41" t="s">
        <v>112</v>
      </c>
      <c r="D160" s="41" t="s">
        <v>354</v>
      </c>
      <c r="E160" s="42"/>
      <c r="F160" s="42"/>
      <c r="G160" s="42"/>
      <c r="H160" s="42"/>
      <c r="I160" s="41" t="s">
        <v>496</v>
      </c>
      <c r="J160" s="41" t="s">
        <v>302</v>
      </c>
      <c r="K160" s="43" t="str">
        <f t="shared" si="1"/>
        <v>No Attunement Required, Tools and Instruments, 0</v>
      </c>
      <c r="L160" s="43" t="str">
        <f t="shared" si="2"/>
        <v>No Attunement Required</v>
      </c>
      <c r="M160" s="42"/>
      <c r="N160" s="42"/>
      <c r="O160" s="42"/>
      <c r="P160" s="42"/>
      <c r="Q160" s="42"/>
      <c r="R160" s="42"/>
      <c r="S160" s="44"/>
      <c r="T160" s="44"/>
      <c r="U160" s="42"/>
      <c r="V160" s="42"/>
      <c r="W160" s="42"/>
      <c r="X160" s="42"/>
      <c r="Y160" s="42"/>
      <c r="Z160" s="42"/>
      <c r="AA160" s="42"/>
      <c r="AB160" s="42"/>
      <c r="AC160" s="44" t="s">
        <v>19</v>
      </c>
      <c r="AD160" s="42"/>
      <c r="AE160" s="42"/>
      <c r="AF160" s="42"/>
      <c r="AG160" s="42"/>
      <c r="AH160" s="42"/>
      <c r="AI160" s="42">
        <f t="shared" si="3"/>
        <v>0</v>
      </c>
      <c r="AJ160" s="42"/>
      <c r="AK160" s="42"/>
    </row>
    <row r="161">
      <c r="A161" s="41" t="s">
        <v>497</v>
      </c>
      <c r="B161" s="41" t="s">
        <v>117</v>
      </c>
      <c r="C161" s="41" t="s">
        <v>112</v>
      </c>
      <c r="D161" s="41" t="s">
        <v>351</v>
      </c>
      <c r="E161" s="42"/>
      <c r="F161" s="42"/>
      <c r="G161" s="42"/>
      <c r="H161" s="42"/>
      <c r="I161" s="41" t="s">
        <v>352</v>
      </c>
      <c r="J161" s="41" t="s">
        <v>302</v>
      </c>
      <c r="K161" s="43" t="str">
        <f t="shared" si="1"/>
        <v>No Attunement Required, Tools and Instruments, 0</v>
      </c>
      <c r="L161" s="43" t="str">
        <f t="shared" si="2"/>
        <v>No Attunement Required</v>
      </c>
      <c r="M161" s="42"/>
      <c r="N161" s="42"/>
      <c r="O161" s="42"/>
      <c r="P161" s="42"/>
      <c r="Q161" s="42"/>
      <c r="R161" s="42"/>
      <c r="S161" s="42"/>
      <c r="T161" s="42"/>
      <c r="U161" s="42"/>
      <c r="V161" s="42"/>
      <c r="W161" s="42"/>
      <c r="X161" s="42"/>
      <c r="Y161" s="42"/>
      <c r="Z161" s="42"/>
      <c r="AA161" s="42"/>
      <c r="AB161" s="42"/>
      <c r="AC161" s="44" t="s">
        <v>19</v>
      </c>
      <c r="AD161" s="42"/>
      <c r="AE161" s="42"/>
      <c r="AF161" s="42"/>
      <c r="AG161" s="42"/>
      <c r="AH161" s="42"/>
      <c r="AI161" s="42">
        <f t="shared" si="3"/>
        <v>0</v>
      </c>
      <c r="AJ161" s="42"/>
      <c r="AK161" s="42"/>
    </row>
    <row r="162">
      <c r="A162" s="41" t="s">
        <v>498</v>
      </c>
      <c r="B162" s="41" t="s">
        <v>117</v>
      </c>
      <c r="C162" s="41" t="s">
        <v>112</v>
      </c>
      <c r="D162" s="41" t="s">
        <v>300</v>
      </c>
      <c r="E162" s="42"/>
      <c r="F162" s="42"/>
      <c r="G162" s="42"/>
      <c r="H162" s="42"/>
      <c r="I162" s="41" t="s">
        <v>499</v>
      </c>
      <c r="J162" s="41" t="s">
        <v>302</v>
      </c>
      <c r="K162" s="43" t="str">
        <f t="shared" si="1"/>
        <v>No Attunement Required, Tools and Instruments, 0</v>
      </c>
      <c r="L162" s="43" t="str">
        <f t="shared" si="2"/>
        <v>No Attunement Required</v>
      </c>
      <c r="M162" s="42"/>
      <c r="N162" s="42"/>
      <c r="O162" s="42"/>
      <c r="P162" s="42"/>
      <c r="Q162" s="42"/>
      <c r="R162" s="44"/>
      <c r="S162" s="42"/>
      <c r="T162" s="42"/>
      <c r="U162" s="42"/>
      <c r="V162" s="42"/>
      <c r="W162" s="42"/>
      <c r="X162" s="42"/>
      <c r="Y162" s="42"/>
      <c r="Z162" s="42"/>
      <c r="AA162" s="42"/>
      <c r="AB162" s="42"/>
      <c r="AC162" s="44" t="s">
        <v>19</v>
      </c>
      <c r="AD162" s="42"/>
      <c r="AE162" s="42"/>
      <c r="AF162" s="42"/>
      <c r="AG162" s="42"/>
      <c r="AH162" s="42"/>
      <c r="AI162" s="42">
        <f t="shared" si="3"/>
        <v>0</v>
      </c>
      <c r="AJ162" s="42"/>
      <c r="AK162" s="42"/>
    </row>
    <row r="163">
      <c r="A163" s="41" t="s">
        <v>500</v>
      </c>
      <c r="B163" s="41" t="s">
        <v>117</v>
      </c>
      <c r="C163" s="41" t="s">
        <v>112</v>
      </c>
      <c r="D163" s="41" t="s">
        <v>304</v>
      </c>
      <c r="E163" s="42"/>
      <c r="F163" s="41" t="s">
        <v>432</v>
      </c>
      <c r="G163" s="41" t="s">
        <v>501</v>
      </c>
      <c r="H163" s="41" t="s">
        <v>307</v>
      </c>
      <c r="I163" s="41" t="s">
        <v>502</v>
      </c>
      <c r="J163" s="41" t="s">
        <v>302</v>
      </c>
      <c r="K163" s="43" t="str">
        <f t="shared" si="1"/>
        <v>No Attunement Required, Base Item, Martial Weapon, Base Weapons, Melee Weapons, 0</v>
      </c>
      <c r="L163" s="43" t="str">
        <f t="shared" si="2"/>
        <v>No Attunement Required</v>
      </c>
      <c r="M163" s="44" t="s">
        <v>119</v>
      </c>
      <c r="N163" s="42"/>
      <c r="O163" s="42"/>
      <c r="P163" s="44" t="s">
        <v>309</v>
      </c>
      <c r="Q163" s="44"/>
      <c r="R163" s="44"/>
      <c r="S163" s="42"/>
      <c r="T163" s="42"/>
      <c r="U163" s="42"/>
      <c r="V163" s="42"/>
      <c r="W163" s="42"/>
      <c r="X163" s="42"/>
      <c r="Y163" s="42"/>
      <c r="Z163" s="44" t="s">
        <v>104</v>
      </c>
      <c r="AA163" s="42"/>
      <c r="AB163" s="42"/>
      <c r="AC163" s="42"/>
      <c r="AD163" s="42"/>
      <c r="AE163" s="42"/>
      <c r="AF163" s="41" t="s">
        <v>107</v>
      </c>
      <c r="AG163" s="42"/>
      <c r="AH163" s="42"/>
      <c r="AI163" s="42">
        <f t="shared" si="3"/>
        <v>0</v>
      </c>
      <c r="AJ163" s="42"/>
      <c r="AK163" s="42"/>
    </row>
    <row r="164">
      <c r="A164" s="41" t="s">
        <v>503</v>
      </c>
      <c r="B164" s="41" t="s">
        <v>117</v>
      </c>
      <c r="C164" s="41" t="s">
        <v>112</v>
      </c>
      <c r="D164" s="41" t="s">
        <v>304</v>
      </c>
      <c r="E164" s="42"/>
      <c r="F164" s="41" t="s">
        <v>432</v>
      </c>
      <c r="G164" s="41" t="s">
        <v>306</v>
      </c>
      <c r="H164" s="41" t="s">
        <v>364</v>
      </c>
      <c r="I164" s="41" t="s">
        <v>441</v>
      </c>
      <c r="J164" s="41" t="s">
        <v>302</v>
      </c>
      <c r="K164" s="43" t="str">
        <f t="shared" si="1"/>
        <v>No Attunement Required, Base Item, Martial Weapon, Imposes Disadvantage, Base Weapons, Melee Weapons, 0</v>
      </c>
      <c r="L164" s="43" t="str">
        <f t="shared" si="2"/>
        <v>No Attunement Required</v>
      </c>
      <c r="M164" s="44" t="s">
        <v>119</v>
      </c>
      <c r="N164" s="42"/>
      <c r="O164" s="42"/>
      <c r="P164" s="44" t="s">
        <v>309</v>
      </c>
      <c r="Q164" s="44"/>
      <c r="R164" s="42"/>
      <c r="S164" s="42"/>
      <c r="T164" s="42"/>
      <c r="U164" s="44" t="s">
        <v>43</v>
      </c>
      <c r="V164" s="42"/>
      <c r="W164" s="42"/>
      <c r="X164" s="42"/>
      <c r="Y164" s="42"/>
      <c r="Z164" s="44" t="s">
        <v>104</v>
      </c>
      <c r="AA164" s="42"/>
      <c r="AB164" s="42"/>
      <c r="AC164" s="42"/>
      <c r="AD164" s="42"/>
      <c r="AE164" s="42"/>
      <c r="AF164" s="41" t="s">
        <v>107</v>
      </c>
      <c r="AG164" s="42"/>
      <c r="AH164" s="42"/>
      <c r="AI164" s="42">
        <f t="shared" si="3"/>
        <v>0</v>
      </c>
      <c r="AJ164" s="42"/>
      <c r="AK164" s="42"/>
    </row>
    <row r="165">
      <c r="A165" s="41" t="s">
        <v>504</v>
      </c>
      <c r="B165" s="41" t="s">
        <v>117</v>
      </c>
      <c r="C165" s="41" t="s">
        <v>112</v>
      </c>
      <c r="D165" s="41" t="s">
        <v>304</v>
      </c>
      <c r="E165" s="42"/>
      <c r="F165" s="41" t="s">
        <v>363</v>
      </c>
      <c r="G165" s="41" t="s">
        <v>306</v>
      </c>
      <c r="H165" s="41" t="s">
        <v>383</v>
      </c>
      <c r="I165" s="41" t="s">
        <v>505</v>
      </c>
      <c r="J165" s="41" t="s">
        <v>302</v>
      </c>
      <c r="K165" s="43" t="str">
        <f t="shared" si="1"/>
        <v>No Attunement Required, Base Item, Martial Weapon, Base Weapons, Melee Weapons, 0</v>
      </c>
      <c r="L165" s="43" t="str">
        <f t="shared" si="2"/>
        <v>No Attunement Required</v>
      </c>
      <c r="M165" s="44" t="s">
        <v>119</v>
      </c>
      <c r="N165" s="42"/>
      <c r="O165" s="42"/>
      <c r="P165" s="44" t="s">
        <v>309</v>
      </c>
      <c r="Q165" s="44"/>
      <c r="R165" s="42"/>
      <c r="S165" s="42"/>
      <c r="T165" s="42"/>
      <c r="U165" s="42"/>
      <c r="V165" s="42"/>
      <c r="W165" s="42"/>
      <c r="X165" s="42"/>
      <c r="Y165" s="42"/>
      <c r="Z165" s="44" t="s">
        <v>104</v>
      </c>
      <c r="AA165" s="42"/>
      <c r="AB165" s="42"/>
      <c r="AC165" s="42"/>
      <c r="AD165" s="42"/>
      <c r="AE165" s="42"/>
      <c r="AF165" s="41" t="s">
        <v>107</v>
      </c>
      <c r="AG165" s="42"/>
      <c r="AH165" s="42"/>
      <c r="AI165" s="42">
        <f t="shared" si="3"/>
        <v>0</v>
      </c>
      <c r="AJ165" s="42"/>
      <c r="AK165" s="42"/>
    </row>
    <row r="166">
      <c r="A166" s="41" t="s">
        <v>506</v>
      </c>
      <c r="B166" s="41" t="s">
        <v>117</v>
      </c>
      <c r="C166" s="41" t="s">
        <v>112</v>
      </c>
      <c r="D166" s="41" t="s">
        <v>300</v>
      </c>
      <c r="E166" s="42"/>
      <c r="F166" s="42"/>
      <c r="G166" s="42"/>
      <c r="H166" s="42"/>
      <c r="I166" s="41" t="s">
        <v>507</v>
      </c>
      <c r="J166" s="41" t="s">
        <v>302</v>
      </c>
      <c r="K166" s="43" t="str">
        <f t="shared" si="1"/>
        <v>No Attunement Required, Tools and Instruments, 0</v>
      </c>
      <c r="L166" s="43" t="str">
        <f t="shared" si="2"/>
        <v>No Attunement Required</v>
      </c>
      <c r="M166" s="42"/>
      <c r="N166" s="42"/>
      <c r="O166" s="42"/>
      <c r="P166" s="42"/>
      <c r="Q166" s="42"/>
      <c r="R166" s="42"/>
      <c r="S166" s="44"/>
      <c r="T166" s="44"/>
      <c r="U166" s="42"/>
      <c r="V166" s="42"/>
      <c r="W166" s="42"/>
      <c r="X166" s="42"/>
      <c r="Y166" s="42"/>
      <c r="Z166" s="42"/>
      <c r="AA166" s="42"/>
      <c r="AB166" s="42"/>
      <c r="AC166" s="44" t="s">
        <v>19</v>
      </c>
      <c r="AD166" s="42"/>
      <c r="AE166" s="42"/>
      <c r="AF166" s="42"/>
      <c r="AG166" s="42"/>
      <c r="AH166" s="42"/>
      <c r="AI166" s="42">
        <f t="shared" si="3"/>
        <v>0</v>
      </c>
      <c r="AJ166" s="42"/>
      <c r="AK166" s="42"/>
    </row>
    <row r="167">
      <c r="A167" s="41" t="s">
        <v>508</v>
      </c>
      <c r="B167" s="41" t="s">
        <v>117</v>
      </c>
      <c r="C167" s="41" t="s">
        <v>112</v>
      </c>
      <c r="D167" s="41" t="s">
        <v>304</v>
      </c>
      <c r="E167" s="42"/>
      <c r="F167" s="41" t="s">
        <v>485</v>
      </c>
      <c r="G167" s="41" t="s">
        <v>509</v>
      </c>
      <c r="H167" s="41" t="s">
        <v>334</v>
      </c>
      <c r="I167" s="41" t="s">
        <v>510</v>
      </c>
      <c r="J167" s="41" t="s">
        <v>302</v>
      </c>
      <c r="K167" s="43" t="str">
        <f t="shared" si="1"/>
        <v>No Attunement Required, Base Item, Martial Weapon, Base Weapons, Melee Weapons, 0</v>
      </c>
      <c r="L167" s="43" t="str">
        <f t="shared" si="2"/>
        <v>No Attunement Required</v>
      </c>
      <c r="M167" s="44" t="s">
        <v>119</v>
      </c>
      <c r="N167" s="42"/>
      <c r="O167" s="42"/>
      <c r="P167" s="44" t="s">
        <v>309</v>
      </c>
      <c r="Q167" s="44"/>
      <c r="R167" s="44"/>
      <c r="S167" s="42"/>
      <c r="T167" s="42"/>
      <c r="U167" s="42"/>
      <c r="V167" s="42"/>
      <c r="W167" s="42"/>
      <c r="X167" s="42"/>
      <c r="Y167" s="42"/>
      <c r="Z167" s="44" t="s">
        <v>104</v>
      </c>
      <c r="AA167" s="42"/>
      <c r="AB167" s="42"/>
      <c r="AC167" s="42"/>
      <c r="AD167" s="42"/>
      <c r="AE167" s="42"/>
      <c r="AF167" s="41" t="s">
        <v>107</v>
      </c>
      <c r="AG167" s="42"/>
      <c r="AH167" s="42"/>
      <c r="AI167" s="42">
        <f t="shared" si="3"/>
        <v>0</v>
      </c>
      <c r="AJ167" s="42"/>
      <c r="AK167" s="42"/>
    </row>
    <row r="168">
      <c r="A168" s="41" t="s">
        <v>511</v>
      </c>
      <c r="B168" s="41" t="s">
        <v>117</v>
      </c>
      <c r="C168" s="41" t="s">
        <v>112</v>
      </c>
      <c r="D168" s="41" t="s">
        <v>300</v>
      </c>
      <c r="E168" s="42"/>
      <c r="F168" s="42"/>
      <c r="G168" s="42"/>
      <c r="H168" s="42"/>
      <c r="I168" s="41" t="s">
        <v>512</v>
      </c>
      <c r="J168" s="41" t="s">
        <v>302</v>
      </c>
      <c r="K168" s="43" t="str">
        <f t="shared" si="1"/>
        <v>No Attunement Required, Tools and Instruments, 0</v>
      </c>
      <c r="L168" s="43" t="str">
        <f t="shared" si="2"/>
        <v>No Attunement Required</v>
      </c>
      <c r="M168" s="42"/>
      <c r="N168" s="42"/>
      <c r="O168" s="42"/>
      <c r="P168" s="42"/>
      <c r="Q168" s="42"/>
      <c r="R168" s="44"/>
      <c r="S168" s="42"/>
      <c r="T168" s="42"/>
      <c r="U168" s="42"/>
      <c r="V168" s="42"/>
      <c r="W168" s="42"/>
      <c r="X168" s="42"/>
      <c r="Y168" s="42"/>
      <c r="Z168" s="42"/>
      <c r="AA168" s="42"/>
      <c r="AB168" s="42"/>
      <c r="AC168" s="44" t="s">
        <v>19</v>
      </c>
      <c r="AD168" s="42"/>
      <c r="AE168" s="42"/>
      <c r="AF168" s="42"/>
      <c r="AG168" s="42"/>
      <c r="AH168" s="42"/>
      <c r="AI168" s="42">
        <f t="shared" si="3"/>
        <v>0</v>
      </c>
      <c r="AJ168" s="42"/>
      <c r="AK168" s="42"/>
    </row>
    <row r="169">
      <c r="A169" s="41" t="s">
        <v>513</v>
      </c>
      <c r="B169" s="41" t="s">
        <v>514</v>
      </c>
      <c r="C169" s="41" t="s">
        <v>112</v>
      </c>
      <c r="D169" s="41" t="s">
        <v>331</v>
      </c>
      <c r="E169" s="42"/>
      <c r="F169" s="41" t="s">
        <v>432</v>
      </c>
      <c r="G169" s="41" t="s">
        <v>515</v>
      </c>
      <c r="H169" s="42"/>
      <c r="I169" s="41" t="s">
        <v>516</v>
      </c>
      <c r="J169" s="41" t="s">
        <v>302</v>
      </c>
      <c r="K169" s="43" t="str">
        <f t="shared" si="1"/>
        <v>No Attunement Required, Base Item, Simple Weapon, Base Weapons, Melee Weapons, 0</v>
      </c>
      <c r="L169" s="43" t="str">
        <f t="shared" si="2"/>
        <v>No Attunement Required</v>
      </c>
      <c r="M169" s="44" t="s">
        <v>119</v>
      </c>
      <c r="N169" s="42"/>
      <c r="O169" s="42"/>
      <c r="P169" s="44" t="s">
        <v>336</v>
      </c>
      <c r="Q169" s="44"/>
      <c r="R169" s="44"/>
      <c r="S169" s="42"/>
      <c r="T169" s="42"/>
      <c r="U169" s="42"/>
      <c r="V169" s="42"/>
      <c r="W169" s="42"/>
      <c r="X169" s="42"/>
      <c r="Y169" s="42"/>
      <c r="Z169" s="44" t="s">
        <v>104</v>
      </c>
      <c r="AA169" s="42"/>
      <c r="AB169" s="42"/>
      <c r="AC169" s="42"/>
      <c r="AD169" s="42"/>
      <c r="AE169" s="42"/>
      <c r="AF169" s="41" t="s">
        <v>107</v>
      </c>
      <c r="AG169" s="42"/>
      <c r="AH169" s="42"/>
      <c r="AI169" s="42">
        <f t="shared" si="3"/>
        <v>0</v>
      </c>
      <c r="AJ169" s="42"/>
      <c r="AK169" s="42"/>
    </row>
    <row r="170">
      <c r="A170" s="41" t="s">
        <v>517</v>
      </c>
      <c r="B170" s="41" t="s">
        <v>117</v>
      </c>
      <c r="C170" s="41" t="s">
        <v>112</v>
      </c>
      <c r="D170" s="41" t="s">
        <v>21</v>
      </c>
      <c r="E170" s="42"/>
      <c r="F170" s="42"/>
      <c r="G170" s="42"/>
      <c r="H170" s="42"/>
      <c r="I170" s="41" t="s">
        <v>518</v>
      </c>
      <c r="J170" s="41">
        <v>50.0</v>
      </c>
      <c r="K170" s="43" t="str">
        <f t="shared" si="1"/>
        <v>No Attunement Required, single use, Grants Advantage, Adventuring Gear, 0</v>
      </c>
      <c r="L170" s="43" t="str">
        <f t="shared" si="2"/>
        <v>No Attunement Required</v>
      </c>
      <c r="M170" s="44" t="s">
        <v>519</v>
      </c>
      <c r="N170" s="42"/>
      <c r="O170" s="42"/>
      <c r="P170" s="42"/>
      <c r="Q170" s="42"/>
      <c r="R170" s="42"/>
      <c r="S170" s="42"/>
      <c r="T170" s="42"/>
      <c r="U170" s="44" t="s">
        <v>42</v>
      </c>
      <c r="V170" s="42"/>
      <c r="W170" s="42"/>
      <c r="X170" s="42"/>
      <c r="Y170" s="42"/>
      <c r="Z170" s="42"/>
      <c r="AA170" s="42"/>
      <c r="AB170" s="44" t="s">
        <v>21</v>
      </c>
      <c r="AC170" s="42"/>
      <c r="AD170" s="42"/>
      <c r="AE170" s="42"/>
      <c r="AF170" s="42"/>
      <c r="AG170" s="42"/>
      <c r="AH170" s="42"/>
      <c r="AI170" s="42">
        <f t="shared" si="3"/>
        <v>0</v>
      </c>
      <c r="AJ170" s="42"/>
      <c r="AK170" s="42"/>
    </row>
    <row r="171">
      <c r="A171" s="41" t="s">
        <v>520</v>
      </c>
      <c r="B171" s="41" t="s">
        <v>173</v>
      </c>
      <c r="C171" s="41" t="s">
        <v>521</v>
      </c>
      <c r="D171" s="41" t="s">
        <v>522</v>
      </c>
      <c r="E171" s="42"/>
      <c r="F171" s="42"/>
      <c r="G171" s="42"/>
      <c r="H171" s="42"/>
      <c r="I171" s="41" t="s">
        <v>523</v>
      </c>
      <c r="J171" s="41">
        <v>50.0</v>
      </c>
      <c r="K171" s="43" t="str">
        <f t="shared" si="1"/>
        <v>No Attunement Required, Utility Gear, Rings, 1</v>
      </c>
      <c r="L171" s="43" t="str">
        <f t="shared" si="2"/>
        <v>No Attunement Required</v>
      </c>
      <c r="M171" s="44"/>
      <c r="N171" s="44" t="s">
        <v>47</v>
      </c>
      <c r="O171" s="42"/>
      <c r="P171" s="42"/>
      <c r="Q171" s="42"/>
      <c r="R171" s="44"/>
      <c r="S171" s="44" t="s">
        <v>36</v>
      </c>
      <c r="T171" s="42"/>
      <c r="U171" s="42"/>
      <c r="V171" s="42"/>
      <c r="W171" s="42"/>
      <c r="X171" s="42"/>
      <c r="Y171" s="42"/>
      <c r="Z171" s="42"/>
      <c r="AA171" s="42"/>
      <c r="AB171" s="42"/>
      <c r="AC171" s="42"/>
      <c r="AD171" s="42"/>
      <c r="AE171" s="42"/>
      <c r="AF171" s="42"/>
      <c r="AG171" s="42"/>
      <c r="AH171" s="42"/>
      <c r="AI171" s="42">
        <f t="shared" si="3"/>
        <v>1</v>
      </c>
      <c r="AJ171" s="42"/>
      <c r="AK171" s="42"/>
    </row>
    <row r="172">
      <c r="A172" s="41" t="s">
        <v>524</v>
      </c>
      <c r="B172" s="41" t="s">
        <v>525</v>
      </c>
      <c r="C172" s="41" t="s">
        <v>521</v>
      </c>
      <c r="D172" s="41" t="s">
        <v>526</v>
      </c>
      <c r="E172" s="42"/>
      <c r="F172" s="42"/>
      <c r="G172" s="42"/>
      <c r="H172" s="42"/>
      <c r="I172" s="47" t="s">
        <v>527</v>
      </c>
      <c r="J172" s="41">
        <v>50.0</v>
      </c>
      <c r="K172" s="43" t="str">
        <f t="shared" si="1"/>
        <v>No Attunement Required, Cosmetic, Generic Variant, Armors, 1</v>
      </c>
      <c r="L172" s="43" t="str">
        <f t="shared" si="2"/>
        <v>No Attunement Required</v>
      </c>
      <c r="M172" s="44" t="s">
        <v>31</v>
      </c>
      <c r="N172" s="42"/>
      <c r="O172" s="42"/>
      <c r="P172" s="42"/>
      <c r="Q172" s="42"/>
      <c r="R172" s="42"/>
      <c r="S172" s="41" t="s">
        <v>526</v>
      </c>
      <c r="T172" s="41"/>
      <c r="U172" s="42"/>
      <c r="V172" s="42"/>
      <c r="W172" s="42"/>
      <c r="X172" s="42"/>
      <c r="Y172" s="42"/>
      <c r="Z172" s="42"/>
      <c r="AA172" s="42"/>
      <c r="AB172" s="42"/>
      <c r="AC172" s="42"/>
      <c r="AD172" s="42"/>
      <c r="AE172" s="42"/>
      <c r="AF172" s="42"/>
      <c r="AG172" s="44" t="s">
        <v>108</v>
      </c>
      <c r="AH172" s="42"/>
      <c r="AI172" s="42">
        <f t="shared" si="3"/>
        <v>1</v>
      </c>
      <c r="AJ172" s="42"/>
      <c r="AK172" s="42"/>
    </row>
    <row r="173">
      <c r="A173" s="41" t="s">
        <v>528</v>
      </c>
      <c r="B173" s="41" t="s">
        <v>525</v>
      </c>
      <c r="C173" s="41" t="s">
        <v>521</v>
      </c>
      <c r="D173" s="41" t="s">
        <v>529</v>
      </c>
      <c r="E173" s="42"/>
      <c r="F173" s="42"/>
      <c r="G173" s="42"/>
      <c r="H173" s="42"/>
      <c r="I173" s="41" t="s">
        <v>530</v>
      </c>
      <c r="J173" s="41">
        <v>50.0</v>
      </c>
      <c r="K173" s="43" t="str">
        <f t="shared" si="1"/>
        <v>No Attunement Required, Utility Gear, 1</v>
      </c>
      <c r="L173" s="43" t="str">
        <f t="shared" si="2"/>
        <v>No Attunement Required</v>
      </c>
      <c r="M173" s="44"/>
      <c r="N173" s="44" t="s">
        <v>47</v>
      </c>
      <c r="O173" s="42"/>
      <c r="P173" s="42"/>
      <c r="Q173" s="42"/>
      <c r="R173" s="42"/>
      <c r="S173" s="42"/>
      <c r="T173" s="42"/>
      <c r="U173" s="42"/>
      <c r="V173" s="42"/>
      <c r="W173" s="42"/>
      <c r="X173" s="42"/>
      <c r="Y173" s="42"/>
      <c r="Z173" s="42"/>
      <c r="AA173" s="42"/>
      <c r="AB173" s="42"/>
      <c r="AC173" s="42"/>
      <c r="AD173" s="42"/>
      <c r="AE173" s="42"/>
      <c r="AF173" s="42"/>
      <c r="AG173" s="42"/>
      <c r="AH173" s="42"/>
      <c r="AI173" s="42">
        <f t="shared" si="3"/>
        <v>1</v>
      </c>
      <c r="AJ173" s="42"/>
      <c r="AK173" s="42"/>
    </row>
    <row r="174">
      <c r="A174" s="41" t="s">
        <v>531</v>
      </c>
      <c r="B174" s="41" t="s">
        <v>532</v>
      </c>
      <c r="C174" s="41" t="s">
        <v>521</v>
      </c>
      <c r="D174" s="41" t="s">
        <v>529</v>
      </c>
      <c r="E174" s="42"/>
      <c r="F174" s="42"/>
      <c r="G174" s="42"/>
      <c r="H174" s="42"/>
      <c r="I174" s="41" t="s">
        <v>533</v>
      </c>
      <c r="J174" s="41">
        <v>50.0</v>
      </c>
      <c r="K174" s="43" t="str">
        <f t="shared" si="1"/>
        <v>No Attunement Required, Utility Gear, 1</v>
      </c>
      <c r="L174" s="43" t="str">
        <f t="shared" si="2"/>
        <v>No Attunement Required</v>
      </c>
      <c r="M174" s="44"/>
      <c r="N174" s="44" t="s">
        <v>47</v>
      </c>
      <c r="O174" s="42"/>
      <c r="P174" s="42"/>
      <c r="Q174" s="42"/>
      <c r="R174" s="42"/>
      <c r="S174" s="42"/>
      <c r="T174" s="42"/>
      <c r="U174" s="42"/>
      <c r="V174" s="42"/>
      <c r="W174" s="42"/>
      <c r="X174" s="42"/>
      <c r="Y174" s="42"/>
      <c r="Z174" s="42"/>
      <c r="AA174" s="42"/>
      <c r="AB174" s="42"/>
      <c r="AC174" s="42"/>
      <c r="AD174" s="42"/>
      <c r="AE174" s="42"/>
      <c r="AF174" s="42"/>
      <c r="AG174" s="42"/>
      <c r="AH174" s="42"/>
      <c r="AI174" s="42">
        <f t="shared" si="3"/>
        <v>1</v>
      </c>
      <c r="AJ174" s="42"/>
      <c r="AK174" s="42"/>
    </row>
    <row r="175">
      <c r="A175" s="41" t="s">
        <v>534</v>
      </c>
      <c r="B175" s="41" t="s">
        <v>525</v>
      </c>
      <c r="C175" s="41" t="s">
        <v>521</v>
      </c>
      <c r="D175" s="41" t="s">
        <v>529</v>
      </c>
      <c r="E175" s="42"/>
      <c r="F175" s="42"/>
      <c r="G175" s="42"/>
      <c r="H175" s="42"/>
      <c r="I175" s="41" t="s">
        <v>535</v>
      </c>
      <c r="J175" s="41">
        <v>50.0</v>
      </c>
      <c r="K175" s="43" t="str">
        <f t="shared" si="1"/>
        <v>No Attunement Required, 1</v>
      </c>
      <c r="L175" s="43" t="str">
        <f t="shared" si="2"/>
        <v>No Attunement Required</v>
      </c>
      <c r="M175" s="42"/>
      <c r="N175" s="42"/>
      <c r="O175" s="42"/>
      <c r="P175" s="42"/>
      <c r="Q175" s="42"/>
      <c r="R175" s="41"/>
      <c r="S175" s="42"/>
      <c r="T175" s="42"/>
      <c r="U175" s="42"/>
      <c r="V175" s="42"/>
      <c r="W175" s="42"/>
      <c r="X175" s="42"/>
      <c r="Y175" s="42"/>
      <c r="Z175" s="42"/>
      <c r="AA175" s="42"/>
      <c r="AB175" s="42"/>
      <c r="AC175" s="42"/>
      <c r="AD175" s="42"/>
      <c r="AE175" s="42"/>
      <c r="AF175" s="42"/>
      <c r="AG175" s="42"/>
      <c r="AH175" s="42"/>
      <c r="AI175" s="42">
        <f t="shared" si="3"/>
        <v>1</v>
      </c>
      <c r="AJ175" s="42"/>
      <c r="AK175" s="42"/>
    </row>
    <row r="176">
      <c r="A176" s="41" t="s">
        <v>536</v>
      </c>
      <c r="B176" s="41" t="s">
        <v>525</v>
      </c>
      <c r="C176" s="41" t="s">
        <v>521</v>
      </c>
      <c r="D176" s="41" t="s">
        <v>526</v>
      </c>
      <c r="E176" s="42"/>
      <c r="F176" s="42"/>
      <c r="G176" s="42"/>
      <c r="H176" s="42"/>
      <c r="I176" s="47" t="s">
        <v>537</v>
      </c>
      <c r="J176" s="41">
        <v>50.0</v>
      </c>
      <c r="K176" s="43" t="str">
        <f t="shared" si="1"/>
        <v>No Attunement Required, Cosmetic, Generic Variant, Armors, 1</v>
      </c>
      <c r="L176" s="43" t="str">
        <f t="shared" si="2"/>
        <v>No Attunement Required</v>
      </c>
      <c r="M176" s="44" t="s">
        <v>31</v>
      </c>
      <c r="N176" s="42"/>
      <c r="O176" s="42"/>
      <c r="P176" s="42"/>
      <c r="Q176" s="42"/>
      <c r="R176" s="42"/>
      <c r="S176" s="44" t="s">
        <v>526</v>
      </c>
      <c r="T176" s="44"/>
      <c r="U176" s="42"/>
      <c r="V176" s="42"/>
      <c r="W176" s="42"/>
      <c r="X176" s="42"/>
      <c r="Y176" s="42"/>
      <c r="Z176" s="42"/>
      <c r="AA176" s="42"/>
      <c r="AB176" s="42"/>
      <c r="AC176" s="42"/>
      <c r="AD176" s="42"/>
      <c r="AE176" s="42"/>
      <c r="AF176" s="42"/>
      <c r="AG176" s="44" t="s">
        <v>108</v>
      </c>
      <c r="AH176" s="42"/>
      <c r="AI176" s="42">
        <f t="shared" si="3"/>
        <v>1</v>
      </c>
      <c r="AJ176" s="42"/>
      <c r="AK176" s="42"/>
    </row>
    <row r="177">
      <c r="A177" s="41" t="s">
        <v>538</v>
      </c>
      <c r="B177" s="41" t="s">
        <v>525</v>
      </c>
      <c r="C177" s="41" t="s">
        <v>521</v>
      </c>
      <c r="D177" s="41" t="s">
        <v>529</v>
      </c>
      <c r="E177" s="42"/>
      <c r="F177" s="42"/>
      <c r="G177" s="42"/>
      <c r="H177" s="42"/>
      <c r="I177" s="41" t="s">
        <v>539</v>
      </c>
      <c r="J177" s="41">
        <v>50.0</v>
      </c>
      <c r="K177" s="43" t="str">
        <f t="shared" si="1"/>
        <v>No Attunement Required, Utility Gear, 1</v>
      </c>
      <c r="L177" s="43" t="str">
        <f t="shared" si="2"/>
        <v>No Attunement Required</v>
      </c>
      <c r="M177" s="44"/>
      <c r="N177" s="44" t="s">
        <v>47</v>
      </c>
      <c r="O177" s="42"/>
      <c r="P177" s="42"/>
      <c r="Q177" s="42"/>
      <c r="R177" s="42"/>
      <c r="S177" s="42"/>
      <c r="T177" s="42"/>
      <c r="U177" s="42"/>
      <c r="V177" s="42"/>
      <c r="W177" s="42"/>
      <c r="X177" s="42"/>
      <c r="Y177" s="42"/>
      <c r="Z177" s="42"/>
      <c r="AA177" s="42"/>
      <c r="AB177" s="42"/>
      <c r="AC177" s="42"/>
      <c r="AD177" s="42"/>
      <c r="AE177" s="42"/>
      <c r="AF177" s="42"/>
      <c r="AG177" s="42"/>
      <c r="AH177" s="42"/>
      <c r="AI177" s="42">
        <f t="shared" si="3"/>
        <v>1</v>
      </c>
      <c r="AJ177" s="42"/>
      <c r="AK177" s="42"/>
    </row>
    <row r="178">
      <c r="A178" s="41" t="s">
        <v>540</v>
      </c>
      <c r="B178" s="41" t="s">
        <v>525</v>
      </c>
      <c r="C178" s="41" t="s">
        <v>521</v>
      </c>
      <c r="D178" s="41" t="s">
        <v>529</v>
      </c>
      <c r="E178" s="42"/>
      <c r="F178" s="42"/>
      <c r="G178" s="42"/>
      <c r="H178" s="42"/>
      <c r="I178" s="41" t="s">
        <v>541</v>
      </c>
      <c r="J178" s="41">
        <v>50.0</v>
      </c>
      <c r="K178" s="43" t="str">
        <f t="shared" si="1"/>
        <v>No Attunement Required, Utility Gear, 1</v>
      </c>
      <c r="L178" s="43" t="str">
        <f t="shared" si="2"/>
        <v>No Attunement Required</v>
      </c>
      <c r="M178" s="44"/>
      <c r="N178" s="44" t="s">
        <v>47</v>
      </c>
      <c r="O178" s="42"/>
      <c r="P178" s="42"/>
      <c r="Q178" s="42"/>
      <c r="R178" s="42"/>
      <c r="S178" s="42"/>
      <c r="T178" s="42"/>
      <c r="U178" s="42"/>
      <c r="V178" s="42"/>
      <c r="W178" s="42"/>
      <c r="X178" s="42"/>
      <c r="Y178" s="42"/>
      <c r="Z178" s="42"/>
      <c r="AA178" s="42"/>
      <c r="AB178" s="42"/>
      <c r="AC178" s="42"/>
      <c r="AD178" s="42"/>
      <c r="AE178" s="42"/>
      <c r="AF178" s="42"/>
      <c r="AG178" s="42"/>
      <c r="AH178" s="42"/>
      <c r="AI178" s="42">
        <f t="shared" si="3"/>
        <v>1</v>
      </c>
      <c r="AJ178" s="42"/>
      <c r="AK178" s="42"/>
    </row>
    <row r="179">
      <c r="A179" s="41" t="s">
        <v>542</v>
      </c>
      <c r="B179" s="41" t="s">
        <v>525</v>
      </c>
      <c r="C179" s="41" t="s">
        <v>521</v>
      </c>
      <c r="D179" s="41" t="s">
        <v>529</v>
      </c>
      <c r="E179" s="42"/>
      <c r="F179" s="42"/>
      <c r="G179" s="42"/>
      <c r="H179" s="42"/>
      <c r="I179" s="41" t="s">
        <v>543</v>
      </c>
      <c r="J179" s="41">
        <v>50.0</v>
      </c>
      <c r="K179" s="43" t="str">
        <f t="shared" si="1"/>
        <v>No Attunement Required, 1</v>
      </c>
      <c r="L179" s="43" t="str">
        <f t="shared" si="2"/>
        <v>No Attunement Required</v>
      </c>
      <c r="M179" s="42"/>
      <c r="N179" s="42"/>
      <c r="O179" s="42"/>
      <c r="P179" s="42"/>
      <c r="Q179" s="42"/>
      <c r="R179" s="42"/>
      <c r="S179" s="41"/>
      <c r="T179" s="41"/>
      <c r="U179" s="42"/>
      <c r="V179" s="42"/>
      <c r="W179" s="42"/>
      <c r="X179" s="42"/>
      <c r="Y179" s="42"/>
      <c r="Z179" s="42"/>
      <c r="AA179" s="42"/>
      <c r="AB179" s="42"/>
      <c r="AC179" s="42"/>
      <c r="AD179" s="42"/>
      <c r="AE179" s="42"/>
      <c r="AF179" s="42"/>
      <c r="AG179" s="42"/>
      <c r="AH179" s="42"/>
      <c r="AI179" s="42">
        <f t="shared" si="3"/>
        <v>1</v>
      </c>
      <c r="AJ179" s="42"/>
      <c r="AK179" s="42"/>
    </row>
    <row r="180">
      <c r="A180" s="41" t="s">
        <v>544</v>
      </c>
      <c r="B180" s="41" t="s">
        <v>525</v>
      </c>
      <c r="C180" s="41" t="s">
        <v>521</v>
      </c>
      <c r="D180" s="41" t="s">
        <v>529</v>
      </c>
      <c r="E180" s="42"/>
      <c r="F180" s="42"/>
      <c r="G180" s="42"/>
      <c r="H180" s="42"/>
      <c r="I180" s="41" t="s">
        <v>545</v>
      </c>
      <c r="J180" s="41">
        <v>50.0</v>
      </c>
      <c r="K180" s="43" t="str">
        <f t="shared" si="1"/>
        <v>No Attunement Required, Utility Gear, 1</v>
      </c>
      <c r="L180" s="43" t="str">
        <f t="shared" si="2"/>
        <v>No Attunement Required</v>
      </c>
      <c r="M180" s="44"/>
      <c r="N180" s="44" t="s">
        <v>47</v>
      </c>
      <c r="O180" s="42"/>
      <c r="P180" s="42"/>
      <c r="Q180" s="42"/>
      <c r="R180" s="42"/>
      <c r="S180" s="42"/>
      <c r="T180" s="42"/>
      <c r="U180" s="42"/>
      <c r="V180" s="42"/>
      <c r="W180" s="42"/>
      <c r="X180" s="42"/>
      <c r="Y180" s="42"/>
      <c r="Z180" s="42"/>
      <c r="AA180" s="42"/>
      <c r="AB180" s="42"/>
      <c r="AC180" s="42"/>
      <c r="AD180" s="42"/>
      <c r="AE180" s="42"/>
      <c r="AF180" s="42"/>
      <c r="AG180" s="42"/>
      <c r="AH180" s="42"/>
      <c r="AI180" s="42">
        <f t="shared" si="3"/>
        <v>1</v>
      </c>
      <c r="AJ180" s="42"/>
      <c r="AK180" s="42"/>
    </row>
    <row r="181">
      <c r="A181" s="41" t="s">
        <v>546</v>
      </c>
      <c r="B181" s="41" t="s">
        <v>525</v>
      </c>
      <c r="C181" s="41" t="s">
        <v>521</v>
      </c>
      <c r="D181" s="41" t="s">
        <v>529</v>
      </c>
      <c r="E181" s="42"/>
      <c r="F181" s="42"/>
      <c r="G181" s="42"/>
      <c r="H181" s="42"/>
      <c r="I181" s="41" t="s">
        <v>547</v>
      </c>
      <c r="J181" s="41">
        <v>50.0</v>
      </c>
      <c r="K181" s="43" t="str">
        <f t="shared" si="1"/>
        <v>No Attunement Required, 1</v>
      </c>
      <c r="L181" s="43" t="str">
        <f t="shared" si="2"/>
        <v>No Attunement Required</v>
      </c>
      <c r="M181" s="42"/>
      <c r="N181" s="42"/>
      <c r="O181" s="42"/>
      <c r="P181" s="42"/>
      <c r="Q181" s="42"/>
      <c r="R181" s="42"/>
      <c r="S181" s="41"/>
      <c r="T181" s="41"/>
      <c r="U181" s="42"/>
      <c r="V181" s="42"/>
      <c r="W181" s="42"/>
      <c r="X181" s="42"/>
      <c r="Y181" s="42"/>
      <c r="Z181" s="42"/>
      <c r="AA181" s="42"/>
      <c r="AB181" s="42"/>
      <c r="AC181" s="42"/>
      <c r="AD181" s="42"/>
      <c r="AE181" s="42"/>
      <c r="AF181" s="42"/>
      <c r="AG181" s="42"/>
      <c r="AH181" s="42"/>
      <c r="AI181" s="42">
        <f t="shared" si="3"/>
        <v>1</v>
      </c>
      <c r="AJ181" s="42"/>
      <c r="AK181" s="42"/>
    </row>
    <row r="182">
      <c r="A182" s="41" t="s">
        <v>548</v>
      </c>
      <c r="B182" s="41" t="s">
        <v>525</v>
      </c>
      <c r="C182" s="41" t="s">
        <v>521</v>
      </c>
      <c r="D182" s="41" t="s">
        <v>526</v>
      </c>
      <c r="E182" s="42"/>
      <c r="F182" s="42"/>
      <c r="G182" s="42"/>
      <c r="H182" s="42"/>
      <c r="I182" s="47" t="s">
        <v>549</v>
      </c>
      <c r="J182" s="41">
        <v>50.0</v>
      </c>
      <c r="K182" s="43" t="str">
        <f t="shared" si="1"/>
        <v>No Attunement Required, Cosmetic, Generic Variant, Melee Weapons, 1</v>
      </c>
      <c r="L182" s="43" t="str">
        <f t="shared" si="2"/>
        <v>No Attunement Required</v>
      </c>
      <c r="M182" s="44" t="s">
        <v>31</v>
      </c>
      <c r="N182" s="42"/>
      <c r="O182" s="42"/>
      <c r="P182" s="42"/>
      <c r="Q182" s="42"/>
      <c r="S182" s="44" t="s">
        <v>526</v>
      </c>
      <c r="T182" s="44"/>
      <c r="U182" s="42"/>
      <c r="V182" s="42"/>
      <c r="W182" s="42"/>
      <c r="X182" s="42"/>
      <c r="Y182" s="42"/>
      <c r="Z182" s="42"/>
      <c r="AA182" s="42"/>
      <c r="AB182" s="42"/>
      <c r="AC182" s="42"/>
      <c r="AD182" s="42"/>
      <c r="AE182" s="42"/>
      <c r="AF182" s="44" t="s">
        <v>107</v>
      </c>
      <c r="AG182" s="42"/>
      <c r="AH182" s="42"/>
      <c r="AI182" s="42">
        <f t="shared" si="3"/>
        <v>1</v>
      </c>
      <c r="AJ182" s="42"/>
      <c r="AK182" s="42"/>
    </row>
    <row r="183">
      <c r="A183" s="41" t="s">
        <v>550</v>
      </c>
      <c r="B183" s="41" t="s">
        <v>551</v>
      </c>
      <c r="C183" s="41" t="s">
        <v>521</v>
      </c>
      <c r="D183" s="41" t="s">
        <v>529</v>
      </c>
      <c r="E183" s="42"/>
      <c r="F183" s="42"/>
      <c r="G183" s="42"/>
      <c r="H183" s="42"/>
      <c r="I183" s="41" t="s">
        <v>552</v>
      </c>
      <c r="J183" s="41">
        <v>50.0</v>
      </c>
      <c r="K183" s="43" t="str">
        <f t="shared" si="1"/>
        <v>No Attunement Required, 1</v>
      </c>
      <c r="L183" s="43" t="str">
        <f t="shared" si="2"/>
        <v>No Attunement Required</v>
      </c>
      <c r="M183" s="42"/>
      <c r="N183" s="42"/>
      <c r="O183" s="42"/>
      <c r="P183" s="42"/>
      <c r="Q183" s="41"/>
      <c r="S183" s="42"/>
      <c r="T183" s="42"/>
      <c r="U183" s="42"/>
      <c r="V183" s="42"/>
      <c r="W183" s="42"/>
      <c r="X183" s="42"/>
      <c r="Y183" s="42"/>
      <c r="Z183" s="42"/>
      <c r="AA183" s="42"/>
      <c r="AB183" s="42"/>
      <c r="AC183" s="42"/>
      <c r="AD183" s="42"/>
      <c r="AE183" s="42"/>
      <c r="AF183" s="42"/>
      <c r="AG183" s="42"/>
      <c r="AH183" s="42"/>
      <c r="AI183" s="42">
        <f t="shared" si="3"/>
        <v>1</v>
      </c>
      <c r="AJ183" s="42"/>
      <c r="AK183" s="42"/>
    </row>
    <row r="184">
      <c r="A184" s="41" t="s">
        <v>553</v>
      </c>
      <c r="B184" s="41" t="s">
        <v>525</v>
      </c>
      <c r="C184" s="41" t="s">
        <v>521</v>
      </c>
      <c r="D184" s="41" t="s">
        <v>529</v>
      </c>
      <c r="E184" s="42"/>
      <c r="F184" s="42"/>
      <c r="G184" s="42"/>
      <c r="H184" s="42"/>
      <c r="I184" s="41" t="s">
        <v>554</v>
      </c>
      <c r="J184" s="41">
        <v>50.0</v>
      </c>
      <c r="K184" s="43" t="str">
        <f t="shared" si="1"/>
        <v>No Attunement Required, Utility Gear, 1</v>
      </c>
      <c r="L184" s="43" t="str">
        <f t="shared" si="2"/>
        <v>No Attunement Required</v>
      </c>
      <c r="M184" s="44"/>
      <c r="N184" s="44" t="s">
        <v>47</v>
      </c>
      <c r="O184" s="42"/>
      <c r="P184" s="42"/>
      <c r="Q184" s="42"/>
      <c r="S184" s="42"/>
      <c r="T184" s="42"/>
      <c r="U184" s="42"/>
      <c r="V184" s="42"/>
      <c r="W184" s="42"/>
      <c r="X184" s="42"/>
      <c r="Y184" s="42"/>
      <c r="Z184" s="42"/>
      <c r="AA184" s="42"/>
      <c r="AB184" s="42"/>
      <c r="AC184" s="42"/>
      <c r="AD184" s="42"/>
      <c r="AE184" s="42"/>
      <c r="AF184" s="42"/>
      <c r="AG184" s="42"/>
      <c r="AH184" s="42"/>
      <c r="AI184" s="42">
        <f t="shared" si="3"/>
        <v>1</v>
      </c>
      <c r="AJ184" s="42"/>
      <c r="AK184" s="42"/>
    </row>
    <row r="185">
      <c r="A185" s="41" t="s">
        <v>555</v>
      </c>
      <c r="B185" s="41" t="s">
        <v>525</v>
      </c>
      <c r="C185" s="41" t="s">
        <v>521</v>
      </c>
      <c r="D185" s="41" t="s">
        <v>556</v>
      </c>
      <c r="E185" s="42"/>
      <c r="F185" s="42"/>
      <c r="G185" s="42"/>
      <c r="H185" s="42"/>
      <c r="I185" s="41" t="s">
        <v>557</v>
      </c>
      <c r="J185" s="41">
        <v>50.0</v>
      </c>
      <c r="K185" s="43" t="str">
        <f t="shared" si="1"/>
        <v>No Attunement Required, single use, Healing, Potions, 1</v>
      </c>
      <c r="L185" s="43" t="str">
        <f t="shared" si="2"/>
        <v>No Attunement Required</v>
      </c>
      <c r="M185" s="44" t="s">
        <v>519</v>
      </c>
      <c r="N185" s="42"/>
      <c r="O185" s="42"/>
      <c r="P185" s="42"/>
      <c r="Q185" s="42"/>
      <c r="R185" s="46" t="s">
        <v>46</v>
      </c>
      <c r="S185" s="41" t="s">
        <v>57</v>
      </c>
      <c r="T185" s="41"/>
      <c r="U185" s="42"/>
      <c r="V185" s="42"/>
      <c r="W185" s="42"/>
      <c r="X185" s="42"/>
      <c r="Y185" s="42"/>
      <c r="Z185" s="42"/>
      <c r="AA185" s="42"/>
      <c r="AB185" s="42"/>
      <c r="AC185" s="42"/>
      <c r="AD185" s="42"/>
      <c r="AE185" s="42"/>
      <c r="AF185" s="42"/>
      <c r="AG185" s="42"/>
      <c r="AH185" s="42"/>
      <c r="AI185" s="42">
        <f t="shared" si="3"/>
        <v>1</v>
      </c>
      <c r="AJ185" s="42"/>
      <c r="AK185" s="42"/>
    </row>
    <row r="186">
      <c r="A186" s="41" t="s">
        <v>558</v>
      </c>
      <c r="B186" s="41" t="s">
        <v>525</v>
      </c>
      <c r="C186" s="41" t="s">
        <v>521</v>
      </c>
      <c r="D186" s="41" t="s">
        <v>529</v>
      </c>
      <c r="E186" s="42"/>
      <c r="F186" s="42"/>
      <c r="G186" s="42"/>
      <c r="H186" s="42"/>
      <c r="I186" s="41" t="s">
        <v>559</v>
      </c>
      <c r="J186" s="41">
        <v>50.0</v>
      </c>
      <c r="K186" s="43" t="str">
        <f t="shared" si="1"/>
        <v>No Attunement Required, Utility Gear, 1</v>
      </c>
      <c r="L186" s="43" t="str">
        <f t="shared" si="2"/>
        <v>No Attunement Required</v>
      </c>
      <c r="M186" s="44"/>
      <c r="N186" s="44" t="s">
        <v>47</v>
      </c>
      <c r="O186" s="42"/>
      <c r="P186" s="42"/>
      <c r="Q186" s="42"/>
      <c r="R186" s="42"/>
      <c r="S186" s="42"/>
      <c r="T186" s="42"/>
      <c r="U186" s="42"/>
      <c r="V186" s="42"/>
      <c r="W186" s="42"/>
      <c r="X186" s="42"/>
      <c r="Y186" s="42"/>
      <c r="Z186" s="42"/>
      <c r="AA186" s="42"/>
      <c r="AB186" s="42"/>
      <c r="AC186" s="42"/>
      <c r="AD186" s="42"/>
      <c r="AE186" s="42"/>
      <c r="AF186" s="42"/>
      <c r="AG186" s="42"/>
      <c r="AH186" s="42"/>
      <c r="AI186" s="42">
        <f t="shared" si="3"/>
        <v>1</v>
      </c>
      <c r="AJ186" s="42"/>
      <c r="AK186" s="42"/>
    </row>
    <row r="187">
      <c r="A187" s="41" t="s">
        <v>560</v>
      </c>
      <c r="B187" s="41" t="s">
        <v>525</v>
      </c>
      <c r="C187" s="41" t="s">
        <v>521</v>
      </c>
      <c r="D187" s="41" t="s">
        <v>23</v>
      </c>
      <c r="E187" s="42"/>
      <c r="F187" s="41" t="s">
        <v>477</v>
      </c>
      <c r="G187" s="42"/>
      <c r="H187" s="42"/>
      <c r="I187" s="41" t="s">
        <v>561</v>
      </c>
      <c r="J187" s="41">
        <v>50.0</v>
      </c>
      <c r="K187" s="43" t="str">
        <f t="shared" si="1"/>
        <v>No Attunement Required, Cosmetic, Shield, 1</v>
      </c>
      <c r="L187" s="43" t="str">
        <f t="shared" si="2"/>
        <v>No Attunement Required</v>
      </c>
      <c r="M187" s="44" t="s">
        <v>31</v>
      </c>
      <c r="N187" s="42"/>
      <c r="O187" s="46" t="s">
        <v>23</v>
      </c>
      <c r="P187" s="42"/>
      <c r="Q187" s="42"/>
      <c r="R187" s="43"/>
      <c r="S187" s="42"/>
      <c r="T187" s="42"/>
      <c r="U187" s="42"/>
      <c r="V187" s="42"/>
      <c r="W187" s="42"/>
      <c r="X187" s="42"/>
      <c r="Y187" s="42"/>
      <c r="Z187" s="42"/>
      <c r="AA187" s="42"/>
      <c r="AB187" s="42"/>
      <c r="AC187" s="42"/>
      <c r="AD187" s="42"/>
      <c r="AE187" s="42"/>
      <c r="AF187" s="42"/>
      <c r="AG187" s="42"/>
      <c r="AH187" s="42"/>
      <c r="AI187" s="42">
        <f t="shared" si="3"/>
        <v>1</v>
      </c>
      <c r="AJ187" s="42"/>
      <c r="AK187" s="42"/>
    </row>
    <row r="188">
      <c r="A188" s="41" t="s">
        <v>562</v>
      </c>
      <c r="B188" s="41" t="s">
        <v>514</v>
      </c>
      <c r="C188" s="41" t="s">
        <v>521</v>
      </c>
      <c r="D188" s="41" t="s">
        <v>23</v>
      </c>
      <c r="E188" s="42"/>
      <c r="F188" s="41" t="s">
        <v>477</v>
      </c>
      <c r="G188" s="42"/>
      <c r="H188" s="42"/>
      <c r="I188" s="41" t="s">
        <v>563</v>
      </c>
      <c r="J188" s="41">
        <v>50.0</v>
      </c>
      <c r="K188" s="43" t="str">
        <f t="shared" si="1"/>
        <v>No Attunement Required, Cosmetic, Shield, Armors, 1</v>
      </c>
      <c r="L188" s="43" t="str">
        <f t="shared" si="2"/>
        <v>No Attunement Required</v>
      </c>
      <c r="M188" s="44" t="s">
        <v>31</v>
      </c>
      <c r="N188" s="42"/>
      <c r="O188" s="46" t="s">
        <v>23</v>
      </c>
      <c r="P188" s="42"/>
      <c r="Q188" s="42"/>
      <c r="R188" s="43"/>
      <c r="S188" s="42"/>
      <c r="T188" s="42"/>
      <c r="U188" s="42"/>
      <c r="V188" s="42"/>
      <c r="W188" s="42"/>
      <c r="X188" s="42"/>
      <c r="Y188" s="42"/>
      <c r="Z188" s="42"/>
      <c r="AA188" s="42"/>
      <c r="AB188" s="42"/>
      <c r="AC188" s="42"/>
      <c r="AD188" s="42"/>
      <c r="AE188" s="42"/>
      <c r="AF188" s="42"/>
      <c r="AG188" s="44" t="s">
        <v>108</v>
      </c>
      <c r="AH188" s="42"/>
      <c r="AI188" s="42">
        <f t="shared" si="3"/>
        <v>1</v>
      </c>
      <c r="AJ188" s="42"/>
      <c r="AK188" s="42"/>
    </row>
    <row r="189">
      <c r="A189" s="41" t="s">
        <v>564</v>
      </c>
      <c r="B189" s="41" t="s">
        <v>525</v>
      </c>
      <c r="C189" s="41" t="s">
        <v>521</v>
      </c>
      <c r="D189" s="41" t="s">
        <v>526</v>
      </c>
      <c r="E189" s="42"/>
      <c r="F189" s="42"/>
      <c r="G189" s="42"/>
      <c r="H189" s="42"/>
      <c r="I189" s="47" t="s">
        <v>565</v>
      </c>
      <c r="J189" s="41">
        <v>50.0</v>
      </c>
      <c r="K189" s="43" t="str">
        <f t="shared" si="1"/>
        <v>No Attunement Required, Cosmetic, Generic Variant, Armors, 1</v>
      </c>
      <c r="L189" s="43" t="str">
        <f t="shared" si="2"/>
        <v>No Attunement Required</v>
      </c>
      <c r="M189" s="44" t="s">
        <v>31</v>
      </c>
      <c r="N189" s="42"/>
      <c r="O189" s="42"/>
      <c r="P189" s="42"/>
      <c r="Q189" s="42"/>
      <c r="R189" s="42"/>
      <c r="S189" s="44" t="s">
        <v>526</v>
      </c>
      <c r="T189" s="44"/>
      <c r="U189" s="42"/>
      <c r="V189" s="42"/>
      <c r="W189" s="42"/>
      <c r="X189" s="42"/>
      <c r="Y189" s="42"/>
      <c r="Z189" s="42"/>
      <c r="AA189" s="42"/>
      <c r="AB189" s="42"/>
      <c r="AC189" s="42"/>
      <c r="AD189" s="42"/>
      <c r="AE189" s="42"/>
      <c r="AF189" s="42"/>
      <c r="AG189" s="44" t="s">
        <v>108</v>
      </c>
      <c r="AH189" s="42"/>
      <c r="AI189" s="42">
        <f t="shared" si="3"/>
        <v>1</v>
      </c>
      <c r="AJ189" s="42"/>
      <c r="AK189" s="42"/>
    </row>
    <row r="190">
      <c r="A190" s="41" t="s">
        <v>566</v>
      </c>
      <c r="B190" s="41" t="s">
        <v>525</v>
      </c>
      <c r="C190" s="41" t="s">
        <v>521</v>
      </c>
      <c r="D190" s="41" t="s">
        <v>331</v>
      </c>
      <c r="E190" s="42"/>
      <c r="F190" s="41" t="s">
        <v>443</v>
      </c>
      <c r="G190" s="41" t="s">
        <v>468</v>
      </c>
      <c r="H190" s="41" t="s">
        <v>307</v>
      </c>
      <c r="I190" s="41" t="s">
        <v>567</v>
      </c>
      <c r="J190" s="41">
        <v>50.0</v>
      </c>
      <c r="K190" s="43" t="str">
        <f t="shared" si="1"/>
        <v>No Attunement Required, Cosmetic, Simple Weapon, Melee Weapons, 1</v>
      </c>
      <c r="L190" s="43" t="str">
        <f t="shared" si="2"/>
        <v>No Attunement Required</v>
      </c>
      <c r="M190" s="44" t="s">
        <v>31</v>
      </c>
      <c r="N190" s="42"/>
      <c r="O190" s="42"/>
      <c r="P190" s="41" t="s">
        <v>336</v>
      </c>
      <c r="Q190" s="41"/>
      <c r="R190" s="42"/>
      <c r="S190" s="42"/>
      <c r="T190" s="42"/>
      <c r="U190" s="42"/>
      <c r="V190" s="42"/>
      <c r="W190" s="42"/>
      <c r="X190" s="42"/>
      <c r="Y190" s="42"/>
      <c r="Z190" s="42"/>
      <c r="AA190" s="42"/>
      <c r="AB190" s="42"/>
      <c r="AC190" s="42"/>
      <c r="AD190" s="42"/>
      <c r="AE190" s="42"/>
      <c r="AF190" s="41" t="s">
        <v>107</v>
      </c>
      <c r="AG190" s="42"/>
      <c r="AH190" s="42"/>
      <c r="AI190" s="42">
        <f t="shared" si="3"/>
        <v>1</v>
      </c>
      <c r="AJ190" s="42"/>
      <c r="AK190" s="42"/>
    </row>
    <row r="191">
      <c r="A191" s="41" t="s">
        <v>568</v>
      </c>
      <c r="B191" s="41" t="s">
        <v>525</v>
      </c>
      <c r="C191" s="41" t="s">
        <v>521</v>
      </c>
      <c r="D191" s="41" t="s">
        <v>569</v>
      </c>
      <c r="E191" s="42"/>
      <c r="F191" s="42"/>
      <c r="G191" s="42"/>
      <c r="H191" s="42"/>
      <c r="I191" s="41" t="s">
        <v>570</v>
      </c>
      <c r="J191" s="41">
        <v>50.0</v>
      </c>
      <c r="K191" s="43" t="str">
        <f t="shared" si="1"/>
        <v>No Attunement Required, Cosmetic, Wand, 1</v>
      </c>
      <c r="L191" s="43" t="str">
        <f t="shared" si="2"/>
        <v>No Attunement Required</v>
      </c>
      <c r="M191" s="44" t="s">
        <v>31</v>
      </c>
      <c r="N191" s="42"/>
      <c r="O191" s="42"/>
      <c r="P191" s="42"/>
      <c r="Q191" s="42"/>
      <c r="R191" s="44"/>
      <c r="S191" s="44" t="s">
        <v>569</v>
      </c>
      <c r="T191" s="44"/>
      <c r="U191" s="42"/>
      <c r="V191" s="42"/>
      <c r="W191" s="42"/>
      <c r="X191" s="42"/>
      <c r="Y191" s="42"/>
      <c r="Z191" s="42"/>
      <c r="AA191" s="42"/>
      <c r="AB191" s="42"/>
      <c r="AC191" s="42"/>
      <c r="AD191" s="42"/>
      <c r="AE191" s="42"/>
      <c r="AF191" s="42"/>
      <c r="AG191" s="42"/>
      <c r="AH191" s="42"/>
      <c r="AI191" s="42">
        <f t="shared" si="3"/>
        <v>1</v>
      </c>
      <c r="AJ191" s="42"/>
      <c r="AK191" s="42"/>
    </row>
    <row r="192">
      <c r="A192" s="41" t="s">
        <v>571</v>
      </c>
      <c r="B192" s="41" t="s">
        <v>525</v>
      </c>
      <c r="C192" s="41" t="s">
        <v>521</v>
      </c>
      <c r="D192" s="41" t="s">
        <v>569</v>
      </c>
      <c r="E192" s="42"/>
      <c r="F192" s="42"/>
      <c r="G192" s="42"/>
      <c r="H192" s="42"/>
      <c r="I192" s="41" t="s">
        <v>572</v>
      </c>
      <c r="J192" s="41">
        <v>50.0</v>
      </c>
      <c r="K192" s="43" t="str">
        <f t="shared" si="1"/>
        <v>No Attunement Required, Cosmetic, Wand, 1</v>
      </c>
      <c r="L192" s="43" t="str">
        <f t="shared" si="2"/>
        <v>No Attunement Required</v>
      </c>
      <c r="M192" s="44" t="s">
        <v>31</v>
      </c>
      <c r="N192" s="42"/>
      <c r="O192" s="42"/>
      <c r="P192" s="42"/>
      <c r="Q192" s="42"/>
      <c r="R192" s="41"/>
      <c r="S192" s="41" t="s">
        <v>569</v>
      </c>
      <c r="T192" s="41"/>
      <c r="U192" s="42"/>
      <c r="V192" s="42"/>
      <c r="W192" s="42"/>
      <c r="X192" s="42"/>
      <c r="Y192" s="42"/>
      <c r="Z192" s="42"/>
      <c r="AA192" s="42"/>
      <c r="AB192" s="42"/>
      <c r="AC192" s="42"/>
      <c r="AD192" s="42"/>
      <c r="AE192" s="42"/>
      <c r="AF192" s="42"/>
      <c r="AG192" s="42"/>
      <c r="AH192" s="42"/>
      <c r="AI192" s="42">
        <f t="shared" si="3"/>
        <v>1</v>
      </c>
      <c r="AJ192" s="42"/>
      <c r="AK192" s="42"/>
    </row>
    <row r="193">
      <c r="A193" s="41" t="s">
        <v>573</v>
      </c>
      <c r="B193" s="41" t="s">
        <v>574</v>
      </c>
      <c r="C193" s="41" t="s">
        <v>521</v>
      </c>
      <c r="D193" s="41" t="s">
        <v>569</v>
      </c>
      <c r="E193" s="42"/>
      <c r="F193" s="42"/>
      <c r="G193" s="42"/>
      <c r="H193" s="42"/>
      <c r="I193" s="41" t="s">
        <v>575</v>
      </c>
      <c r="J193" s="41">
        <v>50.0</v>
      </c>
      <c r="K193" s="43" t="str">
        <f t="shared" si="1"/>
        <v>No Attunement Required, Cosmetic, Wand, 1</v>
      </c>
      <c r="L193" s="43" t="str">
        <f t="shared" si="2"/>
        <v>No Attunement Required</v>
      </c>
      <c r="M193" s="44" t="s">
        <v>31</v>
      </c>
      <c r="N193" s="42"/>
      <c r="O193" s="42"/>
      <c r="P193" s="42"/>
      <c r="Q193" s="42"/>
      <c r="R193" s="41"/>
      <c r="S193" s="41" t="s">
        <v>569</v>
      </c>
      <c r="T193" s="41"/>
      <c r="U193" s="42"/>
      <c r="V193" s="42"/>
      <c r="W193" s="42"/>
      <c r="X193" s="42"/>
      <c r="Y193" s="42"/>
      <c r="Z193" s="42"/>
      <c r="AA193" s="42"/>
      <c r="AB193" s="42"/>
      <c r="AC193" s="42"/>
      <c r="AD193" s="42"/>
      <c r="AE193" s="42"/>
      <c r="AF193" s="42"/>
      <c r="AG193" s="42"/>
      <c r="AH193" s="42"/>
      <c r="AI193" s="42">
        <f t="shared" si="3"/>
        <v>1</v>
      </c>
      <c r="AJ193" s="42"/>
      <c r="AK193" s="42"/>
    </row>
    <row r="194">
      <c r="A194" s="41" t="s">
        <v>576</v>
      </c>
      <c r="B194" s="41" t="s">
        <v>574</v>
      </c>
      <c r="C194" s="41" t="s">
        <v>521</v>
      </c>
      <c r="D194" s="41" t="s">
        <v>569</v>
      </c>
      <c r="E194" s="42"/>
      <c r="F194" s="42"/>
      <c r="G194" s="42"/>
      <c r="H194" s="42"/>
      <c r="I194" s="41" t="s">
        <v>577</v>
      </c>
      <c r="J194" s="41">
        <v>50.0</v>
      </c>
      <c r="K194" s="43" t="str">
        <f t="shared" si="1"/>
        <v>No Attunement Required, Cosmetic, Wand, 1</v>
      </c>
      <c r="L194" s="43" t="str">
        <f t="shared" si="2"/>
        <v>No Attunement Required</v>
      </c>
      <c r="M194" s="44" t="s">
        <v>31</v>
      </c>
      <c r="N194" s="42"/>
      <c r="O194" s="42"/>
      <c r="P194" s="42"/>
      <c r="Q194" s="42"/>
      <c r="R194" s="41"/>
      <c r="S194" s="41" t="s">
        <v>569</v>
      </c>
      <c r="T194" s="41"/>
      <c r="U194" s="42"/>
      <c r="V194" s="42"/>
      <c r="W194" s="42"/>
      <c r="X194" s="42"/>
      <c r="Y194" s="42"/>
      <c r="Z194" s="42"/>
      <c r="AA194" s="42"/>
      <c r="AB194" s="42"/>
      <c r="AC194" s="42"/>
      <c r="AD194" s="42"/>
      <c r="AE194" s="42"/>
      <c r="AF194" s="42"/>
      <c r="AG194" s="42"/>
      <c r="AH194" s="42"/>
      <c r="AI194" s="42">
        <f t="shared" si="3"/>
        <v>1</v>
      </c>
      <c r="AJ194" s="42"/>
      <c r="AK194" s="42"/>
    </row>
    <row r="195">
      <c r="A195" s="41" t="s">
        <v>578</v>
      </c>
      <c r="B195" s="41" t="s">
        <v>117</v>
      </c>
      <c r="C195" s="41" t="s">
        <v>112</v>
      </c>
      <c r="D195" s="41" t="s">
        <v>21</v>
      </c>
      <c r="E195" s="42"/>
      <c r="F195" s="42"/>
      <c r="G195" s="42"/>
      <c r="H195" s="42"/>
      <c r="I195" s="41" t="s">
        <v>579</v>
      </c>
      <c r="J195" s="41">
        <v>100.0</v>
      </c>
      <c r="K195" s="43" t="str">
        <f t="shared" si="1"/>
        <v>No Attunement Required, Adventuring Gear, 0</v>
      </c>
      <c r="L195" s="43" t="str">
        <f t="shared" si="2"/>
        <v>No Attunement Required</v>
      </c>
      <c r="M195" s="42"/>
      <c r="N195" s="42"/>
      <c r="O195" s="42"/>
      <c r="P195" s="42"/>
      <c r="Q195" s="42"/>
      <c r="R195" s="42"/>
      <c r="S195" s="42"/>
      <c r="T195" s="42"/>
      <c r="U195" s="42"/>
      <c r="V195" s="42"/>
      <c r="W195" s="42"/>
      <c r="X195" s="44"/>
      <c r="Y195" s="42"/>
      <c r="Z195" s="42"/>
      <c r="AA195" s="42"/>
      <c r="AB195" s="44" t="s">
        <v>21</v>
      </c>
      <c r="AC195" s="42"/>
      <c r="AD195" s="42"/>
      <c r="AE195" s="42"/>
      <c r="AF195" s="42"/>
      <c r="AG195" s="42"/>
      <c r="AH195" s="42"/>
      <c r="AI195" s="42">
        <f t="shared" si="3"/>
        <v>0</v>
      </c>
      <c r="AJ195" s="42"/>
      <c r="AK195" s="42"/>
    </row>
    <row r="196">
      <c r="A196" s="41" t="s">
        <v>580</v>
      </c>
      <c r="B196" s="41" t="s">
        <v>117</v>
      </c>
      <c r="C196" s="41" t="s">
        <v>112</v>
      </c>
      <c r="D196" s="41" t="s">
        <v>21</v>
      </c>
      <c r="E196" s="42"/>
      <c r="F196" s="42"/>
      <c r="G196" s="42"/>
      <c r="H196" s="42"/>
      <c r="I196" s="41" t="s">
        <v>581</v>
      </c>
      <c r="J196" s="41">
        <v>100.0</v>
      </c>
      <c r="K196" s="43" t="str">
        <f t="shared" si="1"/>
        <v>No Attunement Required, Grants Advantage, Adventuring Gear, 0</v>
      </c>
      <c r="L196" s="43" t="str">
        <f t="shared" si="2"/>
        <v>No Attunement Required</v>
      </c>
      <c r="M196" s="42"/>
      <c r="N196" s="42"/>
      <c r="O196" s="42"/>
      <c r="P196" s="42"/>
      <c r="Q196" s="42"/>
      <c r="R196" s="42"/>
      <c r="S196" s="42"/>
      <c r="T196" s="42"/>
      <c r="U196" s="44" t="s">
        <v>42</v>
      </c>
      <c r="V196" s="42"/>
      <c r="W196" s="42"/>
      <c r="X196" s="42"/>
      <c r="Y196" s="42"/>
      <c r="Z196" s="42"/>
      <c r="AA196" s="42"/>
      <c r="AB196" s="44" t="s">
        <v>21</v>
      </c>
      <c r="AC196" s="42"/>
      <c r="AD196" s="42"/>
      <c r="AE196" s="42"/>
      <c r="AF196" s="42"/>
      <c r="AG196" s="42"/>
      <c r="AH196" s="42"/>
      <c r="AI196" s="42">
        <f t="shared" si="3"/>
        <v>0</v>
      </c>
      <c r="AJ196" s="42"/>
      <c r="AK196" s="42"/>
    </row>
    <row r="197">
      <c r="A197" s="41" t="s">
        <v>582</v>
      </c>
      <c r="B197" s="41" t="s">
        <v>117</v>
      </c>
      <c r="C197" s="41" t="s">
        <v>112</v>
      </c>
      <c r="D197" s="41" t="s">
        <v>17</v>
      </c>
      <c r="E197" s="42"/>
      <c r="F197" s="41" t="s">
        <v>583</v>
      </c>
      <c r="G197" s="42"/>
      <c r="H197" s="42"/>
      <c r="I197" s="41" t="s">
        <v>457</v>
      </c>
      <c r="J197" s="41">
        <v>100.0</v>
      </c>
      <c r="K197" s="43" t="str">
        <f t="shared" si="1"/>
        <v>No Attunement Required, Base Item, Medium Armor, Base Armor, 0</v>
      </c>
      <c r="L197" s="43" t="str">
        <f t="shared" si="2"/>
        <v>No Attunement Required</v>
      </c>
      <c r="M197" s="44" t="s">
        <v>119</v>
      </c>
      <c r="N197" s="42"/>
      <c r="O197" s="46" t="s">
        <v>17</v>
      </c>
      <c r="P197" s="42"/>
      <c r="Q197" s="42"/>
      <c r="R197" s="43"/>
      <c r="S197" s="42"/>
      <c r="T197" s="42"/>
      <c r="U197" s="42"/>
      <c r="V197" s="42"/>
      <c r="W197" s="42"/>
      <c r="X197" s="42"/>
      <c r="Y197" s="42"/>
      <c r="Z197" s="42"/>
      <c r="AA197" s="44" t="s">
        <v>105</v>
      </c>
      <c r="AB197" s="42"/>
      <c r="AC197" s="42"/>
      <c r="AD197" s="42"/>
      <c r="AE197" s="42"/>
      <c r="AF197" s="42"/>
      <c r="AG197" s="42"/>
      <c r="AH197" s="42"/>
      <c r="AI197" s="42">
        <f t="shared" si="3"/>
        <v>0</v>
      </c>
      <c r="AJ197" s="42"/>
      <c r="AK197" s="42"/>
    </row>
    <row r="198">
      <c r="A198" s="41" t="s">
        <v>584</v>
      </c>
      <c r="B198" s="41" t="s">
        <v>117</v>
      </c>
      <c r="C198" s="41" t="s">
        <v>112</v>
      </c>
      <c r="D198" s="41" t="s">
        <v>20</v>
      </c>
      <c r="E198" s="42"/>
      <c r="F198" s="41" t="s">
        <v>585</v>
      </c>
      <c r="G198" s="42"/>
      <c r="H198" s="42"/>
      <c r="I198" s="41" t="s">
        <v>586</v>
      </c>
      <c r="J198" s="41">
        <v>100.0</v>
      </c>
      <c r="K198" s="43" t="str">
        <f t="shared" si="1"/>
        <v>No Attunement Required, Base Item, Heavy Armor, Base Armor, 0</v>
      </c>
      <c r="L198" s="43" t="str">
        <f t="shared" si="2"/>
        <v>No Attunement Required</v>
      </c>
      <c r="M198" s="44" t="s">
        <v>119</v>
      </c>
      <c r="N198" s="42"/>
      <c r="O198" s="41" t="s">
        <v>20</v>
      </c>
      <c r="P198" s="42"/>
      <c r="Q198" s="42"/>
      <c r="R198" s="42"/>
      <c r="S198" s="42"/>
      <c r="T198" s="42"/>
      <c r="U198" s="42"/>
      <c r="V198" s="42"/>
      <c r="W198" s="42"/>
      <c r="X198" s="42"/>
      <c r="Y198" s="42"/>
      <c r="Z198" s="42"/>
      <c r="AA198" s="44" t="s">
        <v>105</v>
      </c>
      <c r="AB198" s="42"/>
      <c r="AC198" s="42"/>
      <c r="AD198" s="42"/>
      <c r="AE198" s="42"/>
      <c r="AF198" s="42"/>
      <c r="AG198" s="42"/>
      <c r="AH198" s="42"/>
      <c r="AI198" s="42">
        <f t="shared" si="3"/>
        <v>0</v>
      </c>
      <c r="AJ198" s="42"/>
      <c r="AK198" s="42"/>
    </row>
    <row r="199">
      <c r="A199" s="41" t="s">
        <v>587</v>
      </c>
      <c r="B199" s="41" t="s">
        <v>117</v>
      </c>
      <c r="C199" s="41" t="s">
        <v>112</v>
      </c>
      <c r="D199" s="41" t="s">
        <v>14</v>
      </c>
      <c r="E199" s="42"/>
      <c r="F199" s="41" t="s">
        <v>588</v>
      </c>
      <c r="G199" s="42"/>
      <c r="H199" s="42"/>
      <c r="I199" s="46" t="s">
        <v>589</v>
      </c>
      <c r="J199" s="41">
        <v>100.0</v>
      </c>
      <c r="K199" s="43" t="str">
        <f t="shared" si="1"/>
        <v>No Attunement Required, base Item, Light Armor, Base Armor, 0</v>
      </c>
      <c r="L199" s="43" t="str">
        <f t="shared" si="2"/>
        <v>No Attunement Required</v>
      </c>
      <c r="M199" s="44" t="s">
        <v>428</v>
      </c>
      <c r="N199" s="42"/>
      <c r="O199" s="41" t="s">
        <v>14</v>
      </c>
      <c r="P199" s="44"/>
      <c r="Q199" s="44"/>
      <c r="R199" s="42"/>
      <c r="S199" s="42"/>
      <c r="T199" s="42"/>
      <c r="U199" s="42"/>
      <c r="V199" s="42"/>
      <c r="W199" s="42"/>
      <c r="X199" s="42"/>
      <c r="Y199" s="42"/>
      <c r="Z199" s="42"/>
      <c r="AA199" s="44" t="s">
        <v>105</v>
      </c>
      <c r="AB199" s="42"/>
      <c r="AC199" s="42"/>
      <c r="AD199" s="42"/>
      <c r="AE199" s="42"/>
      <c r="AF199" s="42"/>
      <c r="AG199" s="42"/>
      <c r="AH199" s="42"/>
      <c r="AI199" s="42">
        <f t="shared" si="3"/>
        <v>0</v>
      </c>
      <c r="AJ199" s="42"/>
      <c r="AK199" s="42"/>
    </row>
    <row r="200">
      <c r="A200" s="41" t="s">
        <v>590</v>
      </c>
      <c r="B200" s="41" t="s">
        <v>525</v>
      </c>
      <c r="C200" s="41" t="s">
        <v>521</v>
      </c>
      <c r="D200" s="41" t="s">
        <v>591</v>
      </c>
      <c r="E200" s="42"/>
      <c r="F200" s="42"/>
      <c r="G200" s="42"/>
      <c r="H200" s="42"/>
      <c r="I200" s="41" t="s">
        <v>592</v>
      </c>
      <c r="J200" s="41">
        <v>100.0</v>
      </c>
      <c r="K200" s="43" t="str">
        <f t="shared" si="1"/>
        <v>No Attunement Required, Bard, 1</v>
      </c>
      <c r="L200" s="43" t="str">
        <f t="shared" si="2"/>
        <v>No Attunement Required</v>
      </c>
      <c r="M200" s="44"/>
      <c r="N200" s="44" t="s">
        <v>66</v>
      </c>
      <c r="O200" s="42"/>
      <c r="P200" s="42"/>
      <c r="Q200" s="42"/>
      <c r="R200" s="42"/>
      <c r="S200" s="42"/>
      <c r="T200" s="42"/>
      <c r="U200" s="42"/>
      <c r="V200" s="42"/>
      <c r="W200" s="42"/>
      <c r="X200" s="42"/>
      <c r="Y200" s="42"/>
      <c r="Z200" s="42"/>
      <c r="AA200" s="42"/>
      <c r="AB200" s="42"/>
      <c r="AC200" s="42"/>
      <c r="AD200" s="42"/>
      <c r="AE200" s="42"/>
      <c r="AF200" s="42"/>
      <c r="AG200" s="42"/>
      <c r="AH200" s="42"/>
      <c r="AI200" s="42">
        <f t="shared" si="3"/>
        <v>1</v>
      </c>
      <c r="AJ200" s="42"/>
      <c r="AK200" s="42"/>
    </row>
    <row r="201">
      <c r="A201" s="41" t="s">
        <v>593</v>
      </c>
      <c r="B201" s="41" t="s">
        <v>594</v>
      </c>
      <c r="C201" s="41" t="s">
        <v>521</v>
      </c>
      <c r="D201" s="41" t="s">
        <v>529</v>
      </c>
      <c r="E201" s="41" t="s">
        <v>595</v>
      </c>
      <c r="F201" s="42"/>
      <c r="G201" s="42"/>
      <c r="H201" s="42"/>
      <c r="I201" s="41" t="s">
        <v>596</v>
      </c>
      <c r="J201" s="41">
        <v>100.0</v>
      </c>
      <c r="K201" s="43" t="str">
        <f t="shared" si="1"/>
        <v>Requires Attunement, 1</v>
      </c>
      <c r="L201" s="43" t="str">
        <f t="shared" si="2"/>
        <v>Requires Attunement</v>
      </c>
      <c r="M201" s="42"/>
      <c r="N201" s="42"/>
      <c r="O201" s="42"/>
      <c r="P201" s="42"/>
      <c r="Q201" s="42"/>
      <c r="S201" s="42"/>
      <c r="T201" s="42"/>
      <c r="U201" s="42"/>
      <c r="V201" s="42"/>
      <c r="W201" s="42"/>
      <c r="X201" s="42"/>
      <c r="Y201" s="42"/>
      <c r="Z201" s="42"/>
      <c r="AA201" s="42"/>
      <c r="AB201" s="42"/>
      <c r="AC201" s="42"/>
      <c r="AD201" s="42"/>
      <c r="AE201" s="42"/>
      <c r="AF201" s="42"/>
      <c r="AG201" s="42"/>
      <c r="AH201" s="42"/>
      <c r="AI201" s="42">
        <f t="shared" si="3"/>
        <v>1</v>
      </c>
      <c r="AJ201" s="42"/>
      <c r="AK201" s="42"/>
    </row>
    <row r="202">
      <c r="A202" s="41" t="s">
        <v>597</v>
      </c>
      <c r="B202" s="41" t="s">
        <v>525</v>
      </c>
      <c r="C202" s="41" t="s">
        <v>521</v>
      </c>
      <c r="D202" s="41" t="s">
        <v>556</v>
      </c>
      <c r="E202" s="42"/>
      <c r="F202" s="42"/>
      <c r="G202" s="42"/>
      <c r="H202" s="42"/>
      <c r="I202" s="41" t="s">
        <v>598</v>
      </c>
      <c r="J202" s="41">
        <v>100.0</v>
      </c>
      <c r="K202" s="43" t="str">
        <f t="shared" si="1"/>
        <v>No Attunement Required, Healing, Potions, 1</v>
      </c>
      <c r="L202" s="43" t="str">
        <f t="shared" si="2"/>
        <v>No Attunement Required</v>
      </c>
      <c r="M202" s="42"/>
      <c r="N202" s="42"/>
      <c r="O202" s="42"/>
      <c r="P202" s="42"/>
      <c r="Q202" s="42"/>
      <c r="R202" s="46" t="s">
        <v>46</v>
      </c>
      <c r="S202" s="41" t="s">
        <v>57</v>
      </c>
      <c r="T202" s="41"/>
      <c r="U202" s="42"/>
      <c r="V202" s="42"/>
      <c r="W202" s="42"/>
      <c r="X202" s="42"/>
      <c r="Y202" s="42"/>
      <c r="Z202" s="42"/>
      <c r="AA202" s="42"/>
      <c r="AB202" s="42"/>
      <c r="AC202" s="42"/>
      <c r="AD202" s="42"/>
      <c r="AE202" s="42"/>
      <c r="AF202" s="42"/>
      <c r="AG202" s="42"/>
      <c r="AH202" s="42"/>
      <c r="AI202" s="42">
        <f t="shared" si="3"/>
        <v>1</v>
      </c>
      <c r="AJ202" s="42"/>
      <c r="AK202" s="42"/>
    </row>
    <row r="203">
      <c r="A203" s="41" t="s">
        <v>599</v>
      </c>
      <c r="B203" s="41" t="s">
        <v>525</v>
      </c>
      <c r="C203" s="41" t="s">
        <v>600</v>
      </c>
      <c r="D203" s="41" t="s">
        <v>529</v>
      </c>
      <c r="E203" s="42"/>
      <c r="F203" s="42"/>
      <c r="G203" s="42"/>
      <c r="H203" s="42"/>
      <c r="I203" s="41" t="s">
        <v>601</v>
      </c>
      <c r="J203" s="41">
        <v>100.0</v>
      </c>
      <c r="K203" s="43" t="str">
        <f t="shared" si="1"/>
        <v>No Attunement Required, Utility Gear, 2</v>
      </c>
      <c r="L203" s="43" t="str">
        <f t="shared" si="2"/>
        <v>No Attunement Required</v>
      </c>
      <c r="M203" s="44"/>
      <c r="N203" s="44" t="s">
        <v>47</v>
      </c>
      <c r="O203" s="42"/>
      <c r="P203" s="42"/>
      <c r="Q203" s="42"/>
      <c r="R203" s="42"/>
      <c r="S203" s="42"/>
      <c r="T203" s="42"/>
      <c r="U203" s="42"/>
      <c r="V203" s="42"/>
      <c r="W203" s="42"/>
      <c r="X203" s="42"/>
      <c r="Y203" s="42"/>
      <c r="Z203" s="42"/>
      <c r="AA203" s="42"/>
      <c r="AB203" s="42"/>
      <c r="AC203" s="42"/>
      <c r="AD203" s="42"/>
      <c r="AE203" s="42"/>
      <c r="AF203" s="42"/>
      <c r="AG203" s="42"/>
      <c r="AH203" s="42"/>
      <c r="AI203" s="42">
        <f t="shared" si="3"/>
        <v>2</v>
      </c>
      <c r="AJ203" s="42"/>
      <c r="AK203" s="42"/>
    </row>
    <row r="204">
      <c r="A204" s="41" t="s">
        <v>602</v>
      </c>
      <c r="B204" s="41" t="s">
        <v>117</v>
      </c>
      <c r="C204" s="41" t="s">
        <v>112</v>
      </c>
      <c r="D204" s="41" t="s">
        <v>21</v>
      </c>
      <c r="E204" s="42"/>
      <c r="F204" s="42"/>
      <c r="G204" s="42"/>
      <c r="H204" s="42"/>
      <c r="I204" s="41" t="s">
        <v>603</v>
      </c>
      <c r="J204" s="41">
        <v>150.0</v>
      </c>
      <c r="K204" s="43" t="str">
        <f t="shared" si="1"/>
        <v>No Attunement Required, Adventuring Gear, 0</v>
      </c>
      <c r="L204" s="43" t="str">
        <f t="shared" si="2"/>
        <v>No Attunement Required</v>
      </c>
      <c r="M204" s="42"/>
      <c r="N204" s="42"/>
      <c r="O204" s="42"/>
      <c r="P204" s="42"/>
      <c r="Q204" s="42"/>
      <c r="R204" s="44"/>
      <c r="S204" s="44"/>
      <c r="T204" s="44"/>
      <c r="U204" s="42"/>
      <c r="V204" s="42"/>
      <c r="W204" s="42"/>
      <c r="X204" s="42"/>
      <c r="Y204" s="42"/>
      <c r="Z204" s="42"/>
      <c r="AA204" s="42"/>
      <c r="AB204" s="44" t="s">
        <v>21</v>
      </c>
      <c r="AC204" s="42"/>
      <c r="AD204" s="42"/>
      <c r="AE204" s="42"/>
      <c r="AF204" s="42"/>
      <c r="AG204" s="42"/>
      <c r="AH204" s="42"/>
      <c r="AI204" s="42">
        <f t="shared" si="3"/>
        <v>0</v>
      </c>
      <c r="AJ204" s="42"/>
      <c r="AK204" s="42"/>
    </row>
    <row r="205">
      <c r="A205" s="41" t="s">
        <v>604</v>
      </c>
      <c r="B205" s="41" t="s">
        <v>525</v>
      </c>
      <c r="C205" s="41" t="s">
        <v>521</v>
      </c>
      <c r="D205" s="41" t="s">
        <v>556</v>
      </c>
      <c r="E205" s="42"/>
      <c r="F205" s="42"/>
      <c r="G205" s="42"/>
      <c r="H205" s="42"/>
      <c r="I205" s="41" t="s">
        <v>605</v>
      </c>
      <c r="J205" s="41">
        <v>150.0</v>
      </c>
      <c r="K205" s="43" t="str">
        <f t="shared" si="1"/>
        <v>No Attunement Required, Potions, Grants Advantage, 1</v>
      </c>
      <c r="L205" s="43" t="str">
        <f t="shared" si="2"/>
        <v>No Attunement Required</v>
      </c>
      <c r="M205" s="42"/>
      <c r="N205" s="42"/>
      <c r="O205" s="42"/>
      <c r="P205" s="42"/>
      <c r="Q205" s="42"/>
      <c r="S205" s="41" t="s">
        <v>57</v>
      </c>
      <c r="T205" s="41"/>
      <c r="U205" s="44" t="s">
        <v>42</v>
      </c>
      <c r="V205" s="42"/>
      <c r="W205" s="42"/>
      <c r="X205" s="42"/>
      <c r="Y205" s="42"/>
      <c r="Z205" s="42"/>
      <c r="AA205" s="42"/>
      <c r="AB205" s="42"/>
      <c r="AC205" s="42"/>
      <c r="AD205" s="42"/>
      <c r="AE205" s="42"/>
      <c r="AF205" s="42"/>
      <c r="AG205" s="42"/>
      <c r="AH205" s="42"/>
      <c r="AI205" s="42">
        <f t="shared" si="3"/>
        <v>1</v>
      </c>
      <c r="AJ205" s="42"/>
      <c r="AK205" s="42"/>
    </row>
    <row r="206">
      <c r="A206" s="41" t="s">
        <v>606</v>
      </c>
      <c r="B206" s="41" t="s">
        <v>525</v>
      </c>
      <c r="C206" s="41" t="s">
        <v>521</v>
      </c>
      <c r="D206" s="41" t="s">
        <v>556</v>
      </c>
      <c r="E206" s="42"/>
      <c r="F206" s="42"/>
      <c r="G206" s="42"/>
      <c r="H206" s="42"/>
      <c r="I206" s="41" t="s">
        <v>607</v>
      </c>
      <c r="J206" s="46">
        <v>150.0</v>
      </c>
      <c r="K206" s="43" t="str">
        <f t="shared" si="1"/>
        <v>No Attunement Required, Potions, 1</v>
      </c>
      <c r="L206" s="43" t="str">
        <f t="shared" si="2"/>
        <v>No Attunement Required</v>
      </c>
      <c r="M206" s="42"/>
      <c r="N206" s="42"/>
      <c r="O206" s="42"/>
      <c r="P206" s="42"/>
      <c r="Q206" s="42"/>
      <c r="S206" s="41" t="s">
        <v>57</v>
      </c>
      <c r="T206" s="41"/>
      <c r="U206" s="42"/>
      <c r="V206" s="42"/>
      <c r="W206" s="42"/>
      <c r="X206" s="42"/>
      <c r="Y206" s="42"/>
      <c r="Z206" s="42"/>
      <c r="AA206" s="42"/>
      <c r="AB206" s="42"/>
      <c r="AC206" s="42"/>
      <c r="AD206" s="42"/>
      <c r="AE206" s="42"/>
      <c r="AF206" s="42"/>
      <c r="AG206" s="42"/>
      <c r="AH206" s="42"/>
      <c r="AI206" s="42">
        <f t="shared" si="3"/>
        <v>1</v>
      </c>
      <c r="AJ206" s="42"/>
      <c r="AK206" s="42"/>
    </row>
    <row r="207">
      <c r="A207" s="41" t="s">
        <v>608</v>
      </c>
      <c r="B207" s="41" t="s">
        <v>609</v>
      </c>
      <c r="C207" s="41" t="s">
        <v>600</v>
      </c>
      <c r="D207" s="41" t="s">
        <v>529</v>
      </c>
      <c r="E207" s="42"/>
      <c r="F207" s="42"/>
      <c r="G207" s="42"/>
      <c r="H207" s="42"/>
      <c r="I207" s="41" t="s">
        <v>610</v>
      </c>
      <c r="J207" s="41">
        <v>150.0</v>
      </c>
      <c r="K207" s="43" t="str">
        <f t="shared" si="1"/>
        <v>No Attunement Required, Utility Gear, Enspelled, 2</v>
      </c>
      <c r="L207" s="43" t="str">
        <f t="shared" si="2"/>
        <v>No Attunement Required</v>
      </c>
      <c r="M207" s="44"/>
      <c r="N207" s="44" t="s">
        <v>47</v>
      </c>
      <c r="O207" s="42"/>
      <c r="P207" s="42"/>
      <c r="Q207" s="42"/>
      <c r="R207" s="44"/>
      <c r="S207" s="42"/>
      <c r="T207" s="44" t="s">
        <v>611</v>
      </c>
      <c r="U207" s="42"/>
      <c r="V207" s="42"/>
      <c r="W207" s="42"/>
      <c r="X207" s="44"/>
      <c r="Y207" s="42"/>
      <c r="Z207" s="42"/>
      <c r="AA207" s="42"/>
      <c r="AB207" s="42"/>
      <c r="AC207" s="42"/>
      <c r="AD207" s="42"/>
      <c r="AE207" s="42"/>
      <c r="AF207" s="42"/>
      <c r="AG207" s="42"/>
      <c r="AH207" s="42"/>
      <c r="AI207" s="42">
        <f t="shared" si="3"/>
        <v>2</v>
      </c>
      <c r="AJ207" s="42"/>
      <c r="AK207" s="42"/>
    </row>
    <row r="208">
      <c r="A208" s="41" t="s">
        <v>612</v>
      </c>
      <c r="B208" s="41" t="s">
        <v>525</v>
      </c>
      <c r="C208" s="41" t="s">
        <v>600</v>
      </c>
      <c r="D208" s="41" t="s">
        <v>529</v>
      </c>
      <c r="E208" s="42"/>
      <c r="F208" s="42"/>
      <c r="G208" s="42"/>
      <c r="H208" s="42"/>
      <c r="I208" s="41" t="s">
        <v>613</v>
      </c>
      <c r="J208" s="41">
        <v>150.0</v>
      </c>
      <c r="K208" s="43" t="str">
        <f t="shared" si="1"/>
        <v>No Attunement Required, Utility Gear, Grants Advantage, 2</v>
      </c>
      <c r="L208" s="43" t="str">
        <f t="shared" si="2"/>
        <v>No Attunement Required</v>
      </c>
      <c r="M208" s="44"/>
      <c r="N208" s="44" t="s">
        <v>47</v>
      </c>
      <c r="O208" s="42"/>
      <c r="P208" s="42"/>
      <c r="Q208" s="42"/>
      <c r="S208" s="42"/>
      <c r="T208" s="42"/>
      <c r="U208" s="44" t="s">
        <v>42</v>
      </c>
      <c r="V208" s="42"/>
      <c r="W208" s="42"/>
      <c r="X208" s="42"/>
      <c r="Y208" s="42"/>
      <c r="Z208" s="42"/>
      <c r="AA208" s="42"/>
      <c r="AB208" s="42"/>
      <c r="AC208" s="42"/>
      <c r="AD208" s="42"/>
      <c r="AE208" s="42"/>
      <c r="AF208" s="42"/>
      <c r="AG208" s="42"/>
      <c r="AH208" s="42"/>
      <c r="AI208" s="42">
        <f t="shared" si="3"/>
        <v>2</v>
      </c>
      <c r="AJ208" s="42"/>
      <c r="AK208" s="42"/>
    </row>
    <row r="209">
      <c r="A209" s="41" t="s">
        <v>614</v>
      </c>
      <c r="B209" s="41" t="s">
        <v>525</v>
      </c>
      <c r="C209" s="41" t="s">
        <v>600</v>
      </c>
      <c r="D209" s="41" t="s">
        <v>556</v>
      </c>
      <c r="E209" s="42"/>
      <c r="F209" s="42"/>
      <c r="G209" s="42"/>
      <c r="H209" s="42"/>
      <c r="I209" s="41" t="s">
        <v>615</v>
      </c>
      <c r="J209" s="41">
        <v>200.0</v>
      </c>
      <c r="K209" s="43" t="str">
        <f t="shared" si="1"/>
        <v>No Attunement Required, Potions, 2</v>
      </c>
      <c r="L209" s="43" t="str">
        <f t="shared" si="2"/>
        <v>No Attunement Required</v>
      </c>
      <c r="M209" s="42"/>
      <c r="N209" s="42"/>
      <c r="O209" s="42"/>
      <c r="P209" s="42"/>
      <c r="Q209" s="42"/>
      <c r="S209" s="41" t="s">
        <v>57</v>
      </c>
      <c r="T209" s="41"/>
      <c r="U209" s="42"/>
      <c r="V209" s="42"/>
      <c r="W209" s="42"/>
      <c r="X209" s="42"/>
      <c r="Y209" s="42"/>
      <c r="Z209" s="42"/>
      <c r="AA209" s="42"/>
      <c r="AB209" s="42"/>
      <c r="AC209" s="42"/>
      <c r="AD209" s="42"/>
      <c r="AE209" s="42"/>
      <c r="AF209" s="42"/>
      <c r="AG209" s="42"/>
      <c r="AH209" s="42"/>
      <c r="AI209" s="42">
        <f t="shared" si="3"/>
        <v>2</v>
      </c>
      <c r="AJ209" s="42"/>
      <c r="AK209" s="42"/>
    </row>
    <row r="210">
      <c r="A210" s="41" t="s">
        <v>616</v>
      </c>
      <c r="B210" s="41" t="s">
        <v>525</v>
      </c>
      <c r="C210" s="41" t="s">
        <v>600</v>
      </c>
      <c r="D210" s="41" t="s">
        <v>569</v>
      </c>
      <c r="E210" s="41" t="s">
        <v>617</v>
      </c>
      <c r="F210" s="42"/>
      <c r="G210" s="42"/>
      <c r="H210" s="42"/>
      <c r="I210" s="41" t="s">
        <v>618</v>
      </c>
      <c r="J210" s="41">
        <v>200.0</v>
      </c>
      <c r="K210" s="43" t="str">
        <f t="shared" si="1"/>
        <v>Requires Attunement, Effect, Spellcaster, Wand, 2</v>
      </c>
      <c r="L210" s="43" t="str">
        <f t="shared" si="2"/>
        <v>Requires Attunement</v>
      </c>
      <c r="M210" s="41" t="s">
        <v>33</v>
      </c>
      <c r="N210" s="41" t="s">
        <v>619</v>
      </c>
      <c r="O210" s="42"/>
      <c r="P210" s="42"/>
      <c r="Q210" s="42"/>
      <c r="R210" s="44"/>
      <c r="S210" s="44" t="s">
        <v>569</v>
      </c>
      <c r="T210" s="41"/>
      <c r="U210" s="42"/>
      <c r="V210" s="42"/>
      <c r="W210" s="42"/>
      <c r="X210" s="42"/>
      <c r="Y210" s="42"/>
      <c r="Z210" s="42"/>
      <c r="AA210" s="42"/>
      <c r="AB210" s="42"/>
      <c r="AC210" s="42"/>
      <c r="AD210" s="42"/>
      <c r="AE210" s="42"/>
      <c r="AF210" s="42"/>
      <c r="AG210" s="42"/>
      <c r="AH210" s="42"/>
      <c r="AI210" s="42">
        <f t="shared" si="3"/>
        <v>2</v>
      </c>
      <c r="AJ210" s="42"/>
      <c r="AK210" s="42"/>
    </row>
    <row r="211">
      <c r="A211" s="41" t="s">
        <v>620</v>
      </c>
      <c r="B211" s="41" t="s">
        <v>111</v>
      </c>
      <c r="C211" s="41" t="s">
        <v>112</v>
      </c>
      <c r="D211" s="41" t="s">
        <v>113</v>
      </c>
      <c r="E211" s="42"/>
      <c r="F211" s="42"/>
      <c r="G211" s="42"/>
      <c r="H211" s="42"/>
      <c r="I211" s="41" t="s">
        <v>621</v>
      </c>
      <c r="J211" s="41">
        <v>250.0</v>
      </c>
      <c r="K211" s="43" t="str">
        <f t="shared" si="1"/>
        <v>No Attunement Required, Adventuring Gear, 0</v>
      </c>
      <c r="L211" s="43" t="str">
        <f t="shared" si="2"/>
        <v>No Attunement Required</v>
      </c>
      <c r="M211" s="42"/>
      <c r="N211" s="42"/>
      <c r="O211" s="42"/>
      <c r="P211" s="42"/>
      <c r="Q211" s="42"/>
      <c r="R211" s="44"/>
      <c r="S211" s="42"/>
      <c r="T211" s="42"/>
      <c r="U211" s="42"/>
      <c r="V211" s="42"/>
      <c r="W211" s="42"/>
      <c r="X211" s="42"/>
      <c r="Y211" s="42"/>
      <c r="Z211" s="42"/>
      <c r="AA211" s="42"/>
      <c r="AB211" s="44" t="s">
        <v>21</v>
      </c>
      <c r="AC211" s="42"/>
      <c r="AD211" s="42"/>
      <c r="AE211" s="42"/>
      <c r="AF211" s="42"/>
      <c r="AG211" s="42"/>
      <c r="AH211" s="42"/>
      <c r="AI211" s="42">
        <f t="shared" si="3"/>
        <v>0</v>
      </c>
      <c r="AJ211" s="42"/>
      <c r="AK211" s="42"/>
    </row>
    <row r="212">
      <c r="A212" s="41" t="s">
        <v>622</v>
      </c>
      <c r="B212" s="41" t="s">
        <v>525</v>
      </c>
      <c r="C212" s="41" t="s">
        <v>600</v>
      </c>
      <c r="D212" s="41" t="s">
        <v>526</v>
      </c>
      <c r="E212" s="42"/>
      <c r="F212" s="42"/>
      <c r="G212" s="42"/>
      <c r="H212" s="42"/>
      <c r="I212" s="41" t="s">
        <v>623</v>
      </c>
      <c r="J212" s="41">
        <v>250.0</v>
      </c>
      <c r="K212" s="43" t="str">
        <f t="shared" si="1"/>
        <v>No Attunement Required, Effect, Generic Variant, Armors, 2</v>
      </c>
      <c r="L212" s="43" t="str">
        <f t="shared" si="2"/>
        <v>No Attunement Required</v>
      </c>
      <c r="M212" s="41" t="s">
        <v>33</v>
      </c>
      <c r="N212" s="42"/>
      <c r="O212" s="42"/>
      <c r="P212" s="42"/>
      <c r="Q212" s="42"/>
      <c r="R212" s="42"/>
      <c r="S212" s="41" t="s">
        <v>526</v>
      </c>
      <c r="T212" s="41"/>
      <c r="U212" s="42"/>
      <c r="V212" s="42"/>
      <c r="W212" s="42"/>
      <c r="X212" s="42"/>
      <c r="Y212" s="42"/>
      <c r="Z212" s="42"/>
      <c r="AA212" s="42"/>
      <c r="AB212" s="42"/>
      <c r="AC212" s="42"/>
      <c r="AD212" s="42"/>
      <c r="AE212" s="42"/>
      <c r="AF212" s="42"/>
      <c r="AG212" s="44" t="s">
        <v>108</v>
      </c>
      <c r="AH212" s="42"/>
      <c r="AI212" s="42">
        <f t="shared" si="3"/>
        <v>2</v>
      </c>
      <c r="AJ212" s="42"/>
      <c r="AK212" s="42"/>
    </row>
    <row r="213">
      <c r="A213" s="41" t="s">
        <v>624</v>
      </c>
      <c r="B213" s="41" t="s">
        <v>625</v>
      </c>
      <c r="C213" s="41" t="s">
        <v>600</v>
      </c>
      <c r="D213" s="41" t="s">
        <v>23</v>
      </c>
      <c r="E213" s="41" t="s">
        <v>595</v>
      </c>
      <c r="F213" s="41" t="s">
        <v>477</v>
      </c>
      <c r="G213" s="42"/>
      <c r="H213" s="42"/>
      <c r="I213" s="41" t="s">
        <v>626</v>
      </c>
      <c r="J213" s="41">
        <v>250.0</v>
      </c>
      <c r="K213" s="43" t="str">
        <f t="shared" si="1"/>
        <v>Requires Attunement, Effect, Shield, Ranged Weapons, Armors, 2</v>
      </c>
      <c r="L213" s="43" t="str">
        <f t="shared" si="2"/>
        <v>Requires Attunement</v>
      </c>
      <c r="M213" s="41" t="s">
        <v>33</v>
      </c>
      <c r="N213" s="42"/>
      <c r="O213" s="41" t="s">
        <v>23</v>
      </c>
      <c r="P213" s="44"/>
      <c r="Q213" s="42"/>
      <c r="R213" s="41"/>
      <c r="S213" s="42"/>
      <c r="T213" s="42"/>
      <c r="U213" s="42"/>
      <c r="V213" s="42"/>
      <c r="W213" s="42"/>
      <c r="X213" s="42"/>
      <c r="Y213" s="42"/>
      <c r="Z213" s="42"/>
      <c r="AA213" s="42"/>
      <c r="AB213" s="42"/>
      <c r="AC213" s="42"/>
      <c r="AD213" s="42"/>
      <c r="AE213" s="44" t="s">
        <v>106</v>
      </c>
      <c r="AF213" s="42"/>
      <c r="AG213" s="44" t="s">
        <v>108</v>
      </c>
      <c r="AH213" s="42"/>
      <c r="AI213" s="42">
        <f t="shared" si="3"/>
        <v>2</v>
      </c>
      <c r="AJ213" s="42"/>
      <c r="AK213" s="42"/>
    </row>
    <row r="214">
      <c r="A214" s="41" t="s">
        <v>627</v>
      </c>
      <c r="B214" s="41" t="s">
        <v>628</v>
      </c>
      <c r="C214" s="41" t="s">
        <v>600</v>
      </c>
      <c r="D214" s="41" t="s">
        <v>522</v>
      </c>
      <c r="E214" s="41" t="s">
        <v>595</v>
      </c>
      <c r="F214" s="42"/>
      <c r="G214" s="42"/>
      <c r="H214" s="42"/>
      <c r="I214" s="41" t="s">
        <v>629</v>
      </c>
      <c r="J214" s="41">
        <v>250.0</v>
      </c>
      <c r="K214" s="43" t="str">
        <f t="shared" si="1"/>
        <v>Requires Attunement, Utility Gear, Rings, 2</v>
      </c>
      <c r="L214" s="43" t="str">
        <f t="shared" si="2"/>
        <v>Requires Attunement</v>
      </c>
      <c r="M214" s="44"/>
      <c r="N214" s="44" t="s">
        <v>47</v>
      </c>
      <c r="O214" s="42"/>
      <c r="P214" s="42"/>
      <c r="Q214" s="42"/>
      <c r="S214" s="46" t="s">
        <v>36</v>
      </c>
      <c r="T214" s="42"/>
      <c r="U214" s="42"/>
      <c r="V214" s="42"/>
      <c r="W214" s="42"/>
      <c r="X214" s="42"/>
      <c r="Y214" s="42"/>
      <c r="Z214" s="42"/>
      <c r="AA214" s="42"/>
      <c r="AB214" s="42"/>
      <c r="AC214" s="42"/>
      <c r="AD214" s="42"/>
      <c r="AE214" s="42"/>
      <c r="AF214" s="42"/>
      <c r="AG214" s="42"/>
      <c r="AH214" s="42"/>
      <c r="AI214" s="42">
        <f t="shared" si="3"/>
        <v>2</v>
      </c>
      <c r="AJ214" s="42"/>
      <c r="AK214" s="42"/>
    </row>
    <row r="215">
      <c r="A215" s="41" t="s">
        <v>630</v>
      </c>
      <c r="B215" s="41" t="s">
        <v>117</v>
      </c>
      <c r="C215" s="41" t="s">
        <v>112</v>
      </c>
      <c r="D215" s="41" t="s">
        <v>17</v>
      </c>
      <c r="E215" s="42"/>
      <c r="F215" s="41" t="s">
        <v>583</v>
      </c>
      <c r="G215" s="42"/>
      <c r="H215" s="42"/>
      <c r="I215" s="41" t="s">
        <v>631</v>
      </c>
      <c r="J215" s="41">
        <v>300.0</v>
      </c>
      <c r="K215" s="43" t="str">
        <f t="shared" si="1"/>
        <v>No Attunement Required, Base Item, Medium Armor, Base Armor, 0</v>
      </c>
      <c r="L215" s="43" t="str">
        <f t="shared" si="2"/>
        <v>No Attunement Required</v>
      </c>
      <c r="M215" s="44" t="s">
        <v>119</v>
      </c>
      <c r="N215" s="42"/>
      <c r="O215" s="41" t="s">
        <v>17</v>
      </c>
      <c r="P215" s="42"/>
      <c r="Q215" s="42"/>
      <c r="R215" s="42"/>
      <c r="S215" s="42"/>
      <c r="T215" s="42"/>
      <c r="U215" s="42"/>
      <c r="V215" s="42"/>
      <c r="W215" s="42"/>
      <c r="X215" s="42"/>
      <c r="Y215" s="42"/>
      <c r="Z215" s="42"/>
      <c r="AA215" s="44" t="s">
        <v>105</v>
      </c>
      <c r="AB215" s="42"/>
      <c r="AC215" s="42"/>
      <c r="AD215" s="42"/>
      <c r="AE215" s="42"/>
      <c r="AF215" s="42"/>
      <c r="AG215" s="42"/>
      <c r="AH215" s="42"/>
      <c r="AI215" s="42">
        <f t="shared" si="3"/>
        <v>0</v>
      </c>
      <c r="AJ215" s="42"/>
      <c r="AK215" s="42"/>
    </row>
    <row r="216">
      <c r="A216" s="41" t="s">
        <v>632</v>
      </c>
      <c r="B216" s="41" t="s">
        <v>117</v>
      </c>
      <c r="C216" s="41" t="s">
        <v>112</v>
      </c>
      <c r="D216" s="41" t="s">
        <v>17</v>
      </c>
      <c r="E216" s="42"/>
      <c r="F216" s="41" t="s">
        <v>633</v>
      </c>
      <c r="G216" s="42"/>
      <c r="H216" s="42"/>
      <c r="I216" s="41" t="s">
        <v>457</v>
      </c>
      <c r="J216" s="41">
        <v>300.0</v>
      </c>
      <c r="K216" s="43" t="str">
        <f t="shared" si="1"/>
        <v>No Attunement Required, Base Item, Medium Armor, Imposes Disadvantage, Base Armor, 0</v>
      </c>
      <c r="L216" s="43" t="str">
        <f t="shared" si="2"/>
        <v>No Attunement Required</v>
      </c>
      <c r="M216" s="44" t="s">
        <v>119</v>
      </c>
      <c r="N216" s="42"/>
      <c r="O216" s="46" t="s">
        <v>17</v>
      </c>
      <c r="P216" s="44"/>
      <c r="Q216" s="44"/>
      <c r="R216" s="47"/>
      <c r="S216" s="42"/>
      <c r="T216" s="42"/>
      <c r="U216" s="44" t="s">
        <v>43</v>
      </c>
      <c r="V216" s="42"/>
      <c r="W216" s="42"/>
      <c r="X216" s="42"/>
      <c r="Y216" s="42"/>
      <c r="Z216" s="42"/>
      <c r="AA216" s="44" t="s">
        <v>105</v>
      </c>
      <c r="AB216" s="42"/>
      <c r="AC216" s="42"/>
      <c r="AD216" s="42"/>
      <c r="AE216" s="42"/>
      <c r="AF216" s="42"/>
      <c r="AG216" s="42"/>
      <c r="AH216" s="42"/>
      <c r="AI216" s="42">
        <f t="shared" si="3"/>
        <v>0</v>
      </c>
      <c r="AJ216" s="42"/>
      <c r="AK216" s="42"/>
    </row>
    <row r="217">
      <c r="A217" s="41" t="s">
        <v>634</v>
      </c>
      <c r="B217" s="41" t="s">
        <v>117</v>
      </c>
      <c r="C217" s="41" t="s">
        <v>112</v>
      </c>
      <c r="D217" s="41" t="s">
        <v>20</v>
      </c>
      <c r="E217" s="42"/>
      <c r="F217" s="41" t="s">
        <v>635</v>
      </c>
      <c r="G217" s="42"/>
      <c r="H217" s="42"/>
      <c r="I217" s="41" t="s">
        <v>586</v>
      </c>
      <c r="J217" s="41">
        <v>300.0</v>
      </c>
      <c r="K217" s="43" t="str">
        <f t="shared" si="1"/>
        <v>No Attunement Required, Base Item, Heavy Armor, Base Armor, 0</v>
      </c>
      <c r="L217" s="43" t="str">
        <f t="shared" si="2"/>
        <v>No Attunement Required</v>
      </c>
      <c r="M217" s="44" t="s">
        <v>119</v>
      </c>
      <c r="N217" s="42"/>
      <c r="O217" s="46" t="s">
        <v>20</v>
      </c>
      <c r="P217" s="47"/>
      <c r="Q217" s="42"/>
      <c r="S217" s="42"/>
      <c r="T217" s="42"/>
      <c r="U217" s="42"/>
      <c r="V217" s="42"/>
      <c r="W217" s="42"/>
      <c r="X217" s="44"/>
      <c r="Y217" s="42"/>
      <c r="Z217" s="42"/>
      <c r="AA217" s="44" t="s">
        <v>105</v>
      </c>
      <c r="AB217" s="42"/>
      <c r="AC217" s="42"/>
      <c r="AD217" s="42"/>
      <c r="AE217" s="42"/>
      <c r="AF217" s="42"/>
      <c r="AG217" s="42"/>
      <c r="AH217" s="42"/>
      <c r="AI217" s="42">
        <f t="shared" si="3"/>
        <v>0</v>
      </c>
      <c r="AJ217" s="42"/>
      <c r="AK217" s="42"/>
    </row>
    <row r="218">
      <c r="A218" s="49" t="s">
        <v>636</v>
      </c>
      <c r="B218" s="44" t="s">
        <v>637</v>
      </c>
      <c r="C218" s="44" t="s">
        <v>638</v>
      </c>
      <c r="D218" s="44" t="s">
        <v>526</v>
      </c>
      <c r="E218" s="42"/>
      <c r="F218" s="42"/>
      <c r="G218" s="42"/>
      <c r="H218" s="42"/>
      <c r="I218" s="41" t="s">
        <v>639</v>
      </c>
      <c r="J218" s="41">
        <v>300.0</v>
      </c>
      <c r="K218" s="43" t="str">
        <f t="shared" si="1"/>
        <v>No Attunement Required, Power, 2</v>
      </c>
      <c r="L218" s="43" t="str">
        <f t="shared" si="2"/>
        <v>No Attunement Required</v>
      </c>
      <c r="M218" s="44" t="s">
        <v>32</v>
      </c>
      <c r="N218" s="42"/>
      <c r="O218" s="42"/>
      <c r="P218" s="42"/>
      <c r="Q218" s="42"/>
      <c r="R218" s="42"/>
      <c r="S218" s="42"/>
      <c r="T218" s="42"/>
      <c r="U218" s="42"/>
      <c r="V218" s="42"/>
      <c r="W218" s="42"/>
      <c r="X218" s="42"/>
      <c r="Y218" s="42"/>
      <c r="Z218" s="42"/>
      <c r="AA218" s="42"/>
      <c r="AB218" s="42"/>
      <c r="AC218" s="42"/>
      <c r="AD218" s="42"/>
      <c r="AE218" s="42"/>
      <c r="AF218" s="42"/>
      <c r="AG218" s="42"/>
      <c r="AH218" s="42"/>
      <c r="AI218" s="42">
        <f t="shared" si="3"/>
        <v>2</v>
      </c>
      <c r="AJ218" s="42"/>
      <c r="AK218" s="42"/>
    </row>
    <row r="219">
      <c r="A219" s="47" t="s">
        <v>640</v>
      </c>
      <c r="B219" s="41" t="s">
        <v>525</v>
      </c>
      <c r="C219" s="41" t="s">
        <v>600</v>
      </c>
      <c r="D219" s="41" t="s">
        <v>526</v>
      </c>
      <c r="E219" s="42"/>
      <c r="F219" s="42"/>
      <c r="G219" s="42"/>
      <c r="H219" s="42"/>
      <c r="I219" s="41" t="s">
        <v>641</v>
      </c>
      <c r="J219" s="41">
        <v>300.0</v>
      </c>
      <c r="K219" s="43" t="str">
        <f t="shared" si="1"/>
        <v>No Attunement Required, Power, Generic Variant, Ranged Weapons, Melee Weapons, 2</v>
      </c>
      <c r="L219" s="43" t="str">
        <f t="shared" si="2"/>
        <v>No Attunement Required</v>
      </c>
      <c r="M219" s="44" t="s">
        <v>32</v>
      </c>
      <c r="N219" s="42"/>
      <c r="O219" s="42"/>
      <c r="P219" s="42"/>
      <c r="Q219" s="42"/>
      <c r="R219" s="41"/>
      <c r="S219" s="44" t="s">
        <v>526</v>
      </c>
      <c r="T219" s="44"/>
      <c r="U219" s="42"/>
      <c r="V219" s="42"/>
      <c r="W219" s="42"/>
      <c r="X219" s="42"/>
      <c r="Y219" s="42"/>
      <c r="Z219" s="42"/>
      <c r="AA219" s="42"/>
      <c r="AB219" s="42"/>
      <c r="AC219" s="42"/>
      <c r="AD219" s="42"/>
      <c r="AE219" s="44" t="s">
        <v>106</v>
      </c>
      <c r="AF219" s="44" t="s">
        <v>107</v>
      </c>
      <c r="AG219" s="42"/>
      <c r="AH219" s="42"/>
      <c r="AI219" s="42">
        <f t="shared" si="3"/>
        <v>2</v>
      </c>
      <c r="AJ219" s="42"/>
      <c r="AK219" s="42"/>
    </row>
    <row r="220">
      <c r="A220" s="41" t="s">
        <v>642</v>
      </c>
      <c r="B220" s="41" t="s">
        <v>625</v>
      </c>
      <c r="C220" s="41" t="s">
        <v>600</v>
      </c>
      <c r="D220" s="41" t="s">
        <v>526</v>
      </c>
      <c r="E220" s="42"/>
      <c r="F220" s="42"/>
      <c r="G220" s="42"/>
      <c r="H220" s="42"/>
      <c r="I220" s="47" t="s">
        <v>643</v>
      </c>
      <c r="J220" s="41">
        <v>300.0</v>
      </c>
      <c r="K220" s="43" t="str">
        <f t="shared" si="1"/>
        <v>No Attunement Required, Effect, Generic Variant, Armors, 2</v>
      </c>
      <c r="L220" s="43" t="str">
        <f t="shared" si="2"/>
        <v>No Attunement Required</v>
      </c>
      <c r="M220" s="41" t="s">
        <v>33</v>
      </c>
      <c r="N220" s="42"/>
      <c r="O220" s="42"/>
      <c r="P220" s="42"/>
      <c r="Q220" s="42"/>
      <c r="R220" s="42"/>
      <c r="S220" s="44" t="s">
        <v>526</v>
      </c>
      <c r="T220" s="44"/>
      <c r="U220" s="42"/>
      <c r="V220" s="42"/>
      <c r="W220" s="42"/>
      <c r="X220" s="44"/>
      <c r="Y220" s="42"/>
      <c r="Z220" s="42"/>
      <c r="AA220" s="42"/>
      <c r="AB220" s="42"/>
      <c r="AC220" s="42"/>
      <c r="AD220" s="42"/>
      <c r="AE220" s="42"/>
      <c r="AF220" s="42"/>
      <c r="AG220" s="44" t="s">
        <v>108</v>
      </c>
      <c r="AH220" s="42"/>
      <c r="AI220" s="42">
        <f t="shared" si="3"/>
        <v>2</v>
      </c>
      <c r="AJ220" s="42"/>
      <c r="AK220" s="42"/>
    </row>
    <row r="221">
      <c r="A221" s="41" t="s">
        <v>644</v>
      </c>
      <c r="B221" s="41" t="s">
        <v>525</v>
      </c>
      <c r="C221" s="41" t="s">
        <v>600</v>
      </c>
      <c r="D221" s="41" t="s">
        <v>529</v>
      </c>
      <c r="E221" s="42"/>
      <c r="F221" s="42"/>
      <c r="G221" s="42"/>
      <c r="H221" s="42"/>
      <c r="I221" s="41" t="s">
        <v>645</v>
      </c>
      <c r="J221" s="41">
        <v>300.0</v>
      </c>
      <c r="K221" s="43" t="str">
        <f t="shared" si="1"/>
        <v>No Attunement Required, Utility Gear, 2</v>
      </c>
      <c r="L221" s="43" t="str">
        <f t="shared" si="2"/>
        <v>No Attunement Required</v>
      </c>
      <c r="M221" s="44"/>
      <c r="N221" s="44" t="s">
        <v>47</v>
      </c>
      <c r="O221" s="42"/>
      <c r="P221" s="42"/>
      <c r="Q221" s="42"/>
      <c r="R221" s="42"/>
      <c r="S221" s="42"/>
      <c r="T221" s="42"/>
      <c r="U221" s="42"/>
      <c r="V221" s="42"/>
      <c r="W221" s="42"/>
      <c r="X221" s="42"/>
      <c r="Y221" s="42"/>
      <c r="Z221" s="42"/>
      <c r="AA221" s="42"/>
      <c r="AB221" s="42"/>
      <c r="AC221" s="42"/>
      <c r="AD221" s="42"/>
      <c r="AE221" s="42"/>
      <c r="AF221" s="42"/>
      <c r="AG221" s="42"/>
      <c r="AH221" s="42"/>
      <c r="AI221" s="42">
        <f t="shared" si="3"/>
        <v>2</v>
      </c>
      <c r="AJ221" s="42"/>
      <c r="AK221" s="42"/>
    </row>
    <row r="222">
      <c r="A222" s="41" t="s">
        <v>646</v>
      </c>
      <c r="B222" s="41" t="s">
        <v>525</v>
      </c>
      <c r="C222" s="41" t="s">
        <v>600</v>
      </c>
      <c r="D222" s="41" t="s">
        <v>529</v>
      </c>
      <c r="E222" s="42"/>
      <c r="F222" s="42"/>
      <c r="G222" s="42"/>
      <c r="H222" s="42"/>
      <c r="I222" s="41" t="s">
        <v>647</v>
      </c>
      <c r="J222" s="41">
        <v>300.0</v>
      </c>
      <c r="K222" s="43" t="str">
        <f t="shared" si="1"/>
        <v>No Attunement Required, 2</v>
      </c>
      <c r="L222" s="43" t="str">
        <f t="shared" si="2"/>
        <v>No Attunement Required</v>
      </c>
      <c r="M222" s="42"/>
      <c r="N222" s="42"/>
      <c r="O222" s="42"/>
      <c r="P222" s="42"/>
      <c r="Q222" s="41"/>
      <c r="S222" s="42"/>
      <c r="T222" s="42"/>
      <c r="U222" s="42"/>
      <c r="V222" s="42"/>
      <c r="W222" s="42"/>
      <c r="X222" s="42"/>
      <c r="Y222" s="42"/>
      <c r="Z222" s="42"/>
      <c r="AA222" s="42"/>
      <c r="AB222" s="42"/>
      <c r="AC222" s="42"/>
      <c r="AD222" s="42"/>
      <c r="AE222" s="42"/>
      <c r="AF222" s="42"/>
      <c r="AG222" s="42"/>
      <c r="AH222" s="42"/>
      <c r="AI222" s="42">
        <f t="shared" si="3"/>
        <v>2</v>
      </c>
      <c r="AJ222" s="42"/>
      <c r="AK222" s="42"/>
    </row>
    <row r="223">
      <c r="A223" s="41" t="s">
        <v>648</v>
      </c>
      <c r="B223" s="41" t="s">
        <v>628</v>
      </c>
      <c r="C223" s="41" t="s">
        <v>600</v>
      </c>
      <c r="D223" s="41" t="s">
        <v>556</v>
      </c>
      <c r="E223" s="42"/>
      <c r="F223" s="42"/>
      <c r="G223" s="42"/>
      <c r="H223" s="42"/>
      <c r="I223" s="41" t="s">
        <v>649</v>
      </c>
      <c r="J223" s="41">
        <v>300.0</v>
      </c>
      <c r="K223" s="43" t="str">
        <f t="shared" si="1"/>
        <v>No Attunement Required, Potions, Grants Advantage, 2</v>
      </c>
      <c r="L223" s="43" t="str">
        <f t="shared" si="2"/>
        <v>No Attunement Required</v>
      </c>
      <c r="M223" s="42"/>
      <c r="N223" s="42"/>
      <c r="O223" s="42"/>
      <c r="P223" s="42"/>
      <c r="Q223" s="42"/>
      <c r="S223" s="41" t="s">
        <v>57</v>
      </c>
      <c r="T223" s="41"/>
      <c r="U223" s="44" t="s">
        <v>42</v>
      </c>
      <c r="V223" s="42"/>
      <c r="W223" s="42"/>
      <c r="X223" s="42"/>
      <c r="Y223" s="42"/>
      <c r="Z223" s="42"/>
      <c r="AA223" s="42"/>
      <c r="AB223" s="42"/>
      <c r="AC223" s="42"/>
      <c r="AD223" s="42"/>
      <c r="AE223" s="42"/>
      <c r="AF223" s="42"/>
      <c r="AG223" s="42"/>
      <c r="AH223" s="42"/>
      <c r="AI223" s="42">
        <f t="shared" si="3"/>
        <v>2</v>
      </c>
      <c r="AJ223" s="42"/>
      <c r="AK223" s="42"/>
    </row>
    <row r="224">
      <c r="A224" s="41" t="s">
        <v>650</v>
      </c>
      <c r="B224" s="41" t="s">
        <v>525</v>
      </c>
      <c r="C224" s="41" t="s">
        <v>600</v>
      </c>
      <c r="D224" s="41" t="s">
        <v>529</v>
      </c>
      <c r="E224" s="42"/>
      <c r="F224" s="42"/>
      <c r="G224" s="42"/>
      <c r="H224" s="42"/>
      <c r="I224" s="41" t="s">
        <v>651</v>
      </c>
      <c r="J224" s="41">
        <v>300.0</v>
      </c>
      <c r="K224" s="43" t="str">
        <f t="shared" si="1"/>
        <v>No Attunement Required, Bonus Damage, 2</v>
      </c>
      <c r="L224" s="43" t="str">
        <f t="shared" si="2"/>
        <v>No Attunement Required</v>
      </c>
      <c r="M224" s="42"/>
      <c r="N224" s="42"/>
      <c r="O224" s="42"/>
      <c r="P224" s="42"/>
      <c r="Q224" s="42"/>
      <c r="R224" s="46" t="s">
        <v>44</v>
      </c>
      <c r="S224" s="41"/>
      <c r="T224" s="41"/>
      <c r="U224" s="42"/>
      <c r="V224" s="42"/>
      <c r="W224" s="42"/>
      <c r="X224" s="42"/>
      <c r="Y224" s="42"/>
      <c r="Z224" s="42"/>
      <c r="AA224" s="42"/>
      <c r="AB224" s="42"/>
      <c r="AC224" s="42"/>
      <c r="AD224" s="42"/>
      <c r="AE224" s="42"/>
      <c r="AF224" s="42"/>
      <c r="AG224" s="42"/>
      <c r="AH224" s="42"/>
      <c r="AI224" s="42">
        <f t="shared" si="3"/>
        <v>2</v>
      </c>
      <c r="AJ224" s="42"/>
      <c r="AK224" s="42"/>
    </row>
    <row r="225">
      <c r="A225" s="41" t="s">
        <v>652</v>
      </c>
      <c r="B225" s="41" t="s">
        <v>525</v>
      </c>
      <c r="C225" s="41" t="s">
        <v>653</v>
      </c>
      <c r="D225" s="41" t="s">
        <v>556</v>
      </c>
      <c r="E225" s="42"/>
      <c r="F225" s="42"/>
      <c r="G225" s="42"/>
      <c r="H225" s="42"/>
      <c r="I225" s="41" t="s">
        <v>654</v>
      </c>
      <c r="J225" s="41">
        <v>300.0</v>
      </c>
      <c r="K225" s="43" t="str">
        <f t="shared" si="1"/>
        <v>No Attunement Required, Potions, 3</v>
      </c>
      <c r="L225" s="43" t="str">
        <f t="shared" si="2"/>
        <v>No Attunement Required</v>
      </c>
      <c r="M225" s="42"/>
      <c r="N225" s="42"/>
      <c r="O225" s="42"/>
      <c r="P225" s="42"/>
      <c r="Q225" s="42"/>
      <c r="S225" s="41" t="s">
        <v>57</v>
      </c>
      <c r="T225" s="41"/>
      <c r="U225" s="42"/>
      <c r="V225" s="42"/>
      <c r="W225" s="42"/>
      <c r="X225" s="42"/>
      <c r="Y225" s="42"/>
      <c r="Z225" s="42"/>
      <c r="AA225" s="42"/>
      <c r="AB225" s="42"/>
      <c r="AC225" s="42"/>
      <c r="AD225" s="42"/>
      <c r="AE225" s="42"/>
      <c r="AF225" s="42"/>
      <c r="AG225" s="42"/>
      <c r="AH225" s="42"/>
      <c r="AI225" s="42">
        <f t="shared" si="3"/>
        <v>3</v>
      </c>
      <c r="AJ225" s="42"/>
      <c r="AK225" s="42"/>
    </row>
    <row r="226">
      <c r="A226" s="41" t="s">
        <v>655</v>
      </c>
      <c r="B226" s="41" t="s">
        <v>525</v>
      </c>
      <c r="C226" s="41" t="s">
        <v>112</v>
      </c>
      <c r="D226" s="41" t="s">
        <v>656</v>
      </c>
      <c r="E226" s="42"/>
      <c r="F226" s="42"/>
      <c r="G226" s="42"/>
      <c r="H226" s="42"/>
      <c r="I226" s="41" t="s">
        <v>657</v>
      </c>
      <c r="J226" s="41">
        <v>350.0</v>
      </c>
      <c r="K226" s="43" t="str">
        <f t="shared" si="1"/>
        <v>No Attunement Required, Poisons, 0</v>
      </c>
      <c r="L226" s="43" t="str">
        <f t="shared" si="2"/>
        <v>No Attunement Required</v>
      </c>
      <c r="M226" s="42"/>
      <c r="N226" s="42"/>
      <c r="O226" s="42"/>
      <c r="P226" s="42"/>
      <c r="Q226" s="42"/>
      <c r="R226" s="42"/>
      <c r="S226" s="42"/>
      <c r="T226" s="42"/>
      <c r="U226" s="42"/>
      <c r="V226" s="42"/>
      <c r="W226" s="42"/>
      <c r="X226" s="42"/>
      <c r="Y226" s="42"/>
      <c r="Z226" s="42"/>
      <c r="AA226" s="42"/>
      <c r="AB226" s="42"/>
      <c r="AC226" s="42"/>
      <c r="AD226" s="44" t="s">
        <v>58</v>
      </c>
      <c r="AE226" s="42"/>
      <c r="AF226" s="42"/>
      <c r="AG226" s="42"/>
      <c r="AH226" s="42"/>
      <c r="AI226" s="42">
        <f t="shared" si="3"/>
        <v>0</v>
      </c>
      <c r="AJ226" s="42"/>
      <c r="AK226" s="42"/>
    </row>
    <row r="227">
      <c r="A227" s="41" t="s">
        <v>658</v>
      </c>
      <c r="B227" s="41" t="s">
        <v>525</v>
      </c>
      <c r="C227" s="41" t="s">
        <v>600</v>
      </c>
      <c r="D227" s="41" t="s">
        <v>529</v>
      </c>
      <c r="E227" s="42"/>
      <c r="F227" s="42"/>
      <c r="G227" s="42"/>
      <c r="H227" s="42"/>
      <c r="I227" s="41" t="s">
        <v>659</v>
      </c>
      <c r="J227" s="41">
        <v>350.0</v>
      </c>
      <c r="K227" s="43" t="str">
        <f t="shared" si="1"/>
        <v>No Attunement Required, Utility Gear, Utility Weapon, Consumable Misc, 2</v>
      </c>
      <c r="L227" s="43" t="str">
        <f t="shared" si="2"/>
        <v>No Attunement Required</v>
      </c>
      <c r="M227" s="44"/>
      <c r="N227" s="44" t="s">
        <v>47</v>
      </c>
      <c r="O227" s="44"/>
      <c r="P227" s="44"/>
      <c r="Q227" s="44" t="s">
        <v>54</v>
      </c>
      <c r="S227" s="44" t="s">
        <v>59</v>
      </c>
      <c r="T227" s="44"/>
      <c r="U227" s="42"/>
      <c r="V227" s="42"/>
      <c r="W227" s="42"/>
      <c r="X227" s="42"/>
      <c r="Y227" s="42"/>
      <c r="Z227" s="42"/>
      <c r="AA227" s="42"/>
      <c r="AB227" s="42"/>
      <c r="AC227" s="42"/>
      <c r="AD227" s="42"/>
      <c r="AE227" s="42"/>
      <c r="AF227" s="42"/>
      <c r="AG227" s="42"/>
      <c r="AH227" s="42"/>
      <c r="AI227" s="42">
        <f t="shared" si="3"/>
        <v>2</v>
      </c>
      <c r="AJ227" s="42"/>
      <c r="AK227" s="42"/>
    </row>
    <row r="228">
      <c r="A228" s="41" t="s">
        <v>660</v>
      </c>
      <c r="B228" s="41" t="s">
        <v>525</v>
      </c>
      <c r="C228" s="41" t="s">
        <v>600</v>
      </c>
      <c r="D228" s="41" t="s">
        <v>529</v>
      </c>
      <c r="E228" s="41" t="s">
        <v>595</v>
      </c>
      <c r="F228" s="42"/>
      <c r="G228" s="42"/>
      <c r="H228" s="42"/>
      <c r="I228" s="41" t="s">
        <v>661</v>
      </c>
      <c r="J228" s="41">
        <v>350.0</v>
      </c>
      <c r="K228" s="43" t="str">
        <f t="shared" si="1"/>
        <v>Requires Attunement, 2</v>
      </c>
      <c r="L228" s="43" t="str">
        <f t="shared" si="2"/>
        <v>Requires Attunement</v>
      </c>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f t="shared" si="3"/>
        <v>2</v>
      </c>
      <c r="AJ228" s="42"/>
      <c r="AK228" s="42"/>
    </row>
    <row r="229">
      <c r="A229" s="41" t="s">
        <v>662</v>
      </c>
      <c r="B229" s="41" t="s">
        <v>525</v>
      </c>
      <c r="C229" s="41" t="s">
        <v>600</v>
      </c>
      <c r="D229" s="41" t="s">
        <v>526</v>
      </c>
      <c r="E229" s="42"/>
      <c r="F229" s="42"/>
      <c r="G229" s="42"/>
      <c r="H229" s="42"/>
      <c r="I229" s="47" t="s">
        <v>663</v>
      </c>
      <c r="J229" s="41">
        <v>350.0</v>
      </c>
      <c r="K229" s="43" t="str">
        <f t="shared" si="1"/>
        <v>No Attunement Required, Effect, Generic Variant, Armors, 2</v>
      </c>
      <c r="L229" s="43" t="str">
        <f t="shared" si="2"/>
        <v>No Attunement Required</v>
      </c>
      <c r="M229" s="41" t="s">
        <v>33</v>
      </c>
      <c r="N229" s="42"/>
      <c r="O229" s="42"/>
      <c r="P229" s="42"/>
      <c r="Q229" s="42"/>
      <c r="S229" s="44" t="s">
        <v>526</v>
      </c>
      <c r="T229" s="44"/>
      <c r="U229" s="42"/>
      <c r="V229" s="42"/>
      <c r="W229" s="42"/>
      <c r="X229" s="42"/>
      <c r="Y229" s="42"/>
      <c r="Z229" s="42"/>
      <c r="AA229" s="42"/>
      <c r="AB229" s="42"/>
      <c r="AC229" s="42"/>
      <c r="AD229" s="42"/>
      <c r="AE229" s="42"/>
      <c r="AF229" s="42"/>
      <c r="AG229" s="44" t="s">
        <v>108</v>
      </c>
      <c r="AH229" s="42"/>
      <c r="AI229" s="42">
        <f t="shared" si="3"/>
        <v>2</v>
      </c>
      <c r="AJ229" s="42"/>
      <c r="AK229" s="42"/>
    </row>
    <row r="230">
      <c r="A230" s="41" t="s">
        <v>664</v>
      </c>
      <c r="B230" s="41" t="s">
        <v>525</v>
      </c>
      <c r="C230" s="41" t="s">
        <v>600</v>
      </c>
      <c r="D230" s="41" t="s">
        <v>529</v>
      </c>
      <c r="E230" s="41" t="s">
        <v>595</v>
      </c>
      <c r="F230" s="42"/>
      <c r="G230" s="42"/>
      <c r="H230" s="42"/>
      <c r="I230" s="41" t="s">
        <v>665</v>
      </c>
      <c r="J230" s="41">
        <v>350.0</v>
      </c>
      <c r="K230" s="43" t="str">
        <f t="shared" si="1"/>
        <v>Requires Attunement, Utility Gear, Healing, Grants Advantage, 2</v>
      </c>
      <c r="L230" s="43" t="str">
        <f t="shared" si="2"/>
        <v>Requires Attunement</v>
      </c>
      <c r="M230" s="44"/>
      <c r="N230" s="44" t="s">
        <v>47</v>
      </c>
      <c r="O230" s="42"/>
      <c r="P230" s="42"/>
      <c r="Q230" s="42"/>
      <c r="R230" s="46" t="s">
        <v>46</v>
      </c>
      <c r="S230" s="42"/>
      <c r="T230" s="42"/>
      <c r="U230" s="44" t="s">
        <v>42</v>
      </c>
      <c r="V230" s="42"/>
      <c r="W230" s="42"/>
      <c r="X230" s="42"/>
      <c r="Y230" s="42"/>
      <c r="Z230" s="42"/>
      <c r="AA230" s="42"/>
      <c r="AB230" s="42"/>
      <c r="AC230" s="42"/>
      <c r="AD230" s="42"/>
      <c r="AE230" s="42"/>
      <c r="AF230" s="42"/>
      <c r="AG230" s="42"/>
      <c r="AH230" s="42"/>
      <c r="AI230" s="42">
        <f t="shared" si="3"/>
        <v>2</v>
      </c>
      <c r="AJ230" s="42"/>
      <c r="AK230" s="42"/>
    </row>
    <row r="231">
      <c r="A231" s="41" t="s">
        <v>666</v>
      </c>
      <c r="B231" s="41" t="s">
        <v>525</v>
      </c>
      <c r="C231" s="41" t="s">
        <v>600</v>
      </c>
      <c r="D231" s="41" t="s">
        <v>529</v>
      </c>
      <c r="E231" s="41" t="s">
        <v>595</v>
      </c>
      <c r="F231" s="42"/>
      <c r="G231" s="42"/>
      <c r="H231" s="42"/>
      <c r="I231" s="41" t="s">
        <v>667</v>
      </c>
      <c r="J231" s="41">
        <v>350.0</v>
      </c>
      <c r="K231" s="43" t="str">
        <f t="shared" si="1"/>
        <v>Requires Attunement, Healing, 2</v>
      </c>
      <c r="L231" s="43" t="str">
        <f t="shared" si="2"/>
        <v>Requires Attunement</v>
      </c>
      <c r="M231" s="42"/>
      <c r="N231" s="42"/>
      <c r="O231" s="42"/>
      <c r="P231" s="42"/>
      <c r="Q231" s="42"/>
      <c r="R231" s="46" t="s">
        <v>46</v>
      </c>
      <c r="S231" s="42"/>
      <c r="T231" s="42"/>
      <c r="U231" s="42"/>
      <c r="V231" s="42"/>
      <c r="W231" s="42"/>
      <c r="X231" s="42"/>
      <c r="Y231" s="42"/>
      <c r="Z231" s="42"/>
      <c r="AA231" s="42"/>
      <c r="AB231" s="42"/>
      <c r="AC231" s="42"/>
      <c r="AD231" s="42"/>
      <c r="AE231" s="42"/>
      <c r="AF231" s="42"/>
      <c r="AG231" s="42"/>
      <c r="AH231" s="42"/>
      <c r="AI231" s="42">
        <f t="shared" si="3"/>
        <v>2</v>
      </c>
      <c r="AJ231" s="42"/>
      <c r="AK231" s="42"/>
    </row>
    <row r="232">
      <c r="A232" s="41" t="s">
        <v>668</v>
      </c>
      <c r="B232" s="41" t="s">
        <v>111</v>
      </c>
      <c r="C232" s="41" t="s">
        <v>600</v>
      </c>
      <c r="D232" s="41" t="s">
        <v>522</v>
      </c>
      <c r="E232" s="41" t="s">
        <v>595</v>
      </c>
      <c r="F232" s="42"/>
      <c r="G232" s="42"/>
      <c r="H232" s="42"/>
      <c r="I232" s="41" t="s">
        <v>669</v>
      </c>
      <c r="J232" s="41">
        <v>350.0</v>
      </c>
      <c r="K232" s="43" t="str">
        <f t="shared" si="1"/>
        <v>Requires Attunement, Utility Gear, Rings, Grants Advantage, 2</v>
      </c>
      <c r="L232" s="43" t="str">
        <f t="shared" si="2"/>
        <v>Requires Attunement</v>
      </c>
      <c r="M232" s="44"/>
      <c r="N232" s="44" t="s">
        <v>47</v>
      </c>
      <c r="O232" s="42"/>
      <c r="P232" s="42"/>
      <c r="Q232" s="42"/>
      <c r="S232" s="46" t="s">
        <v>36</v>
      </c>
      <c r="T232" s="42"/>
      <c r="U232" s="44" t="s">
        <v>42</v>
      </c>
      <c r="V232" s="42"/>
      <c r="W232" s="42"/>
      <c r="X232" s="42"/>
      <c r="Y232" s="42"/>
      <c r="Z232" s="42"/>
      <c r="AA232" s="42"/>
      <c r="AB232" s="42"/>
      <c r="AC232" s="42"/>
      <c r="AD232" s="42"/>
      <c r="AE232" s="42"/>
      <c r="AF232" s="42"/>
      <c r="AG232" s="42"/>
      <c r="AH232" s="42"/>
      <c r="AI232" s="42">
        <f t="shared" si="3"/>
        <v>2</v>
      </c>
      <c r="AJ232" s="42"/>
      <c r="AK232" s="42"/>
    </row>
    <row r="233">
      <c r="A233" s="41" t="s">
        <v>670</v>
      </c>
      <c r="B233" s="41" t="s">
        <v>525</v>
      </c>
      <c r="C233" s="41" t="s">
        <v>600</v>
      </c>
      <c r="D233" s="41" t="s">
        <v>304</v>
      </c>
      <c r="E233" s="41" t="s">
        <v>595</v>
      </c>
      <c r="F233" s="41" t="s">
        <v>432</v>
      </c>
      <c r="G233" s="41" t="s">
        <v>501</v>
      </c>
      <c r="H233" s="41" t="s">
        <v>307</v>
      </c>
      <c r="I233" s="41" t="s">
        <v>671</v>
      </c>
      <c r="J233" s="41">
        <v>350.0</v>
      </c>
      <c r="K233" s="43" t="str">
        <f t="shared" si="1"/>
        <v>Requires Attunement, Effect, Martial Weapon, Enspelled, Melee Weapons, 2</v>
      </c>
      <c r="L233" s="43" t="str">
        <f t="shared" si="2"/>
        <v>Requires Attunement</v>
      </c>
      <c r="M233" s="41" t="s">
        <v>33</v>
      </c>
      <c r="N233" s="42"/>
      <c r="O233" s="42"/>
      <c r="P233" s="41" t="s">
        <v>309</v>
      </c>
      <c r="Q233" s="41"/>
      <c r="R233" s="44"/>
      <c r="S233" s="42"/>
      <c r="T233" s="44" t="s">
        <v>611</v>
      </c>
      <c r="U233" s="42"/>
      <c r="V233" s="42"/>
      <c r="W233" s="42"/>
      <c r="X233" s="42"/>
      <c r="Y233" s="42"/>
      <c r="Z233" s="42"/>
      <c r="AA233" s="42"/>
      <c r="AB233" s="42"/>
      <c r="AC233" s="42"/>
      <c r="AD233" s="42"/>
      <c r="AE233" s="42"/>
      <c r="AF233" s="41" t="s">
        <v>107</v>
      </c>
      <c r="AG233" s="42"/>
      <c r="AH233" s="42"/>
      <c r="AI233" s="42">
        <f t="shared" si="3"/>
        <v>2</v>
      </c>
      <c r="AJ233" s="42"/>
      <c r="AK233" s="42"/>
    </row>
    <row r="234">
      <c r="A234" s="41" t="s">
        <v>672</v>
      </c>
      <c r="B234" s="41" t="s">
        <v>525</v>
      </c>
      <c r="C234" s="41" t="s">
        <v>112</v>
      </c>
      <c r="D234" s="41" t="s">
        <v>673</v>
      </c>
      <c r="E234" s="42"/>
      <c r="F234" s="42"/>
      <c r="G234" s="42"/>
      <c r="H234" s="42"/>
      <c r="I234" s="41" t="s">
        <v>674</v>
      </c>
      <c r="J234" s="41">
        <v>400.0</v>
      </c>
      <c r="K234" s="43" t="str">
        <f t="shared" si="1"/>
        <v>No Attunement Required, Poisons, 0</v>
      </c>
      <c r="L234" s="43" t="str">
        <f t="shared" si="2"/>
        <v>No Attunement Required</v>
      </c>
      <c r="M234" s="42"/>
      <c r="N234" s="42"/>
      <c r="O234" s="42"/>
      <c r="P234" s="42"/>
      <c r="Q234" s="42"/>
      <c r="S234" s="42"/>
      <c r="T234" s="42"/>
      <c r="U234" s="42"/>
      <c r="V234" s="42"/>
      <c r="W234" s="42"/>
      <c r="X234" s="42"/>
      <c r="Y234" s="42"/>
      <c r="Z234" s="42"/>
      <c r="AA234" s="42"/>
      <c r="AB234" s="42"/>
      <c r="AC234" s="42"/>
      <c r="AD234" s="44" t="s">
        <v>58</v>
      </c>
      <c r="AE234" s="42"/>
      <c r="AF234" s="42"/>
      <c r="AG234" s="42"/>
      <c r="AH234" s="42"/>
      <c r="AI234" s="42">
        <f t="shared" si="3"/>
        <v>0</v>
      </c>
      <c r="AJ234" s="42"/>
      <c r="AK234" s="42"/>
    </row>
    <row r="235">
      <c r="A235" s="41" t="s">
        <v>675</v>
      </c>
      <c r="B235" s="41" t="s">
        <v>525</v>
      </c>
      <c r="C235" s="41" t="s">
        <v>112</v>
      </c>
      <c r="D235" s="41" t="s">
        <v>656</v>
      </c>
      <c r="E235" s="42"/>
      <c r="F235" s="42"/>
      <c r="G235" s="42"/>
      <c r="H235" s="42"/>
      <c r="I235" s="41" t="s">
        <v>676</v>
      </c>
      <c r="J235" s="41">
        <v>400.0</v>
      </c>
      <c r="K235" s="43" t="str">
        <f t="shared" si="1"/>
        <v>No Attunement Required, Poisons, 0</v>
      </c>
      <c r="L235" s="43" t="str">
        <f t="shared" si="2"/>
        <v>No Attunement Required</v>
      </c>
      <c r="M235" s="42"/>
      <c r="N235" s="42"/>
      <c r="O235" s="42"/>
      <c r="P235" s="42"/>
      <c r="Q235" s="42"/>
      <c r="S235" s="42"/>
      <c r="T235" s="42"/>
      <c r="U235" s="42"/>
      <c r="V235" s="42"/>
      <c r="W235" s="42"/>
      <c r="X235" s="42"/>
      <c r="Y235" s="42"/>
      <c r="Z235" s="42"/>
      <c r="AA235" s="42"/>
      <c r="AB235" s="42"/>
      <c r="AC235" s="42"/>
      <c r="AD235" s="44" t="s">
        <v>58</v>
      </c>
      <c r="AE235" s="42"/>
      <c r="AF235" s="42"/>
      <c r="AG235" s="42"/>
      <c r="AH235" s="42"/>
      <c r="AI235" s="42">
        <f t="shared" si="3"/>
        <v>0</v>
      </c>
      <c r="AJ235" s="42"/>
      <c r="AK235" s="42"/>
    </row>
    <row r="236">
      <c r="A236" s="41" t="s">
        <v>677</v>
      </c>
      <c r="B236" s="41" t="s">
        <v>525</v>
      </c>
      <c r="C236" s="41" t="s">
        <v>112</v>
      </c>
      <c r="D236" s="41" t="s">
        <v>673</v>
      </c>
      <c r="E236" s="42"/>
      <c r="F236" s="42"/>
      <c r="G236" s="42"/>
      <c r="H236" s="42"/>
      <c r="I236" s="41" t="s">
        <v>678</v>
      </c>
      <c r="J236" s="41">
        <v>400.0</v>
      </c>
      <c r="K236" s="43" t="str">
        <f t="shared" si="1"/>
        <v>No Attunement Required, Poisons, 0</v>
      </c>
      <c r="L236" s="43" t="str">
        <f t="shared" si="2"/>
        <v>No Attunement Required</v>
      </c>
      <c r="M236" s="42"/>
      <c r="N236" s="42"/>
      <c r="O236" s="42"/>
      <c r="P236" s="42"/>
      <c r="Q236" s="42"/>
      <c r="R236" s="45"/>
      <c r="S236" s="42"/>
      <c r="T236" s="42"/>
      <c r="U236" s="42"/>
      <c r="V236" s="42"/>
      <c r="W236" s="42"/>
      <c r="X236" s="42"/>
      <c r="Y236" s="42"/>
      <c r="Z236" s="42"/>
      <c r="AA236" s="42"/>
      <c r="AB236" s="42"/>
      <c r="AC236" s="42"/>
      <c r="AD236" s="44" t="s">
        <v>58</v>
      </c>
      <c r="AE236" s="42"/>
      <c r="AF236" s="42"/>
      <c r="AG236" s="42"/>
      <c r="AH236" s="42"/>
      <c r="AI236" s="42">
        <f t="shared" si="3"/>
        <v>0</v>
      </c>
      <c r="AJ236" s="42"/>
      <c r="AK236" s="42"/>
    </row>
    <row r="237">
      <c r="A237" s="41" t="s">
        <v>679</v>
      </c>
      <c r="B237" s="41" t="s">
        <v>680</v>
      </c>
      <c r="C237" s="41" t="s">
        <v>600</v>
      </c>
      <c r="D237" s="41" t="s">
        <v>681</v>
      </c>
      <c r="E237" s="41" t="s">
        <v>682</v>
      </c>
      <c r="F237" s="42"/>
      <c r="G237" s="42"/>
      <c r="H237" s="42"/>
      <c r="I237" s="41" t="s">
        <v>683</v>
      </c>
      <c r="J237" s="41">
        <v>400.0</v>
      </c>
      <c r="K237" s="43" t="str">
        <f t="shared" si="1"/>
        <v>Requires Attunement, Effect, Artificer, Spellcasting Focus, 2</v>
      </c>
      <c r="L237" s="43" t="str">
        <f t="shared" si="2"/>
        <v>Requires Attunement</v>
      </c>
      <c r="M237" s="41" t="s">
        <v>33</v>
      </c>
      <c r="N237" s="41" t="s">
        <v>64</v>
      </c>
      <c r="O237" s="42"/>
      <c r="P237" s="42"/>
      <c r="Q237" s="42"/>
      <c r="R237" s="42"/>
      <c r="S237" s="42"/>
      <c r="T237" s="42"/>
      <c r="U237" s="42"/>
      <c r="V237" s="42"/>
      <c r="W237" s="42"/>
      <c r="X237" s="44" t="s">
        <v>24</v>
      </c>
      <c r="Y237" s="42"/>
      <c r="Z237" s="42"/>
      <c r="AA237" s="42"/>
      <c r="AB237" s="42"/>
      <c r="AC237" s="42"/>
      <c r="AD237" s="42"/>
      <c r="AE237" s="42"/>
      <c r="AF237" s="42"/>
      <c r="AG237" s="42"/>
      <c r="AH237" s="42"/>
      <c r="AI237" s="42">
        <f t="shared" si="3"/>
        <v>2</v>
      </c>
      <c r="AJ237" s="42"/>
      <c r="AK237" s="42"/>
    </row>
    <row r="238">
      <c r="A238" s="41" t="s">
        <v>684</v>
      </c>
      <c r="B238" s="41" t="s">
        <v>625</v>
      </c>
      <c r="C238" s="41" t="s">
        <v>600</v>
      </c>
      <c r="D238" s="41" t="s">
        <v>526</v>
      </c>
      <c r="E238" s="41" t="s">
        <v>595</v>
      </c>
      <c r="F238" s="42"/>
      <c r="G238" s="42"/>
      <c r="H238" s="42"/>
      <c r="I238" s="47" t="s">
        <v>685</v>
      </c>
      <c r="J238" s="41">
        <v>400.0</v>
      </c>
      <c r="K238" s="43" t="str">
        <f t="shared" si="1"/>
        <v>Requires Attunement, Effect, Generic Variant, Enspelled, Armors, 2</v>
      </c>
      <c r="L238" s="43" t="str">
        <f t="shared" si="2"/>
        <v>Requires Attunement</v>
      </c>
      <c r="M238" s="41" t="s">
        <v>33</v>
      </c>
      <c r="N238" s="42"/>
      <c r="O238" s="42"/>
      <c r="P238" s="42"/>
      <c r="Q238" s="42"/>
      <c r="R238" s="44"/>
      <c r="S238" s="41" t="s">
        <v>526</v>
      </c>
      <c r="T238" s="44" t="s">
        <v>611</v>
      </c>
      <c r="U238" s="42"/>
      <c r="V238" s="42"/>
      <c r="W238" s="42"/>
      <c r="X238" s="42"/>
      <c r="Y238" s="42"/>
      <c r="Z238" s="42"/>
      <c r="AA238" s="42"/>
      <c r="AB238" s="42"/>
      <c r="AC238" s="42"/>
      <c r="AD238" s="42"/>
      <c r="AE238" s="42"/>
      <c r="AF238" s="42"/>
      <c r="AG238" s="44" t="s">
        <v>108</v>
      </c>
      <c r="AH238" s="42"/>
      <c r="AI238" s="42">
        <f t="shared" si="3"/>
        <v>2</v>
      </c>
      <c r="AJ238" s="42"/>
      <c r="AK238" s="42"/>
    </row>
    <row r="239">
      <c r="A239" s="41" t="s">
        <v>686</v>
      </c>
      <c r="B239" s="41" t="s">
        <v>525</v>
      </c>
      <c r="C239" s="41" t="s">
        <v>600</v>
      </c>
      <c r="D239" s="41" t="s">
        <v>529</v>
      </c>
      <c r="E239" s="41" t="s">
        <v>595</v>
      </c>
      <c r="F239" s="42"/>
      <c r="G239" s="42"/>
      <c r="H239" s="42"/>
      <c r="I239" s="41" t="s">
        <v>687</v>
      </c>
      <c r="J239" s="41">
        <v>400.0</v>
      </c>
      <c r="K239" s="43" t="str">
        <f t="shared" si="1"/>
        <v>Requires Attunement, 2</v>
      </c>
      <c r="L239" s="43" t="str">
        <f t="shared" si="2"/>
        <v>Requires Attunement</v>
      </c>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f t="shared" si="3"/>
        <v>2</v>
      </c>
      <c r="AJ239" s="42"/>
      <c r="AK239" s="42"/>
    </row>
    <row r="240">
      <c r="A240" s="41" t="s">
        <v>688</v>
      </c>
      <c r="B240" s="41" t="s">
        <v>525</v>
      </c>
      <c r="C240" s="41" t="s">
        <v>600</v>
      </c>
      <c r="D240" s="41" t="s">
        <v>529</v>
      </c>
      <c r="E240" s="42"/>
      <c r="F240" s="42"/>
      <c r="G240" s="42"/>
      <c r="H240" s="42"/>
      <c r="I240" s="41" t="s">
        <v>689</v>
      </c>
      <c r="J240" s="41">
        <v>400.0</v>
      </c>
      <c r="K240" s="43" t="str">
        <f t="shared" si="1"/>
        <v>No Attunement Required, Utility Gear, 2</v>
      </c>
      <c r="L240" s="43" t="str">
        <f t="shared" si="2"/>
        <v>No Attunement Required</v>
      </c>
      <c r="M240" s="44"/>
      <c r="N240" s="44" t="s">
        <v>47</v>
      </c>
      <c r="O240" s="42"/>
      <c r="P240" s="42"/>
      <c r="Q240" s="42"/>
      <c r="R240" s="42"/>
      <c r="S240" s="42"/>
      <c r="T240" s="42"/>
      <c r="U240" s="42"/>
      <c r="V240" s="42"/>
      <c r="W240" s="42"/>
      <c r="X240" s="42"/>
      <c r="Y240" s="42"/>
      <c r="Z240" s="42"/>
      <c r="AA240" s="42"/>
      <c r="AB240" s="42"/>
      <c r="AC240" s="42"/>
      <c r="AD240" s="42"/>
      <c r="AE240" s="42"/>
      <c r="AF240" s="42"/>
      <c r="AG240" s="42"/>
      <c r="AH240" s="42"/>
      <c r="AI240" s="42">
        <f t="shared" si="3"/>
        <v>2</v>
      </c>
      <c r="AJ240" s="42"/>
      <c r="AK240" s="42"/>
    </row>
    <row r="241">
      <c r="A241" s="41" t="s">
        <v>690</v>
      </c>
      <c r="B241" s="41" t="s">
        <v>525</v>
      </c>
      <c r="C241" s="41" t="s">
        <v>600</v>
      </c>
      <c r="D241" s="41" t="s">
        <v>529</v>
      </c>
      <c r="E241" s="42"/>
      <c r="F241" s="42"/>
      <c r="G241" s="42"/>
      <c r="H241" s="42"/>
      <c r="I241" s="41" t="s">
        <v>691</v>
      </c>
      <c r="J241" s="41">
        <v>400.0</v>
      </c>
      <c r="K241" s="43" t="str">
        <f t="shared" si="1"/>
        <v>No Attunement Required, 2</v>
      </c>
      <c r="L241" s="43" t="str">
        <f t="shared" si="2"/>
        <v>No Attunement Required</v>
      </c>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f t="shared" si="3"/>
        <v>2</v>
      </c>
      <c r="AJ241" s="42"/>
      <c r="AK241" s="42"/>
    </row>
    <row r="242">
      <c r="A242" s="41" t="s">
        <v>692</v>
      </c>
      <c r="B242" s="41" t="s">
        <v>609</v>
      </c>
      <c r="C242" s="41" t="s">
        <v>600</v>
      </c>
      <c r="D242" s="41" t="s">
        <v>529</v>
      </c>
      <c r="E242" s="41" t="s">
        <v>693</v>
      </c>
      <c r="F242" s="42"/>
      <c r="G242" s="42"/>
      <c r="H242" s="42"/>
      <c r="I242" s="41" t="s">
        <v>694</v>
      </c>
      <c r="J242" s="41">
        <v>400.0</v>
      </c>
      <c r="K242" s="43" t="str">
        <f t="shared" si="1"/>
        <v>Requires Attunement, Monk, 2</v>
      </c>
      <c r="L242" s="43" t="str">
        <f t="shared" si="2"/>
        <v>Requires Attunement</v>
      </c>
      <c r="M242" s="41"/>
      <c r="N242" s="41" t="s">
        <v>70</v>
      </c>
      <c r="O242" s="42"/>
      <c r="P242" s="42"/>
      <c r="Q242" s="42"/>
      <c r="R242" s="42"/>
      <c r="S242" s="42"/>
      <c r="T242" s="42"/>
      <c r="U242" s="42"/>
      <c r="V242" s="42"/>
      <c r="W242" s="42"/>
      <c r="X242" s="44"/>
      <c r="Y242" s="42"/>
      <c r="Z242" s="42"/>
      <c r="AA242" s="42"/>
      <c r="AB242" s="42"/>
      <c r="AC242" s="42"/>
      <c r="AD242" s="42"/>
      <c r="AE242" s="42"/>
      <c r="AF242" s="42"/>
      <c r="AG242" s="42"/>
      <c r="AH242" s="42"/>
      <c r="AI242" s="42">
        <f t="shared" si="3"/>
        <v>2</v>
      </c>
      <c r="AJ242" s="42"/>
      <c r="AK242" s="42"/>
    </row>
    <row r="243">
      <c r="A243" s="41" t="s">
        <v>695</v>
      </c>
      <c r="B243" s="41" t="s">
        <v>525</v>
      </c>
      <c r="C243" s="41" t="s">
        <v>600</v>
      </c>
      <c r="D243" s="41" t="s">
        <v>529</v>
      </c>
      <c r="E243" s="42"/>
      <c r="F243" s="42"/>
      <c r="G243" s="42"/>
      <c r="H243" s="42"/>
      <c r="I243" s="41" t="s">
        <v>696</v>
      </c>
      <c r="J243" s="41">
        <v>400.0</v>
      </c>
      <c r="K243" s="43" t="str">
        <f t="shared" si="1"/>
        <v>No Attunement Required, Utility Gear, Grants Advantage, 2</v>
      </c>
      <c r="L243" s="43" t="str">
        <f t="shared" si="2"/>
        <v>No Attunement Required</v>
      </c>
      <c r="M243" s="44"/>
      <c r="N243" s="44" t="s">
        <v>47</v>
      </c>
      <c r="O243" s="42"/>
      <c r="P243" s="42"/>
      <c r="Q243" s="42"/>
      <c r="R243" s="42"/>
      <c r="S243" s="42"/>
      <c r="T243" s="42"/>
      <c r="U243" s="44" t="s">
        <v>42</v>
      </c>
      <c r="V243" s="42"/>
      <c r="W243" s="42"/>
      <c r="X243" s="42"/>
      <c r="Y243" s="42"/>
      <c r="Z243" s="42"/>
      <c r="AA243" s="42"/>
      <c r="AB243" s="42"/>
      <c r="AC243" s="42"/>
      <c r="AD243" s="42"/>
      <c r="AE243" s="42"/>
      <c r="AF243" s="42"/>
      <c r="AG243" s="42"/>
      <c r="AH243" s="42"/>
      <c r="AI243" s="42">
        <f t="shared" si="3"/>
        <v>2</v>
      </c>
      <c r="AJ243" s="42"/>
      <c r="AK243" s="42"/>
    </row>
    <row r="244">
      <c r="A244" s="41" t="s">
        <v>697</v>
      </c>
      <c r="B244" s="41" t="s">
        <v>551</v>
      </c>
      <c r="C244" s="41" t="s">
        <v>600</v>
      </c>
      <c r="D244" s="41" t="s">
        <v>529</v>
      </c>
      <c r="E244" s="41" t="s">
        <v>595</v>
      </c>
      <c r="F244" s="42"/>
      <c r="G244" s="42"/>
      <c r="H244" s="42"/>
      <c r="I244" s="41" t="s">
        <v>698</v>
      </c>
      <c r="J244" s="41">
        <v>400.0</v>
      </c>
      <c r="K244" s="43" t="str">
        <f t="shared" si="1"/>
        <v>Requires Attunement, 2</v>
      </c>
      <c r="L244" s="43" t="str">
        <f t="shared" si="2"/>
        <v>Requires Attunement</v>
      </c>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f t="shared" si="3"/>
        <v>2</v>
      </c>
      <c r="AJ244" s="42"/>
      <c r="AK244" s="42"/>
    </row>
    <row r="245">
      <c r="A245" s="41" t="s">
        <v>699</v>
      </c>
      <c r="B245" s="41" t="s">
        <v>525</v>
      </c>
      <c r="C245" s="41" t="s">
        <v>600</v>
      </c>
      <c r="D245" s="41" t="s">
        <v>529</v>
      </c>
      <c r="E245" s="41" t="s">
        <v>595</v>
      </c>
      <c r="F245" s="42"/>
      <c r="G245" s="42"/>
      <c r="H245" s="42"/>
      <c r="I245" s="41" t="s">
        <v>700</v>
      </c>
      <c r="J245" s="41">
        <v>400.0</v>
      </c>
      <c r="K245" s="43" t="str">
        <f t="shared" si="1"/>
        <v>Requires Attunement, Utility Gear, Grants Advantage, 2</v>
      </c>
      <c r="L245" s="43" t="str">
        <f t="shared" si="2"/>
        <v>Requires Attunement</v>
      </c>
      <c r="M245" s="44"/>
      <c r="N245" s="44" t="s">
        <v>47</v>
      </c>
      <c r="O245" s="42"/>
      <c r="P245" s="42"/>
      <c r="Q245" s="42"/>
      <c r="S245" s="42"/>
      <c r="T245" s="42"/>
      <c r="U245" s="44" t="s">
        <v>42</v>
      </c>
      <c r="V245" s="42"/>
      <c r="W245" s="42"/>
      <c r="X245" s="42"/>
      <c r="Y245" s="42"/>
      <c r="Z245" s="42"/>
      <c r="AA245" s="42"/>
      <c r="AB245" s="42"/>
      <c r="AC245" s="42"/>
      <c r="AD245" s="42"/>
      <c r="AE245" s="42"/>
      <c r="AF245" s="42"/>
      <c r="AG245" s="42"/>
      <c r="AH245" s="42"/>
      <c r="AI245" s="42">
        <f t="shared" si="3"/>
        <v>2</v>
      </c>
      <c r="AJ245" s="42"/>
      <c r="AK245" s="42"/>
    </row>
    <row r="246">
      <c r="A246" s="41" t="s">
        <v>701</v>
      </c>
      <c r="B246" s="41" t="s">
        <v>525</v>
      </c>
      <c r="C246" s="41" t="s">
        <v>600</v>
      </c>
      <c r="D246" s="41" t="s">
        <v>556</v>
      </c>
      <c r="E246" s="42"/>
      <c r="F246" s="42"/>
      <c r="G246" s="42"/>
      <c r="H246" s="42"/>
      <c r="I246" s="41" t="s">
        <v>702</v>
      </c>
      <c r="J246" s="41">
        <v>400.0</v>
      </c>
      <c r="K246" s="43" t="str">
        <f t="shared" si="1"/>
        <v>No Attunement Required, Potions, 2</v>
      </c>
      <c r="L246" s="43" t="str">
        <f t="shared" si="2"/>
        <v>No Attunement Required</v>
      </c>
      <c r="M246" s="42"/>
      <c r="N246" s="42"/>
      <c r="O246" s="42"/>
      <c r="P246" s="42"/>
      <c r="Q246" s="42"/>
      <c r="S246" s="41" t="s">
        <v>57</v>
      </c>
      <c r="T246" s="41"/>
      <c r="U246" s="42"/>
      <c r="V246" s="42"/>
      <c r="W246" s="42"/>
      <c r="X246" s="42"/>
      <c r="Y246" s="42"/>
      <c r="Z246" s="42"/>
      <c r="AA246" s="42"/>
      <c r="AB246" s="42"/>
      <c r="AC246" s="42"/>
      <c r="AD246" s="42"/>
      <c r="AE246" s="42"/>
      <c r="AF246" s="42"/>
      <c r="AG246" s="42"/>
      <c r="AH246" s="42"/>
      <c r="AI246" s="42">
        <f t="shared" si="3"/>
        <v>2</v>
      </c>
      <c r="AJ246" s="42"/>
      <c r="AK246" s="42"/>
    </row>
    <row r="247">
      <c r="A247" s="41" t="s">
        <v>703</v>
      </c>
      <c r="B247" s="41" t="s">
        <v>525</v>
      </c>
      <c r="C247" s="41" t="s">
        <v>600</v>
      </c>
      <c r="D247" s="41" t="s">
        <v>522</v>
      </c>
      <c r="E247" s="41" t="s">
        <v>595</v>
      </c>
      <c r="F247" s="42"/>
      <c r="G247" s="42"/>
      <c r="H247" s="42"/>
      <c r="I247" s="41" t="s">
        <v>704</v>
      </c>
      <c r="J247" s="41">
        <v>400.0</v>
      </c>
      <c r="K247" s="43" t="str">
        <f t="shared" si="1"/>
        <v>Requires Attunement, Utility Gear, Rings, Enspelled, 2</v>
      </c>
      <c r="L247" s="43" t="str">
        <f t="shared" si="2"/>
        <v>Requires Attunement</v>
      </c>
      <c r="M247" s="44"/>
      <c r="N247" s="44" t="s">
        <v>47</v>
      </c>
      <c r="O247" s="42"/>
      <c r="P247" s="42"/>
      <c r="Q247" s="42"/>
      <c r="S247" s="46" t="s">
        <v>36</v>
      </c>
      <c r="T247" s="44" t="s">
        <v>611</v>
      </c>
      <c r="U247" s="42"/>
      <c r="V247" s="42"/>
      <c r="W247" s="42"/>
      <c r="X247" s="42"/>
      <c r="Y247" s="42"/>
      <c r="Z247" s="42"/>
      <c r="AA247" s="42"/>
      <c r="AB247" s="42"/>
      <c r="AC247" s="42"/>
      <c r="AD247" s="42"/>
      <c r="AE247" s="42"/>
      <c r="AF247" s="42"/>
      <c r="AG247" s="42"/>
      <c r="AH247" s="42"/>
      <c r="AI247" s="42">
        <f t="shared" si="3"/>
        <v>2</v>
      </c>
      <c r="AJ247" s="42"/>
      <c r="AK247" s="42"/>
    </row>
    <row r="248">
      <c r="A248" s="41" t="s">
        <v>705</v>
      </c>
      <c r="B248" s="41" t="s">
        <v>525</v>
      </c>
      <c r="C248" s="41" t="s">
        <v>600</v>
      </c>
      <c r="D248" s="41" t="s">
        <v>569</v>
      </c>
      <c r="E248" s="42"/>
      <c r="F248" s="42"/>
      <c r="G248" s="42"/>
      <c r="H248" s="42"/>
      <c r="I248" s="41" t="s">
        <v>706</v>
      </c>
      <c r="J248" s="41">
        <v>400.0</v>
      </c>
      <c r="K248" s="43" t="str">
        <f t="shared" si="1"/>
        <v>No Attunement Required, Effect, Wand, Enspelled, 2</v>
      </c>
      <c r="L248" s="43" t="str">
        <f t="shared" si="2"/>
        <v>No Attunement Required</v>
      </c>
      <c r="M248" s="41" t="s">
        <v>33</v>
      </c>
      <c r="N248" s="42"/>
      <c r="O248" s="42"/>
      <c r="P248" s="42"/>
      <c r="Q248" s="42"/>
      <c r="R248" s="44"/>
      <c r="S248" s="41" t="s">
        <v>569</v>
      </c>
      <c r="T248" s="44" t="s">
        <v>611</v>
      </c>
      <c r="U248" s="42"/>
      <c r="V248" s="42"/>
      <c r="W248" s="42"/>
      <c r="X248" s="42"/>
      <c r="Y248" s="42"/>
      <c r="Z248" s="42"/>
      <c r="AA248" s="42"/>
      <c r="AB248" s="42"/>
      <c r="AC248" s="42"/>
      <c r="AD248" s="42"/>
      <c r="AE248" s="42"/>
      <c r="AF248" s="42"/>
      <c r="AG248" s="42"/>
      <c r="AH248" s="42"/>
      <c r="AI248" s="42">
        <f t="shared" si="3"/>
        <v>2</v>
      </c>
      <c r="AJ248" s="42"/>
      <c r="AK248" s="42"/>
    </row>
    <row r="249">
      <c r="A249" s="41" t="s">
        <v>707</v>
      </c>
      <c r="B249" s="41" t="s">
        <v>525</v>
      </c>
      <c r="C249" s="41" t="s">
        <v>653</v>
      </c>
      <c r="D249" s="41" t="s">
        <v>556</v>
      </c>
      <c r="E249" s="42"/>
      <c r="F249" s="42"/>
      <c r="G249" s="42"/>
      <c r="H249" s="42"/>
      <c r="I249" s="41" t="s">
        <v>708</v>
      </c>
      <c r="J249" s="41">
        <v>400.0</v>
      </c>
      <c r="K249" s="43" t="str">
        <f t="shared" si="1"/>
        <v>No Attunement Required, Potions, 3</v>
      </c>
      <c r="L249" s="43" t="str">
        <f t="shared" si="2"/>
        <v>No Attunement Required</v>
      </c>
      <c r="M249" s="42"/>
      <c r="N249" s="42"/>
      <c r="O249" s="42"/>
      <c r="P249" s="42"/>
      <c r="Q249" s="42"/>
      <c r="S249" s="41" t="s">
        <v>57</v>
      </c>
      <c r="T249" s="41"/>
      <c r="U249" s="42"/>
      <c r="V249" s="42"/>
      <c r="W249" s="42"/>
      <c r="X249" s="42"/>
      <c r="Y249" s="42"/>
      <c r="Z249" s="42"/>
      <c r="AA249" s="42"/>
      <c r="AB249" s="42"/>
      <c r="AC249" s="42"/>
      <c r="AD249" s="42"/>
      <c r="AE249" s="42"/>
      <c r="AF249" s="42"/>
      <c r="AG249" s="42"/>
      <c r="AH249" s="42"/>
      <c r="AI249" s="42">
        <f t="shared" si="3"/>
        <v>3</v>
      </c>
      <c r="AJ249" s="42"/>
      <c r="AK249" s="42"/>
    </row>
    <row r="250">
      <c r="A250" s="41" t="s">
        <v>709</v>
      </c>
      <c r="B250" s="41" t="s">
        <v>525</v>
      </c>
      <c r="C250" s="41" t="s">
        <v>600</v>
      </c>
      <c r="D250" s="41" t="s">
        <v>529</v>
      </c>
      <c r="E250" s="42"/>
      <c r="F250" s="42"/>
      <c r="G250" s="42"/>
      <c r="H250" s="42"/>
      <c r="I250" s="41" t="s">
        <v>710</v>
      </c>
      <c r="J250" s="41">
        <v>450.0</v>
      </c>
      <c r="K250" s="43" t="str">
        <f t="shared" si="1"/>
        <v>No Attunement Required, Utility Gear, Consumable Misc, 2</v>
      </c>
      <c r="L250" s="43" t="str">
        <f t="shared" si="2"/>
        <v>No Attunement Required</v>
      </c>
      <c r="M250" s="44"/>
      <c r="N250" s="44" t="s">
        <v>47</v>
      </c>
      <c r="O250" s="44"/>
      <c r="P250" s="44"/>
      <c r="Q250" s="44"/>
      <c r="S250" s="44" t="s">
        <v>59</v>
      </c>
      <c r="T250" s="44"/>
      <c r="U250" s="42"/>
      <c r="V250" s="42"/>
      <c r="W250" s="42"/>
      <c r="X250" s="42"/>
      <c r="Y250" s="42"/>
      <c r="Z250" s="42"/>
      <c r="AA250" s="42"/>
      <c r="AB250" s="42"/>
      <c r="AC250" s="42"/>
      <c r="AD250" s="42"/>
      <c r="AE250" s="42"/>
      <c r="AF250" s="42"/>
      <c r="AG250" s="42"/>
      <c r="AH250" s="42"/>
      <c r="AI250" s="42">
        <f t="shared" si="3"/>
        <v>2</v>
      </c>
      <c r="AJ250" s="42"/>
      <c r="AK250" s="42"/>
    </row>
    <row r="251">
      <c r="A251" s="41" t="s">
        <v>711</v>
      </c>
      <c r="B251" s="41" t="s">
        <v>525</v>
      </c>
      <c r="C251" s="41" t="s">
        <v>600</v>
      </c>
      <c r="D251" s="41" t="s">
        <v>529</v>
      </c>
      <c r="E251" s="42"/>
      <c r="F251" s="42"/>
      <c r="G251" s="42"/>
      <c r="H251" s="42"/>
      <c r="I251" s="41" t="s">
        <v>712</v>
      </c>
      <c r="J251" s="41">
        <v>450.0</v>
      </c>
      <c r="K251" s="43" t="str">
        <f t="shared" si="1"/>
        <v>No Attunement Required, Utility Gear, Grants Advantage, 2</v>
      </c>
      <c r="L251" s="43" t="str">
        <f t="shared" si="2"/>
        <v>No Attunement Required</v>
      </c>
      <c r="M251" s="44"/>
      <c r="N251" s="44" t="s">
        <v>47</v>
      </c>
      <c r="O251" s="42"/>
      <c r="P251" s="42"/>
      <c r="Q251" s="42"/>
      <c r="R251" s="42"/>
      <c r="S251" s="42"/>
      <c r="T251" s="42"/>
      <c r="U251" s="44" t="s">
        <v>42</v>
      </c>
      <c r="V251" s="42"/>
      <c r="W251" s="42"/>
      <c r="X251" s="42"/>
      <c r="Y251" s="42"/>
      <c r="Z251" s="42"/>
      <c r="AA251" s="42"/>
      <c r="AB251" s="42"/>
      <c r="AC251" s="42"/>
      <c r="AD251" s="42"/>
      <c r="AE251" s="42"/>
      <c r="AF251" s="42"/>
      <c r="AG251" s="42"/>
      <c r="AH251" s="42"/>
      <c r="AI251" s="42">
        <f t="shared" si="3"/>
        <v>2</v>
      </c>
      <c r="AJ251" s="42"/>
      <c r="AK251" s="42"/>
    </row>
    <row r="252">
      <c r="A252" s="41" t="s">
        <v>713</v>
      </c>
      <c r="B252" s="41" t="s">
        <v>680</v>
      </c>
      <c r="C252" s="41" t="s">
        <v>600</v>
      </c>
      <c r="D252" s="41" t="s">
        <v>591</v>
      </c>
      <c r="E252" s="41" t="s">
        <v>714</v>
      </c>
      <c r="F252" s="42"/>
      <c r="G252" s="42"/>
      <c r="H252" s="42"/>
      <c r="I252" s="41" t="s">
        <v>715</v>
      </c>
      <c r="J252" s="41">
        <v>450.0</v>
      </c>
      <c r="K252" s="43" t="str">
        <f t="shared" si="1"/>
        <v>Requires Attunement, Effect, Bard, Spellcasting Focus, 2</v>
      </c>
      <c r="L252" s="43" t="str">
        <f t="shared" si="2"/>
        <v>Requires Attunement</v>
      </c>
      <c r="M252" s="41" t="s">
        <v>33</v>
      </c>
      <c r="N252" s="41" t="s">
        <v>66</v>
      </c>
      <c r="O252" s="42"/>
      <c r="P252" s="41"/>
      <c r="Q252" s="41"/>
      <c r="R252" s="42"/>
      <c r="S252" s="42"/>
      <c r="T252" s="42"/>
      <c r="U252" s="42"/>
      <c r="V252" s="42"/>
      <c r="W252" s="42"/>
      <c r="X252" s="41" t="s">
        <v>24</v>
      </c>
      <c r="Y252" s="42"/>
      <c r="Z252" s="42"/>
      <c r="AA252" s="42"/>
      <c r="AB252" s="42"/>
      <c r="AC252" s="44"/>
      <c r="AD252" s="42"/>
      <c r="AE252" s="42"/>
      <c r="AF252" s="42"/>
      <c r="AG252" s="42"/>
      <c r="AH252" s="42"/>
      <c r="AI252" s="42">
        <f t="shared" si="3"/>
        <v>2</v>
      </c>
      <c r="AJ252" s="42"/>
      <c r="AK252" s="42"/>
    </row>
    <row r="253">
      <c r="A253" s="41" t="s">
        <v>716</v>
      </c>
      <c r="B253" s="41" t="s">
        <v>525</v>
      </c>
      <c r="C253" s="41" t="s">
        <v>653</v>
      </c>
      <c r="D253" s="41" t="s">
        <v>556</v>
      </c>
      <c r="E253" s="42"/>
      <c r="F253" s="42"/>
      <c r="G253" s="42"/>
      <c r="H253" s="42"/>
      <c r="I253" s="41" t="s">
        <v>717</v>
      </c>
      <c r="J253" s="41">
        <v>450.0</v>
      </c>
      <c r="K253" s="43" t="str">
        <f t="shared" si="1"/>
        <v>No Attunement Required, Potions, 3</v>
      </c>
      <c r="L253" s="43" t="str">
        <f t="shared" si="2"/>
        <v>No Attunement Required</v>
      </c>
      <c r="M253" s="42"/>
      <c r="N253" s="42"/>
      <c r="O253" s="42"/>
      <c r="P253" s="42"/>
      <c r="Q253" s="42"/>
      <c r="S253" s="41" t="s">
        <v>57</v>
      </c>
      <c r="T253" s="41"/>
      <c r="U253" s="42"/>
      <c r="V253" s="42"/>
      <c r="W253" s="42"/>
      <c r="X253" s="42"/>
      <c r="Y253" s="42"/>
      <c r="Z253" s="42"/>
      <c r="AA253" s="42"/>
      <c r="AB253" s="42"/>
      <c r="AC253" s="42"/>
      <c r="AD253" s="42"/>
      <c r="AE253" s="42"/>
      <c r="AF253" s="42"/>
      <c r="AG253" s="42"/>
      <c r="AH253" s="42"/>
      <c r="AI253" s="42">
        <f t="shared" si="3"/>
        <v>3</v>
      </c>
      <c r="AJ253" s="42"/>
      <c r="AK253" s="42"/>
    </row>
    <row r="254">
      <c r="A254" s="41" t="s">
        <v>718</v>
      </c>
      <c r="B254" s="41" t="s">
        <v>525</v>
      </c>
      <c r="C254" s="41" t="s">
        <v>600</v>
      </c>
      <c r="D254" s="41" t="s">
        <v>529</v>
      </c>
      <c r="E254" s="41" t="s">
        <v>595</v>
      </c>
      <c r="F254" s="42"/>
      <c r="G254" s="42"/>
      <c r="H254" s="42"/>
      <c r="I254" s="41" t="s">
        <v>719</v>
      </c>
      <c r="J254" s="41">
        <v>500.0</v>
      </c>
      <c r="K254" s="43" t="str">
        <f t="shared" si="1"/>
        <v>Requires Attunement, Utility Gear, 2</v>
      </c>
      <c r="L254" s="43" t="str">
        <f t="shared" si="2"/>
        <v>Requires Attunement</v>
      </c>
      <c r="M254" s="44"/>
      <c r="N254" s="44" t="s">
        <v>47</v>
      </c>
      <c r="O254" s="42"/>
      <c r="P254" s="42"/>
      <c r="Q254" s="42"/>
      <c r="R254" s="42"/>
      <c r="S254" s="42"/>
      <c r="T254" s="42"/>
      <c r="U254" s="42"/>
      <c r="V254" s="42"/>
      <c r="W254" s="42"/>
      <c r="X254" s="42"/>
      <c r="Y254" s="42"/>
      <c r="Z254" s="42"/>
      <c r="AA254" s="42"/>
      <c r="AB254" s="42"/>
      <c r="AC254" s="42"/>
      <c r="AD254" s="42"/>
      <c r="AE254" s="42"/>
      <c r="AF254" s="42"/>
      <c r="AG254" s="42"/>
      <c r="AH254" s="42"/>
      <c r="AI254" s="42">
        <f t="shared" si="3"/>
        <v>2</v>
      </c>
      <c r="AJ254" s="42"/>
      <c r="AK254" s="42"/>
    </row>
    <row r="255">
      <c r="A255" s="41" t="s">
        <v>720</v>
      </c>
      <c r="B255" s="41" t="s">
        <v>525</v>
      </c>
      <c r="C255" s="41" t="s">
        <v>600</v>
      </c>
      <c r="D255" s="41" t="s">
        <v>529</v>
      </c>
      <c r="E255" s="42"/>
      <c r="F255" s="42"/>
      <c r="G255" s="42"/>
      <c r="H255" s="42"/>
      <c r="I255" s="41" t="s">
        <v>721</v>
      </c>
      <c r="J255" s="41">
        <v>500.0</v>
      </c>
      <c r="K255" s="43" t="str">
        <f t="shared" si="1"/>
        <v>No Attunement Required, Utility Gear, 2</v>
      </c>
      <c r="L255" s="43" t="str">
        <f t="shared" si="2"/>
        <v>No Attunement Required</v>
      </c>
      <c r="M255" s="44"/>
      <c r="N255" s="44" t="s">
        <v>47</v>
      </c>
      <c r="O255" s="42"/>
      <c r="P255" s="42"/>
      <c r="Q255" s="42"/>
      <c r="R255" s="42"/>
      <c r="S255" s="42"/>
      <c r="T255" s="42"/>
      <c r="U255" s="42"/>
      <c r="V255" s="42"/>
      <c r="W255" s="42"/>
      <c r="X255" s="42"/>
      <c r="Y255" s="42"/>
      <c r="Z255" s="42"/>
      <c r="AA255" s="42"/>
      <c r="AB255" s="42"/>
      <c r="AC255" s="42"/>
      <c r="AD255" s="42"/>
      <c r="AE255" s="42"/>
      <c r="AF255" s="42"/>
      <c r="AG255" s="42"/>
      <c r="AH255" s="42"/>
      <c r="AI255" s="42">
        <f t="shared" si="3"/>
        <v>2</v>
      </c>
      <c r="AJ255" s="42"/>
      <c r="AK255" s="42"/>
    </row>
    <row r="256">
      <c r="A256" s="41" t="s">
        <v>722</v>
      </c>
      <c r="B256" s="41" t="s">
        <v>525</v>
      </c>
      <c r="C256" s="41" t="s">
        <v>600</v>
      </c>
      <c r="D256" s="41" t="s">
        <v>529</v>
      </c>
      <c r="E256" s="42"/>
      <c r="F256" s="42"/>
      <c r="G256" s="42"/>
      <c r="H256" s="42"/>
      <c r="I256" s="41" t="s">
        <v>723</v>
      </c>
      <c r="J256" s="41">
        <v>500.0</v>
      </c>
      <c r="K256" s="43" t="str">
        <f t="shared" si="1"/>
        <v>No Attunement Required, Utility Gear, Enspelled, 2</v>
      </c>
      <c r="L256" s="43" t="str">
        <f t="shared" si="2"/>
        <v>No Attunement Required</v>
      </c>
      <c r="M256" s="44"/>
      <c r="N256" s="44" t="s">
        <v>47</v>
      </c>
      <c r="O256" s="42"/>
      <c r="P256" s="42"/>
      <c r="Q256" s="42"/>
      <c r="R256" s="44"/>
      <c r="S256" s="42"/>
      <c r="T256" s="44" t="s">
        <v>611</v>
      </c>
      <c r="U256" s="42"/>
      <c r="V256" s="42"/>
      <c r="W256" s="42"/>
      <c r="X256" s="42"/>
      <c r="Y256" s="42"/>
      <c r="Z256" s="42"/>
      <c r="AA256" s="42"/>
      <c r="AB256" s="42"/>
      <c r="AC256" s="42"/>
      <c r="AD256" s="42"/>
      <c r="AE256" s="42"/>
      <c r="AF256" s="42"/>
      <c r="AG256" s="42"/>
      <c r="AH256" s="42"/>
      <c r="AI256" s="42">
        <f t="shared" si="3"/>
        <v>2</v>
      </c>
      <c r="AJ256" s="42"/>
      <c r="AK256" s="42"/>
    </row>
    <row r="257">
      <c r="A257" s="41" t="s">
        <v>724</v>
      </c>
      <c r="B257" s="41" t="s">
        <v>525</v>
      </c>
      <c r="C257" s="41" t="s">
        <v>600</v>
      </c>
      <c r="D257" s="41" t="s">
        <v>725</v>
      </c>
      <c r="E257" s="42"/>
      <c r="F257" s="42"/>
      <c r="G257" s="42"/>
      <c r="H257" s="42"/>
      <c r="I257" s="41" t="s">
        <v>726</v>
      </c>
      <c r="J257" s="41">
        <v>500.0</v>
      </c>
      <c r="K257" s="43" t="str">
        <f t="shared" si="1"/>
        <v>No Attunement Required, Rod, 2</v>
      </c>
      <c r="L257" s="43" t="str">
        <f t="shared" si="2"/>
        <v>No Attunement Required</v>
      </c>
      <c r="M257" s="42"/>
      <c r="N257" s="42"/>
      <c r="O257" s="42"/>
      <c r="P257" s="42"/>
      <c r="Q257" s="42"/>
      <c r="R257" s="42"/>
      <c r="S257" s="44" t="s">
        <v>725</v>
      </c>
      <c r="T257" s="44"/>
      <c r="U257" s="42"/>
      <c r="V257" s="42"/>
      <c r="W257" s="42"/>
      <c r="X257" s="42"/>
      <c r="Y257" s="42"/>
      <c r="Z257" s="42"/>
      <c r="AA257" s="42"/>
      <c r="AB257" s="42"/>
      <c r="AC257" s="42"/>
      <c r="AD257" s="42"/>
      <c r="AE257" s="42"/>
      <c r="AF257" s="42"/>
      <c r="AG257" s="42"/>
      <c r="AH257" s="42"/>
      <c r="AI257" s="42">
        <f t="shared" si="3"/>
        <v>2</v>
      </c>
      <c r="AJ257" s="42"/>
      <c r="AK257" s="42"/>
    </row>
    <row r="258">
      <c r="A258" s="41" t="s">
        <v>727</v>
      </c>
      <c r="B258" s="41" t="s">
        <v>525</v>
      </c>
      <c r="C258" s="41" t="s">
        <v>112</v>
      </c>
      <c r="D258" s="41" t="s">
        <v>656</v>
      </c>
      <c r="E258" s="42"/>
      <c r="F258" s="42"/>
      <c r="G258" s="42"/>
      <c r="H258" s="42"/>
      <c r="I258" s="41" t="s">
        <v>728</v>
      </c>
      <c r="J258" s="41">
        <v>550.0</v>
      </c>
      <c r="K258" s="43" t="str">
        <f t="shared" si="1"/>
        <v>No Attunement Required, Poisons, 0</v>
      </c>
      <c r="L258" s="43" t="str">
        <f t="shared" si="2"/>
        <v>No Attunement Required</v>
      </c>
      <c r="M258" s="42"/>
      <c r="N258" s="42"/>
      <c r="O258" s="42"/>
      <c r="P258" s="42"/>
      <c r="Q258" s="42"/>
      <c r="R258" s="44"/>
      <c r="S258" s="42"/>
      <c r="T258" s="42"/>
      <c r="U258" s="42"/>
      <c r="V258" s="42"/>
      <c r="W258" s="42"/>
      <c r="X258" s="42"/>
      <c r="Y258" s="42"/>
      <c r="Z258" s="42"/>
      <c r="AA258" s="42"/>
      <c r="AB258" s="42"/>
      <c r="AC258" s="42"/>
      <c r="AD258" s="44" t="s">
        <v>58</v>
      </c>
      <c r="AE258" s="42"/>
      <c r="AF258" s="42"/>
      <c r="AG258" s="42"/>
      <c r="AH258" s="42"/>
      <c r="AI258" s="42">
        <f t="shared" si="3"/>
        <v>0</v>
      </c>
      <c r="AJ258" s="42"/>
      <c r="AK258" s="42"/>
    </row>
    <row r="259">
      <c r="A259" s="41" t="s">
        <v>729</v>
      </c>
      <c r="B259" s="41" t="s">
        <v>730</v>
      </c>
      <c r="C259" s="41" t="s">
        <v>600</v>
      </c>
      <c r="D259" s="41" t="s">
        <v>529</v>
      </c>
      <c r="E259" s="42"/>
      <c r="F259" s="42"/>
      <c r="G259" s="42"/>
      <c r="H259" s="42"/>
      <c r="I259" s="41" t="s">
        <v>731</v>
      </c>
      <c r="J259" s="41">
        <v>550.0</v>
      </c>
      <c r="K259" s="43" t="str">
        <f t="shared" si="1"/>
        <v>No Attunement Required, 2</v>
      </c>
      <c r="L259" s="43" t="str">
        <f t="shared" si="2"/>
        <v>No Attunement Required</v>
      </c>
      <c r="M259" s="42"/>
      <c r="N259" s="42"/>
      <c r="O259" s="42"/>
      <c r="P259" s="42"/>
      <c r="Q259" s="42"/>
      <c r="R259" s="41"/>
      <c r="S259" s="42"/>
      <c r="T259" s="42"/>
      <c r="U259" s="42"/>
      <c r="V259" s="42"/>
      <c r="W259" s="42"/>
      <c r="X259" s="42"/>
      <c r="Y259" s="42"/>
      <c r="Z259" s="42"/>
      <c r="AA259" s="42"/>
      <c r="AB259" s="42"/>
      <c r="AC259" s="42"/>
      <c r="AD259" s="42"/>
      <c r="AE259" s="42"/>
      <c r="AF259" s="42"/>
      <c r="AG259" s="42"/>
      <c r="AH259" s="42"/>
      <c r="AI259" s="42">
        <f t="shared" si="3"/>
        <v>2</v>
      </c>
      <c r="AJ259" s="42"/>
      <c r="AK259" s="42"/>
    </row>
    <row r="260">
      <c r="A260" s="41" t="s">
        <v>732</v>
      </c>
      <c r="B260" s="41" t="s">
        <v>733</v>
      </c>
      <c r="C260" s="41" t="s">
        <v>600</v>
      </c>
      <c r="D260" s="41" t="s">
        <v>529</v>
      </c>
      <c r="E260" s="41" t="s">
        <v>595</v>
      </c>
      <c r="F260" s="42"/>
      <c r="G260" s="42"/>
      <c r="H260" s="42"/>
      <c r="I260" s="41" t="s">
        <v>734</v>
      </c>
      <c r="J260" s="41">
        <v>550.0</v>
      </c>
      <c r="K260" s="43" t="str">
        <f t="shared" si="1"/>
        <v>Requires Attunement, Utility Gear, 2</v>
      </c>
      <c r="L260" s="43" t="str">
        <f t="shared" si="2"/>
        <v>Requires Attunement</v>
      </c>
      <c r="M260" s="44"/>
      <c r="N260" s="44" t="s">
        <v>47</v>
      </c>
      <c r="O260" s="42"/>
      <c r="P260" s="42"/>
      <c r="Q260" s="42"/>
      <c r="R260" s="42"/>
      <c r="S260" s="42"/>
      <c r="T260" s="42"/>
      <c r="U260" s="42"/>
      <c r="V260" s="42"/>
      <c r="W260" s="42"/>
      <c r="X260" s="42"/>
      <c r="Y260" s="42"/>
      <c r="Z260" s="42"/>
      <c r="AA260" s="42"/>
      <c r="AB260" s="42"/>
      <c r="AC260" s="42"/>
      <c r="AD260" s="42"/>
      <c r="AE260" s="42"/>
      <c r="AF260" s="42"/>
      <c r="AG260" s="42"/>
      <c r="AH260" s="42"/>
      <c r="AI260" s="42">
        <f t="shared" si="3"/>
        <v>2</v>
      </c>
      <c r="AJ260" s="42"/>
      <c r="AK260" s="42"/>
    </row>
    <row r="261">
      <c r="A261" s="41" t="s">
        <v>735</v>
      </c>
      <c r="B261" s="41" t="s">
        <v>625</v>
      </c>
      <c r="C261" s="41" t="s">
        <v>600</v>
      </c>
      <c r="D261" s="41" t="s">
        <v>529</v>
      </c>
      <c r="E261" s="42"/>
      <c r="F261" s="42"/>
      <c r="G261" s="42"/>
      <c r="H261" s="42"/>
      <c r="I261" s="41" t="s">
        <v>736</v>
      </c>
      <c r="J261" s="41">
        <v>550.0</v>
      </c>
      <c r="K261" s="43" t="str">
        <f t="shared" si="1"/>
        <v>No Attunement Required, Enspelled, Ranged Weapons, 2</v>
      </c>
      <c r="L261" s="43" t="str">
        <f t="shared" si="2"/>
        <v>No Attunement Required</v>
      </c>
      <c r="O261" s="42"/>
      <c r="P261" s="44"/>
      <c r="Q261" s="42"/>
      <c r="R261" s="44"/>
      <c r="S261" s="42"/>
      <c r="T261" s="44" t="s">
        <v>611</v>
      </c>
      <c r="U261" s="42"/>
      <c r="V261" s="42"/>
      <c r="W261" s="42"/>
      <c r="X261" s="42"/>
      <c r="Y261" s="42"/>
      <c r="Z261" s="42"/>
      <c r="AA261" s="42"/>
      <c r="AB261" s="42"/>
      <c r="AC261" s="42"/>
      <c r="AD261" s="42"/>
      <c r="AE261" s="44" t="s">
        <v>106</v>
      </c>
      <c r="AF261" s="42"/>
      <c r="AG261" s="42"/>
      <c r="AH261" s="42"/>
      <c r="AI261" s="42">
        <f t="shared" si="3"/>
        <v>2</v>
      </c>
      <c r="AJ261" s="42"/>
      <c r="AK261" s="42"/>
    </row>
    <row r="262">
      <c r="A262" s="41" t="s">
        <v>737</v>
      </c>
      <c r="B262" s="41" t="s">
        <v>738</v>
      </c>
      <c r="C262" s="41" t="s">
        <v>600</v>
      </c>
      <c r="D262" s="41" t="s">
        <v>529</v>
      </c>
      <c r="E262" s="42"/>
      <c r="F262" s="42"/>
      <c r="G262" s="42"/>
      <c r="H262" s="42"/>
      <c r="I262" s="41" t="s">
        <v>739</v>
      </c>
      <c r="J262" s="41">
        <v>550.0</v>
      </c>
      <c r="K262" s="43" t="str">
        <f t="shared" si="1"/>
        <v>No Attunement Required, Utility Gear, Utility Weapon, Consumable Misc, 2</v>
      </c>
      <c r="L262" s="43" t="str">
        <f t="shared" si="2"/>
        <v>No Attunement Required</v>
      </c>
      <c r="M262" s="44"/>
      <c r="N262" s="44" t="s">
        <v>47</v>
      </c>
      <c r="O262" s="44"/>
      <c r="P262" s="44"/>
      <c r="Q262" s="44" t="s">
        <v>54</v>
      </c>
      <c r="S262" s="44" t="s">
        <v>59</v>
      </c>
      <c r="T262" s="44"/>
      <c r="U262" s="42"/>
      <c r="V262" s="42"/>
      <c r="W262" s="42"/>
      <c r="X262" s="44"/>
      <c r="Y262" s="42"/>
      <c r="Z262" s="42"/>
      <c r="AA262" s="42"/>
      <c r="AB262" s="42"/>
      <c r="AC262" s="42"/>
      <c r="AD262" s="42"/>
      <c r="AE262" s="42"/>
      <c r="AF262" s="42"/>
      <c r="AG262" s="42"/>
      <c r="AH262" s="42"/>
      <c r="AI262" s="42">
        <f t="shared" si="3"/>
        <v>2</v>
      </c>
      <c r="AJ262" s="42"/>
      <c r="AK262" s="42"/>
    </row>
    <row r="263">
      <c r="A263" s="41" t="s">
        <v>740</v>
      </c>
      <c r="B263" s="41" t="s">
        <v>525</v>
      </c>
      <c r="C263" s="41" t="s">
        <v>600</v>
      </c>
      <c r="D263" s="41" t="s">
        <v>529</v>
      </c>
      <c r="E263" s="41" t="s">
        <v>595</v>
      </c>
      <c r="F263" s="42"/>
      <c r="G263" s="42"/>
      <c r="H263" s="42"/>
      <c r="I263" s="41" t="s">
        <v>741</v>
      </c>
      <c r="J263" s="41">
        <v>550.0</v>
      </c>
      <c r="K263" s="43" t="str">
        <f t="shared" si="1"/>
        <v>Requires Attunement, 2</v>
      </c>
      <c r="L263" s="43" t="str">
        <f t="shared" si="2"/>
        <v>Requires Attunement</v>
      </c>
      <c r="M263" s="42"/>
      <c r="N263" s="42"/>
      <c r="O263" s="42"/>
      <c r="P263" s="42"/>
      <c r="Q263" s="42"/>
      <c r="R263" s="42"/>
      <c r="S263" s="41"/>
      <c r="T263" s="41"/>
      <c r="U263" s="42"/>
      <c r="V263" s="42"/>
      <c r="W263" s="42"/>
      <c r="X263" s="42"/>
      <c r="Y263" s="42"/>
      <c r="Z263" s="42"/>
      <c r="AA263" s="42"/>
      <c r="AB263" s="42"/>
      <c r="AC263" s="42"/>
      <c r="AD263" s="42"/>
      <c r="AE263" s="42"/>
      <c r="AF263" s="42"/>
      <c r="AG263" s="42"/>
      <c r="AH263" s="42"/>
      <c r="AI263" s="42">
        <f t="shared" si="3"/>
        <v>2</v>
      </c>
      <c r="AJ263" s="42"/>
      <c r="AK263" s="42"/>
    </row>
    <row r="264">
      <c r="A264" s="41" t="s">
        <v>742</v>
      </c>
      <c r="B264" s="41" t="s">
        <v>680</v>
      </c>
      <c r="C264" s="41" t="s">
        <v>600</v>
      </c>
      <c r="D264" s="41" t="s">
        <v>529</v>
      </c>
      <c r="E264" s="41" t="s">
        <v>743</v>
      </c>
      <c r="F264" s="42"/>
      <c r="G264" s="42"/>
      <c r="H264" s="42"/>
      <c r="I264" s="41" t="s">
        <v>744</v>
      </c>
      <c r="J264" s="41">
        <v>550.0</v>
      </c>
      <c r="K264" s="43" t="str">
        <f t="shared" si="1"/>
        <v>Requires Attunement, Cleric, Paladin, 2</v>
      </c>
      <c r="L264" s="43" t="str">
        <f t="shared" si="2"/>
        <v>Requires Attunement</v>
      </c>
      <c r="M264" s="41"/>
      <c r="N264" s="41" t="s">
        <v>745</v>
      </c>
      <c r="O264" s="42"/>
      <c r="P264" s="41"/>
      <c r="Q264" s="41"/>
      <c r="R264" s="42"/>
      <c r="S264" s="42"/>
      <c r="T264" s="42"/>
      <c r="U264" s="42"/>
      <c r="V264" s="42"/>
      <c r="W264" s="42"/>
      <c r="X264" s="42"/>
      <c r="Y264" s="42"/>
      <c r="Z264" s="42"/>
      <c r="AA264" s="42"/>
      <c r="AB264" s="42"/>
      <c r="AC264" s="42"/>
      <c r="AD264" s="42"/>
      <c r="AE264" s="42"/>
      <c r="AF264" s="42"/>
      <c r="AG264" s="42"/>
      <c r="AH264" s="42"/>
      <c r="AI264" s="42">
        <f t="shared" si="3"/>
        <v>2</v>
      </c>
      <c r="AJ264" s="42"/>
      <c r="AK264" s="42"/>
    </row>
    <row r="265">
      <c r="A265" s="41" t="s">
        <v>746</v>
      </c>
      <c r="B265" s="41" t="s">
        <v>730</v>
      </c>
      <c r="C265" s="41" t="s">
        <v>600</v>
      </c>
      <c r="D265" s="41" t="s">
        <v>529</v>
      </c>
      <c r="E265" s="41" t="s">
        <v>595</v>
      </c>
      <c r="F265" s="42"/>
      <c r="G265" s="42"/>
      <c r="H265" s="42"/>
      <c r="I265" s="41" t="s">
        <v>747</v>
      </c>
      <c r="J265" s="41">
        <v>550.0</v>
      </c>
      <c r="K265" s="43" t="str">
        <f t="shared" si="1"/>
        <v>Requires Attunement, 2</v>
      </c>
      <c r="L265" s="43" t="str">
        <f t="shared" si="2"/>
        <v>Requires Attunement</v>
      </c>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f t="shared" si="3"/>
        <v>2</v>
      </c>
      <c r="AJ265" s="42"/>
      <c r="AK265" s="42"/>
    </row>
    <row r="266">
      <c r="A266" s="41" t="s">
        <v>748</v>
      </c>
      <c r="B266" s="41" t="s">
        <v>525</v>
      </c>
      <c r="C266" s="41" t="s">
        <v>600</v>
      </c>
      <c r="D266" s="41" t="s">
        <v>331</v>
      </c>
      <c r="E266" s="42"/>
      <c r="F266" s="41" t="s">
        <v>391</v>
      </c>
      <c r="G266" s="41" t="s">
        <v>749</v>
      </c>
      <c r="H266" s="41" t="s">
        <v>334</v>
      </c>
      <c r="I266" s="41" t="s">
        <v>750</v>
      </c>
      <c r="J266" s="41">
        <v>550.0</v>
      </c>
      <c r="K266" s="43" t="str">
        <f t="shared" si="1"/>
        <v>No Attunement Required, Light Armor, Simple Weapon, Melee Weapons, 2</v>
      </c>
      <c r="L266" s="43" t="str">
        <f t="shared" si="2"/>
        <v>No Attunement Required</v>
      </c>
      <c r="M266" s="42"/>
      <c r="N266" s="42"/>
      <c r="O266" s="41" t="s">
        <v>14</v>
      </c>
      <c r="P266" s="44" t="s">
        <v>336</v>
      </c>
      <c r="Q266" s="41"/>
      <c r="S266" s="42"/>
      <c r="T266" s="42"/>
      <c r="U266" s="42"/>
      <c r="V266" s="42"/>
      <c r="W266" s="42"/>
      <c r="X266" s="42"/>
      <c r="Y266" s="42"/>
      <c r="Z266" s="42"/>
      <c r="AA266" s="42"/>
      <c r="AB266" s="42"/>
      <c r="AC266" s="42"/>
      <c r="AD266" s="42"/>
      <c r="AE266" s="42"/>
      <c r="AF266" s="41" t="s">
        <v>107</v>
      </c>
      <c r="AG266" s="42"/>
      <c r="AH266" s="42"/>
      <c r="AI266" s="42">
        <f t="shared" si="3"/>
        <v>2</v>
      </c>
      <c r="AJ266" s="42"/>
      <c r="AK266" s="42"/>
    </row>
    <row r="267">
      <c r="A267" s="41" t="s">
        <v>751</v>
      </c>
      <c r="B267" s="41" t="s">
        <v>680</v>
      </c>
      <c r="C267" s="41" t="s">
        <v>600</v>
      </c>
      <c r="D267" s="41" t="s">
        <v>331</v>
      </c>
      <c r="E267" s="41" t="s">
        <v>752</v>
      </c>
      <c r="F267" s="41" t="s">
        <v>485</v>
      </c>
      <c r="G267" s="41" t="s">
        <v>411</v>
      </c>
      <c r="H267" s="42"/>
      <c r="I267" s="41" t="s">
        <v>753</v>
      </c>
      <c r="J267" s="41">
        <v>550.0</v>
      </c>
      <c r="K267" s="43" t="str">
        <f t="shared" si="1"/>
        <v>Requires Attunement, Effect, Druid, Ranger, Simple Weapon, Healing, Spellcasting Focus, Melee Weapons, 2</v>
      </c>
      <c r="L267" s="43" t="str">
        <f t="shared" si="2"/>
        <v>Requires Attunement</v>
      </c>
      <c r="M267" s="41" t="s">
        <v>33</v>
      </c>
      <c r="N267" s="41" t="s">
        <v>754</v>
      </c>
      <c r="O267" s="42"/>
      <c r="P267" s="44" t="s">
        <v>336</v>
      </c>
      <c r="Q267" s="44"/>
      <c r="R267" s="46" t="s">
        <v>46</v>
      </c>
      <c r="S267" s="42"/>
      <c r="T267" s="42"/>
      <c r="U267" s="42"/>
      <c r="V267" s="42"/>
      <c r="W267" s="42"/>
      <c r="X267" s="41" t="s">
        <v>24</v>
      </c>
      <c r="Y267" s="42"/>
      <c r="Z267" s="42"/>
      <c r="AA267" s="42"/>
      <c r="AB267" s="42"/>
      <c r="AC267" s="42"/>
      <c r="AD267" s="42"/>
      <c r="AE267" s="42"/>
      <c r="AF267" s="41" t="s">
        <v>107</v>
      </c>
      <c r="AG267" s="42"/>
      <c r="AH267" s="42"/>
      <c r="AI267" s="42">
        <f t="shared" si="3"/>
        <v>2</v>
      </c>
      <c r="AJ267" s="42"/>
      <c r="AK267" s="42"/>
    </row>
    <row r="268">
      <c r="A268" s="41" t="s">
        <v>755</v>
      </c>
      <c r="B268" s="41" t="s">
        <v>525</v>
      </c>
      <c r="C268" s="41" t="s">
        <v>600</v>
      </c>
      <c r="D268" s="41" t="s">
        <v>556</v>
      </c>
      <c r="E268" s="42"/>
      <c r="F268" s="42"/>
      <c r="G268" s="42"/>
      <c r="H268" s="42"/>
      <c r="I268" s="41" t="s">
        <v>756</v>
      </c>
      <c r="J268" s="41">
        <v>550.0</v>
      </c>
      <c r="K268" s="43" t="str">
        <f t="shared" si="1"/>
        <v>No Attunement Required, Potions, 2</v>
      </c>
      <c r="L268" s="43" t="str">
        <f t="shared" si="2"/>
        <v>No Attunement Required</v>
      </c>
      <c r="M268" s="42"/>
      <c r="N268" s="42"/>
      <c r="O268" s="42"/>
      <c r="P268" s="42"/>
      <c r="Q268" s="42"/>
      <c r="S268" s="41" t="s">
        <v>57</v>
      </c>
      <c r="T268" s="41"/>
      <c r="U268" s="42"/>
      <c r="V268" s="42"/>
      <c r="W268" s="42"/>
      <c r="X268" s="42"/>
      <c r="Y268" s="42"/>
      <c r="Z268" s="42"/>
      <c r="AA268" s="42"/>
      <c r="AB268" s="42"/>
      <c r="AC268" s="42"/>
      <c r="AD268" s="42"/>
      <c r="AE268" s="42"/>
      <c r="AF268" s="42"/>
      <c r="AG268" s="42"/>
      <c r="AH268" s="42"/>
      <c r="AI268" s="42">
        <f t="shared" si="3"/>
        <v>2</v>
      </c>
      <c r="AJ268" s="42"/>
      <c r="AK268" s="42"/>
    </row>
    <row r="269">
      <c r="A269" s="41" t="s">
        <v>757</v>
      </c>
      <c r="B269" s="41" t="s">
        <v>625</v>
      </c>
      <c r="C269" s="41" t="s">
        <v>600</v>
      </c>
      <c r="D269" s="41" t="s">
        <v>522</v>
      </c>
      <c r="E269" s="42"/>
      <c r="F269" s="42"/>
      <c r="G269" s="42"/>
      <c r="H269" s="42"/>
      <c r="I269" s="41" t="s">
        <v>758</v>
      </c>
      <c r="J269" s="41">
        <v>550.0</v>
      </c>
      <c r="K269" s="43" t="str">
        <f t="shared" si="1"/>
        <v>No Attunement Required, Utility Gear, Rings, Grants Advantage, 2</v>
      </c>
      <c r="L269" s="43" t="str">
        <f t="shared" si="2"/>
        <v>No Attunement Required</v>
      </c>
      <c r="M269" s="44"/>
      <c r="N269" s="44" t="s">
        <v>47</v>
      </c>
      <c r="O269" s="42"/>
      <c r="P269" s="42"/>
      <c r="Q269" s="42"/>
      <c r="S269" s="46" t="s">
        <v>36</v>
      </c>
      <c r="T269" s="42"/>
      <c r="U269" s="44" t="s">
        <v>42</v>
      </c>
      <c r="V269" s="42"/>
      <c r="W269" s="42"/>
      <c r="X269" s="42"/>
      <c r="Y269" s="42"/>
      <c r="Z269" s="42"/>
      <c r="AA269" s="42"/>
      <c r="AB269" s="42"/>
      <c r="AC269" s="42"/>
      <c r="AD269" s="42"/>
      <c r="AE269" s="42"/>
      <c r="AF269" s="42"/>
      <c r="AG269" s="42"/>
      <c r="AH269" s="42"/>
      <c r="AI269" s="42">
        <f t="shared" si="3"/>
        <v>2</v>
      </c>
      <c r="AJ269" s="42"/>
      <c r="AK269" s="42"/>
    </row>
    <row r="270">
      <c r="A270" s="41" t="s">
        <v>759</v>
      </c>
      <c r="B270" s="41" t="s">
        <v>525</v>
      </c>
      <c r="C270" s="41" t="s">
        <v>600</v>
      </c>
      <c r="D270" s="41" t="s">
        <v>522</v>
      </c>
      <c r="E270" s="42"/>
      <c r="F270" s="42"/>
      <c r="G270" s="42"/>
      <c r="H270" s="42"/>
      <c r="I270" s="41" t="s">
        <v>760</v>
      </c>
      <c r="J270" s="41">
        <v>550.0</v>
      </c>
      <c r="K270" s="43" t="str">
        <f t="shared" si="1"/>
        <v>No Attunement Required, Utility Gear, Rings, 2</v>
      </c>
      <c r="L270" s="43" t="str">
        <f t="shared" si="2"/>
        <v>No Attunement Required</v>
      </c>
      <c r="M270" s="44"/>
      <c r="N270" s="44" t="s">
        <v>47</v>
      </c>
      <c r="O270" s="42"/>
      <c r="P270" s="42"/>
      <c r="Q270" s="42"/>
      <c r="S270" s="46" t="s">
        <v>36</v>
      </c>
      <c r="T270" s="42"/>
      <c r="U270" s="42"/>
      <c r="V270" s="42"/>
      <c r="W270" s="42"/>
      <c r="X270" s="42"/>
      <c r="Y270" s="42"/>
      <c r="Z270" s="42"/>
      <c r="AA270" s="42"/>
      <c r="AB270" s="42"/>
      <c r="AC270" s="42"/>
      <c r="AD270" s="42"/>
      <c r="AE270" s="42"/>
      <c r="AF270" s="42"/>
      <c r="AG270" s="42"/>
      <c r="AH270" s="42"/>
      <c r="AI270" s="42">
        <f t="shared" si="3"/>
        <v>2</v>
      </c>
      <c r="AJ270" s="42"/>
      <c r="AK270" s="42"/>
    </row>
    <row r="271">
      <c r="A271" s="41" t="s">
        <v>761</v>
      </c>
      <c r="B271" s="41" t="s">
        <v>762</v>
      </c>
      <c r="C271" s="41" t="s">
        <v>600</v>
      </c>
      <c r="D271" s="41" t="s">
        <v>347</v>
      </c>
      <c r="E271" s="42"/>
      <c r="F271" s="41" t="s">
        <v>332</v>
      </c>
      <c r="G271" s="41" t="s">
        <v>763</v>
      </c>
      <c r="H271" s="42"/>
      <c r="I271" s="41" t="s">
        <v>764</v>
      </c>
      <c r="J271" s="41">
        <v>550.0</v>
      </c>
      <c r="K271" s="43" t="str">
        <f t="shared" si="1"/>
        <v>No Attunement Required, Ranged Weapons, Simple Weapon, Ranged Weapons, 2</v>
      </c>
      <c r="L271" s="43" t="str">
        <f t="shared" si="2"/>
        <v>No Attunement Required</v>
      </c>
      <c r="M271" s="44"/>
      <c r="N271" s="44" t="s">
        <v>106</v>
      </c>
      <c r="O271" s="42"/>
      <c r="P271" s="44" t="s">
        <v>336</v>
      </c>
      <c r="Q271" s="44"/>
      <c r="R271" s="42"/>
      <c r="S271" s="42"/>
      <c r="T271" s="42"/>
      <c r="U271" s="42"/>
      <c r="V271" s="42"/>
      <c r="W271" s="42"/>
      <c r="X271" s="42"/>
      <c r="Y271" s="42"/>
      <c r="Z271" s="42"/>
      <c r="AA271" s="42"/>
      <c r="AB271" s="42"/>
      <c r="AC271" s="42"/>
      <c r="AD271" s="42"/>
      <c r="AE271" s="44" t="s">
        <v>106</v>
      </c>
      <c r="AF271" s="42"/>
      <c r="AG271" s="42"/>
      <c r="AH271" s="42"/>
      <c r="AI271" s="42">
        <f t="shared" si="3"/>
        <v>2</v>
      </c>
      <c r="AJ271" s="42"/>
      <c r="AK271" s="42"/>
    </row>
    <row r="272">
      <c r="A272" s="41" t="s">
        <v>765</v>
      </c>
      <c r="B272" s="41" t="s">
        <v>680</v>
      </c>
      <c r="C272" s="41" t="s">
        <v>653</v>
      </c>
      <c r="D272" s="41" t="s">
        <v>681</v>
      </c>
      <c r="E272" s="41" t="s">
        <v>766</v>
      </c>
      <c r="F272" s="42"/>
      <c r="G272" s="42"/>
      <c r="H272" s="42"/>
      <c r="I272" s="41" t="s">
        <v>767</v>
      </c>
      <c r="J272" s="41">
        <v>550.0</v>
      </c>
      <c r="K272" s="43" t="str">
        <f t="shared" si="1"/>
        <v>Requires Attunement, Effect, Wizard, Imposes Disadvantage, Spellcasting Focus, 3</v>
      </c>
      <c r="L272" s="43" t="str">
        <f t="shared" si="2"/>
        <v>Requires Attunement</v>
      </c>
      <c r="M272" s="41" t="s">
        <v>33</v>
      </c>
      <c r="N272" s="41" t="s">
        <v>76</v>
      </c>
      <c r="O272" s="42"/>
      <c r="P272" s="42"/>
      <c r="Q272" s="42"/>
      <c r="R272" s="42"/>
      <c r="S272" s="42"/>
      <c r="T272" s="42"/>
      <c r="U272" s="44" t="s">
        <v>43</v>
      </c>
      <c r="V272" s="42"/>
      <c r="W272" s="42"/>
      <c r="X272" s="41" t="s">
        <v>24</v>
      </c>
      <c r="Y272" s="42"/>
      <c r="Z272" s="42"/>
      <c r="AA272" s="42"/>
      <c r="AB272" s="42"/>
      <c r="AC272" s="42"/>
      <c r="AD272" s="42"/>
      <c r="AE272" s="42"/>
      <c r="AF272" s="42"/>
      <c r="AG272" s="42"/>
      <c r="AH272" s="42"/>
      <c r="AI272" s="42">
        <f t="shared" si="3"/>
        <v>3</v>
      </c>
      <c r="AJ272" s="42"/>
      <c r="AK272" s="42"/>
    </row>
    <row r="273">
      <c r="A273" s="41" t="s">
        <v>768</v>
      </c>
      <c r="B273" s="41" t="s">
        <v>111</v>
      </c>
      <c r="C273" s="41" t="s">
        <v>653</v>
      </c>
      <c r="D273" s="41" t="s">
        <v>529</v>
      </c>
      <c r="E273" s="41" t="s">
        <v>595</v>
      </c>
      <c r="F273" s="42"/>
      <c r="G273" s="42"/>
      <c r="H273" s="42"/>
      <c r="I273" s="41" t="s">
        <v>769</v>
      </c>
      <c r="J273" s="41">
        <v>550.0</v>
      </c>
      <c r="K273" s="43" t="str">
        <f t="shared" si="1"/>
        <v>Requires Attunement, Utility Gear, Grants Advantage, 3</v>
      </c>
      <c r="L273" s="43" t="str">
        <f t="shared" si="2"/>
        <v>Requires Attunement</v>
      </c>
      <c r="M273" s="44"/>
      <c r="N273" s="44" t="s">
        <v>47</v>
      </c>
      <c r="O273" s="42"/>
      <c r="P273" s="42"/>
      <c r="Q273" s="42"/>
      <c r="S273" s="42"/>
      <c r="T273" s="42"/>
      <c r="U273" s="44" t="s">
        <v>42</v>
      </c>
      <c r="V273" s="42"/>
      <c r="W273" s="42"/>
      <c r="X273" s="42"/>
      <c r="Y273" s="42"/>
      <c r="Z273" s="42"/>
      <c r="AA273" s="42"/>
      <c r="AB273" s="42"/>
      <c r="AC273" s="42"/>
      <c r="AD273" s="42"/>
      <c r="AE273" s="42"/>
      <c r="AF273" s="42"/>
      <c r="AG273" s="42"/>
      <c r="AH273" s="42"/>
      <c r="AI273" s="42">
        <f t="shared" si="3"/>
        <v>3</v>
      </c>
      <c r="AJ273" s="42"/>
      <c r="AK273" s="42"/>
    </row>
    <row r="274">
      <c r="A274" s="41" t="s">
        <v>770</v>
      </c>
      <c r="B274" s="41" t="s">
        <v>680</v>
      </c>
      <c r="C274" s="41" t="s">
        <v>600</v>
      </c>
      <c r="D274" s="41" t="s">
        <v>771</v>
      </c>
      <c r="E274" s="41" t="s">
        <v>595</v>
      </c>
      <c r="F274" s="42"/>
      <c r="G274" s="42"/>
      <c r="H274" s="42"/>
      <c r="I274" s="41" t="s">
        <v>772</v>
      </c>
      <c r="J274" s="41">
        <v>600.0</v>
      </c>
      <c r="K274" s="43" t="str">
        <f t="shared" si="1"/>
        <v>Requires Attunement, Tattoo, 2</v>
      </c>
      <c r="L274" s="43" t="str">
        <f t="shared" si="2"/>
        <v>Requires Attunement</v>
      </c>
      <c r="M274" s="42"/>
      <c r="N274" s="42"/>
      <c r="O274" s="42"/>
      <c r="P274" s="42"/>
      <c r="Q274" s="44" t="s">
        <v>55</v>
      </c>
      <c r="R274" s="42"/>
      <c r="S274" s="44"/>
      <c r="T274" s="44"/>
      <c r="U274" s="42"/>
      <c r="V274" s="42"/>
      <c r="W274" s="42"/>
      <c r="X274" s="42"/>
      <c r="Y274" s="42"/>
      <c r="Z274" s="42"/>
      <c r="AA274" s="42"/>
      <c r="AB274" s="42"/>
      <c r="AC274" s="42"/>
      <c r="AD274" s="42"/>
      <c r="AE274" s="42"/>
      <c r="AF274" s="42"/>
      <c r="AG274" s="42"/>
      <c r="AH274" s="42"/>
      <c r="AI274" s="42">
        <f t="shared" si="3"/>
        <v>2</v>
      </c>
      <c r="AJ274" s="42"/>
      <c r="AK274" s="42"/>
    </row>
    <row r="275">
      <c r="A275" s="41" t="s">
        <v>773</v>
      </c>
      <c r="B275" s="41" t="s">
        <v>525</v>
      </c>
      <c r="C275" s="41" t="s">
        <v>600</v>
      </c>
      <c r="D275" s="41" t="s">
        <v>681</v>
      </c>
      <c r="E275" s="41" t="s">
        <v>752</v>
      </c>
      <c r="F275" s="42"/>
      <c r="G275" s="42"/>
      <c r="H275" s="42"/>
      <c r="I275" s="41" t="s">
        <v>774</v>
      </c>
      <c r="J275" s="41">
        <v>600.0</v>
      </c>
      <c r="K275" s="43" t="str">
        <f t="shared" si="1"/>
        <v>Requires Attunement, Druid, Ranger, Spellcasting Focus, 2</v>
      </c>
      <c r="L275" s="43" t="str">
        <f t="shared" si="2"/>
        <v>Requires Attunement</v>
      </c>
      <c r="M275" s="41"/>
      <c r="N275" s="41" t="s">
        <v>754</v>
      </c>
      <c r="O275" s="42"/>
      <c r="P275" s="42"/>
      <c r="Q275" s="42"/>
      <c r="S275" s="42"/>
      <c r="T275" s="42"/>
      <c r="U275" s="42"/>
      <c r="V275" s="42"/>
      <c r="W275" s="42"/>
      <c r="X275" s="41" t="s">
        <v>24</v>
      </c>
      <c r="Y275" s="42"/>
      <c r="Z275" s="42"/>
      <c r="AA275" s="42"/>
      <c r="AB275" s="42"/>
      <c r="AC275" s="42"/>
      <c r="AD275" s="42"/>
      <c r="AE275" s="42"/>
      <c r="AF275" s="42"/>
      <c r="AG275" s="42"/>
      <c r="AH275" s="42"/>
      <c r="AI275" s="42">
        <f t="shared" si="3"/>
        <v>2</v>
      </c>
      <c r="AJ275" s="42"/>
      <c r="AK275" s="42"/>
    </row>
    <row r="276">
      <c r="A276" s="41" t="s">
        <v>775</v>
      </c>
      <c r="B276" s="41" t="s">
        <v>525</v>
      </c>
      <c r="C276" s="41" t="s">
        <v>653</v>
      </c>
      <c r="D276" s="41" t="s">
        <v>529</v>
      </c>
      <c r="E276" s="41" t="s">
        <v>595</v>
      </c>
      <c r="F276" s="44"/>
      <c r="G276" s="42"/>
      <c r="H276" s="42"/>
      <c r="I276" s="41" t="s">
        <v>776</v>
      </c>
      <c r="J276" s="41">
        <v>600.0</v>
      </c>
      <c r="K276" s="43" t="str">
        <f t="shared" si="1"/>
        <v>Requires Attunement, Bonus AC, Ioun Stones, 3</v>
      </c>
      <c r="L276" s="43" t="str">
        <f t="shared" si="2"/>
        <v>Requires Attunement</v>
      </c>
      <c r="M276" s="42"/>
      <c r="N276" s="42"/>
      <c r="O276" s="42"/>
      <c r="P276" s="44" t="s">
        <v>45</v>
      </c>
      <c r="Q276" s="42"/>
      <c r="R276" s="42"/>
      <c r="S276" s="42"/>
      <c r="T276" s="42"/>
      <c r="U276" s="42"/>
      <c r="V276" s="42"/>
      <c r="W276" s="42"/>
      <c r="X276" s="42"/>
      <c r="Y276" s="42"/>
      <c r="Z276" s="42"/>
      <c r="AA276" s="42"/>
      <c r="AB276" s="42"/>
      <c r="AC276" s="42"/>
      <c r="AD276" s="42"/>
      <c r="AE276" s="42"/>
      <c r="AF276" s="42"/>
      <c r="AG276" s="42"/>
      <c r="AH276" s="44" t="s">
        <v>53</v>
      </c>
      <c r="AI276" s="42">
        <f t="shared" si="3"/>
        <v>3</v>
      </c>
      <c r="AJ276" s="42"/>
      <c r="AK276" s="42"/>
    </row>
    <row r="277">
      <c r="A277" s="41" t="s">
        <v>777</v>
      </c>
      <c r="B277" s="41" t="s">
        <v>525</v>
      </c>
      <c r="C277" s="41" t="s">
        <v>112</v>
      </c>
      <c r="D277" s="41" t="s">
        <v>673</v>
      </c>
      <c r="E277" s="42"/>
      <c r="F277" s="42"/>
      <c r="G277" s="42"/>
      <c r="H277" s="42"/>
      <c r="I277" s="41" t="s">
        <v>778</v>
      </c>
      <c r="J277" s="41">
        <v>650.0</v>
      </c>
      <c r="K277" s="43" t="str">
        <f t="shared" si="1"/>
        <v>No Attunement Required, Poisons, 0</v>
      </c>
      <c r="L277" s="43" t="str">
        <f t="shared" si="2"/>
        <v>No Attunement Required</v>
      </c>
      <c r="M277" s="42"/>
      <c r="N277" s="42"/>
      <c r="O277" s="42"/>
      <c r="P277" s="42"/>
      <c r="Q277" s="42"/>
      <c r="R277" s="42"/>
      <c r="S277" s="42"/>
      <c r="T277" s="42"/>
      <c r="U277" s="42"/>
      <c r="V277" s="42"/>
      <c r="W277" s="42"/>
      <c r="X277" s="42"/>
      <c r="Y277" s="42"/>
      <c r="Z277" s="42"/>
      <c r="AA277" s="42"/>
      <c r="AB277" s="42"/>
      <c r="AC277" s="42"/>
      <c r="AD277" s="44" t="s">
        <v>58</v>
      </c>
      <c r="AE277" s="42"/>
      <c r="AF277" s="42"/>
      <c r="AG277" s="42"/>
      <c r="AH277" s="42"/>
      <c r="AI277" s="42">
        <f t="shared" si="3"/>
        <v>0</v>
      </c>
      <c r="AJ277" s="42"/>
      <c r="AK277" s="42"/>
    </row>
    <row r="278">
      <c r="A278" s="41" t="s">
        <v>779</v>
      </c>
      <c r="B278" s="41" t="s">
        <v>680</v>
      </c>
      <c r="C278" s="41" t="s">
        <v>600</v>
      </c>
      <c r="D278" s="41" t="s">
        <v>771</v>
      </c>
      <c r="E278" s="41" t="s">
        <v>595</v>
      </c>
      <c r="F278" s="42"/>
      <c r="G278" s="42"/>
      <c r="H278" s="42"/>
      <c r="I278" s="41" t="s">
        <v>780</v>
      </c>
      <c r="J278" s="41">
        <v>650.0</v>
      </c>
      <c r="K278" s="43" t="str">
        <f t="shared" si="1"/>
        <v>Requires Attunement, Tattoo, Bonus Damage, Resistance, 2</v>
      </c>
      <c r="L278" s="43" t="str">
        <f t="shared" si="2"/>
        <v>Requires Attunement</v>
      </c>
      <c r="M278" s="42"/>
      <c r="N278" s="42"/>
      <c r="O278" s="42"/>
      <c r="P278" s="44"/>
      <c r="Q278" s="44" t="s">
        <v>55</v>
      </c>
      <c r="R278" s="44" t="s">
        <v>44</v>
      </c>
      <c r="S278" s="44"/>
      <c r="T278" s="44"/>
      <c r="U278" s="42"/>
      <c r="V278" s="42"/>
      <c r="W278" s="41" t="s">
        <v>101</v>
      </c>
      <c r="X278" s="42"/>
      <c r="Y278" s="42"/>
      <c r="Z278" s="42"/>
      <c r="AA278" s="42"/>
      <c r="AB278" s="42"/>
      <c r="AC278" s="42"/>
      <c r="AD278" s="42"/>
      <c r="AE278" s="42"/>
      <c r="AF278" s="42"/>
      <c r="AG278" s="42"/>
      <c r="AH278" s="42"/>
      <c r="AI278" s="42">
        <f t="shared" si="3"/>
        <v>2</v>
      </c>
      <c r="AJ278" s="42"/>
      <c r="AK278" s="42"/>
    </row>
    <row r="279">
      <c r="A279" s="41" t="s">
        <v>781</v>
      </c>
      <c r="B279" s="41" t="s">
        <v>525</v>
      </c>
      <c r="C279" s="41" t="s">
        <v>600</v>
      </c>
      <c r="D279" s="41" t="s">
        <v>529</v>
      </c>
      <c r="E279" s="42"/>
      <c r="F279" s="42"/>
      <c r="G279" s="42"/>
      <c r="H279" s="42"/>
      <c r="I279" s="41" t="s">
        <v>782</v>
      </c>
      <c r="J279" s="41">
        <v>650.0</v>
      </c>
      <c r="K279" s="43" t="str">
        <f t="shared" si="1"/>
        <v>No Attunement Required, 2</v>
      </c>
      <c r="L279" s="43" t="str">
        <f t="shared" si="2"/>
        <v>No Attunement Required</v>
      </c>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f t="shared" si="3"/>
        <v>2</v>
      </c>
      <c r="AJ279" s="42"/>
      <c r="AK279" s="42"/>
    </row>
    <row r="280">
      <c r="A280" s="41" t="s">
        <v>783</v>
      </c>
      <c r="B280" s="41" t="s">
        <v>680</v>
      </c>
      <c r="C280" s="41" t="s">
        <v>653</v>
      </c>
      <c r="D280" s="41" t="s">
        <v>681</v>
      </c>
      <c r="E280" s="41" t="s">
        <v>766</v>
      </c>
      <c r="F280" s="42"/>
      <c r="G280" s="42"/>
      <c r="H280" s="42"/>
      <c r="I280" s="41" t="s">
        <v>784</v>
      </c>
      <c r="J280" s="41">
        <v>650.0</v>
      </c>
      <c r="K280" s="43" t="str">
        <f t="shared" si="1"/>
        <v>Requires Attunement, Effect, Wizard, Spellcasting Focus, 3</v>
      </c>
      <c r="L280" s="43" t="str">
        <f t="shared" si="2"/>
        <v>Requires Attunement</v>
      </c>
      <c r="M280" s="41" t="s">
        <v>33</v>
      </c>
      <c r="N280" s="41" t="s">
        <v>76</v>
      </c>
      <c r="O280" s="42"/>
      <c r="P280" s="42"/>
      <c r="Q280" s="42"/>
      <c r="R280" s="41"/>
      <c r="S280" s="42"/>
      <c r="T280" s="42"/>
      <c r="U280" s="42"/>
      <c r="V280" s="42"/>
      <c r="W280" s="42"/>
      <c r="X280" s="41" t="s">
        <v>24</v>
      </c>
      <c r="Y280" s="42"/>
      <c r="Z280" s="42"/>
      <c r="AA280" s="42"/>
      <c r="AB280" s="42"/>
      <c r="AC280" s="42"/>
      <c r="AD280" s="42"/>
      <c r="AE280" s="42"/>
      <c r="AF280" s="42"/>
      <c r="AG280" s="42"/>
      <c r="AH280" s="42"/>
      <c r="AI280" s="42">
        <f t="shared" si="3"/>
        <v>3</v>
      </c>
      <c r="AJ280" s="42"/>
      <c r="AK280" s="42"/>
    </row>
    <row r="281">
      <c r="A281" s="41" t="s">
        <v>785</v>
      </c>
      <c r="B281" s="41" t="s">
        <v>111</v>
      </c>
      <c r="C281" s="41" t="s">
        <v>653</v>
      </c>
      <c r="D281" s="41" t="s">
        <v>529</v>
      </c>
      <c r="E281" s="41" t="s">
        <v>595</v>
      </c>
      <c r="F281" s="42"/>
      <c r="G281" s="42"/>
      <c r="H281" s="42"/>
      <c r="I281" s="41" t="s">
        <v>786</v>
      </c>
      <c r="J281" s="41">
        <v>650.0</v>
      </c>
      <c r="K281" s="43" t="str">
        <f t="shared" si="1"/>
        <v>Requires Attunement, 3</v>
      </c>
      <c r="L281" s="43" t="str">
        <f t="shared" si="2"/>
        <v>Requires Attunement</v>
      </c>
      <c r="M281" s="42"/>
      <c r="N281" s="42"/>
      <c r="O281" s="42"/>
      <c r="P281" s="42"/>
      <c r="Q281" s="42"/>
      <c r="R281" s="42"/>
      <c r="S281" s="41"/>
      <c r="T281" s="41"/>
      <c r="U281" s="42"/>
      <c r="V281" s="42"/>
      <c r="W281" s="42"/>
      <c r="X281" s="42"/>
      <c r="Y281" s="42"/>
      <c r="Z281" s="42"/>
      <c r="AA281" s="42"/>
      <c r="AB281" s="42"/>
      <c r="AC281" s="42"/>
      <c r="AD281" s="42"/>
      <c r="AE281" s="42"/>
      <c r="AF281" s="42"/>
      <c r="AG281" s="42"/>
      <c r="AH281" s="42"/>
      <c r="AI281" s="42">
        <f t="shared" si="3"/>
        <v>3</v>
      </c>
      <c r="AJ281" s="42"/>
      <c r="AK281" s="42"/>
    </row>
    <row r="282">
      <c r="A282" s="41" t="s">
        <v>787</v>
      </c>
      <c r="B282" s="41" t="s">
        <v>525</v>
      </c>
      <c r="C282" s="41" t="s">
        <v>600</v>
      </c>
      <c r="D282" s="41" t="s">
        <v>529</v>
      </c>
      <c r="E282" s="41" t="s">
        <v>595</v>
      </c>
      <c r="F282" s="42"/>
      <c r="G282" s="42"/>
      <c r="H282" s="42"/>
      <c r="I282" s="41" t="s">
        <v>788</v>
      </c>
      <c r="J282" s="41">
        <v>700.0</v>
      </c>
      <c r="K282" s="43" t="str">
        <f t="shared" si="1"/>
        <v>Requires Attunement, Utility Gear, Grants Advantage, Imposes Disadvantage, 2</v>
      </c>
      <c r="L282" s="43" t="str">
        <f t="shared" si="2"/>
        <v>Requires Attunement</v>
      </c>
      <c r="M282" s="44"/>
      <c r="N282" s="44" t="s">
        <v>47</v>
      </c>
      <c r="O282" s="42"/>
      <c r="P282" s="42"/>
      <c r="Q282" s="42"/>
      <c r="R282" s="42"/>
      <c r="S282" s="42"/>
      <c r="T282" s="42"/>
      <c r="U282" s="44" t="s">
        <v>789</v>
      </c>
      <c r="V282" s="42"/>
      <c r="W282" s="42"/>
      <c r="X282" s="42"/>
      <c r="Y282" s="42"/>
      <c r="Z282" s="42"/>
      <c r="AA282" s="42"/>
      <c r="AB282" s="42"/>
      <c r="AC282" s="42"/>
      <c r="AD282" s="42"/>
      <c r="AE282" s="42"/>
      <c r="AF282" s="42"/>
      <c r="AG282" s="42"/>
      <c r="AH282" s="42"/>
      <c r="AI282" s="42">
        <f t="shared" si="3"/>
        <v>2</v>
      </c>
      <c r="AJ282" s="42"/>
      <c r="AK282" s="42"/>
    </row>
    <row r="283">
      <c r="A283" s="41" t="s">
        <v>790</v>
      </c>
      <c r="B283" s="41" t="s">
        <v>680</v>
      </c>
      <c r="C283" s="41" t="s">
        <v>653</v>
      </c>
      <c r="D283" s="41" t="s">
        <v>771</v>
      </c>
      <c r="E283" s="41" t="s">
        <v>595</v>
      </c>
      <c r="F283" s="42"/>
      <c r="G283" s="42"/>
      <c r="H283" s="42"/>
      <c r="I283" s="41" t="s">
        <v>791</v>
      </c>
      <c r="J283" s="41">
        <v>700.0</v>
      </c>
      <c r="K283" s="43" t="str">
        <f t="shared" si="1"/>
        <v>Requires Attunement, Utility Gear, Tattoo, Grants Advantage, 3</v>
      </c>
      <c r="L283" s="43" t="str">
        <f t="shared" si="2"/>
        <v>Requires Attunement</v>
      </c>
      <c r="M283" s="44"/>
      <c r="N283" s="44" t="s">
        <v>47</v>
      </c>
      <c r="O283" s="42"/>
      <c r="P283" s="41"/>
      <c r="Q283" s="44" t="s">
        <v>55</v>
      </c>
      <c r="R283" s="42"/>
      <c r="S283" s="44"/>
      <c r="T283" s="44"/>
      <c r="U283" s="44" t="s">
        <v>42</v>
      </c>
      <c r="V283" s="42"/>
      <c r="W283" s="42"/>
      <c r="X283" s="42"/>
      <c r="Y283" s="42"/>
      <c r="Z283" s="42"/>
      <c r="AA283" s="42"/>
      <c r="AB283" s="42"/>
      <c r="AC283" s="42"/>
      <c r="AD283" s="42"/>
      <c r="AE283" s="42"/>
      <c r="AF283" s="42"/>
      <c r="AG283" s="42"/>
      <c r="AH283" s="42"/>
      <c r="AI283" s="42">
        <f t="shared" si="3"/>
        <v>3</v>
      </c>
      <c r="AJ283" s="42"/>
      <c r="AK283" s="42"/>
    </row>
    <row r="284">
      <c r="A284" s="41" t="s">
        <v>792</v>
      </c>
      <c r="B284" s="41" t="s">
        <v>793</v>
      </c>
      <c r="C284" s="41" t="s">
        <v>112</v>
      </c>
      <c r="D284" s="41" t="s">
        <v>673</v>
      </c>
      <c r="E284" s="42"/>
      <c r="F284" s="42"/>
      <c r="G284" s="42"/>
      <c r="H284" s="42"/>
      <c r="I284" s="41" t="s">
        <v>794</v>
      </c>
      <c r="J284" s="41">
        <v>750.0</v>
      </c>
      <c r="K284" s="43" t="str">
        <f t="shared" si="1"/>
        <v>No Attunement Required, Poisons, 0</v>
      </c>
      <c r="L284" s="43" t="str">
        <f t="shared" si="2"/>
        <v>No Attunement Required</v>
      </c>
      <c r="M284" s="42"/>
      <c r="N284" s="42"/>
      <c r="O284" s="42"/>
      <c r="P284" s="42"/>
      <c r="Q284" s="42"/>
      <c r="R284" s="44"/>
      <c r="S284" s="42"/>
      <c r="T284" s="42"/>
      <c r="U284" s="42"/>
      <c r="V284" s="42"/>
      <c r="W284" s="42"/>
      <c r="X284" s="42"/>
      <c r="Y284" s="42"/>
      <c r="Z284" s="42"/>
      <c r="AA284" s="42"/>
      <c r="AB284" s="42"/>
      <c r="AC284" s="42"/>
      <c r="AD284" s="44" t="s">
        <v>58</v>
      </c>
      <c r="AE284" s="42"/>
      <c r="AF284" s="42"/>
      <c r="AG284" s="42"/>
      <c r="AH284" s="42"/>
      <c r="AI284" s="42">
        <f t="shared" si="3"/>
        <v>0</v>
      </c>
      <c r="AJ284" s="42"/>
      <c r="AK284" s="42"/>
    </row>
    <row r="285">
      <c r="A285" s="41" t="s">
        <v>795</v>
      </c>
      <c r="B285" s="41" t="s">
        <v>680</v>
      </c>
      <c r="C285" s="41" t="s">
        <v>600</v>
      </c>
      <c r="D285" s="41" t="s">
        <v>529</v>
      </c>
      <c r="E285" s="41" t="s">
        <v>743</v>
      </c>
      <c r="F285" s="42"/>
      <c r="G285" s="42"/>
      <c r="H285" s="42"/>
      <c r="I285" s="41" t="s">
        <v>796</v>
      </c>
      <c r="J285" s="41">
        <v>750.0</v>
      </c>
      <c r="K285" s="43" t="str">
        <f t="shared" si="1"/>
        <v>Requires Attunement, Effect, Cleric, Paladin, Spellcasting Focus, 2</v>
      </c>
      <c r="L285" s="43" t="str">
        <f t="shared" si="2"/>
        <v>Requires Attunement</v>
      </c>
      <c r="M285" s="41" t="s">
        <v>33</v>
      </c>
      <c r="N285" s="41" t="s">
        <v>745</v>
      </c>
      <c r="O285" s="42"/>
      <c r="P285" s="42"/>
      <c r="Q285" s="42"/>
      <c r="R285" s="42"/>
      <c r="S285" s="42"/>
      <c r="T285" s="42"/>
      <c r="U285" s="42"/>
      <c r="V285" s="42"/>
      <c r="W285" s="42"/>
      <c r="X285" s="41" t="s">
        <v>24</v>
      </c>
      <c r="Y285" s="42"/>
      <c r="Z285" s="42"/>
      <c r="AA285" s="42"/>
      <c r="AB285" s="42"/>
      <c r="AC285" s="42"/>
      <c r="AD285" s="42"/>
      <c r="AE285" s="42"/>
      <c r="AF285" s="42"/>
      <c r="AG285" s="42"/>
      <c r="AH285" s="42"/>
      <c r="AI285" s="42">
        <f t="shared" si="3"/>
        <v>2</v>
      </c>
      <c r="AJ285" s="42"/>
      <c r="AK285" s="42"/>
    </row>
    <row r="286">
      <c r="A286" s="41" t="s">
        <v>797</v>
      </c>
      <c r="B286" s="41" t="s">
        <v>680</v>
      </c>
      <c r="C286" s="41" t="s">
        <v>600</v>
      </c>
      <c r="D286" s="41" t="s">
        <v>681</v>
      </c>
      <c r="E286" s="41" t="s">
        <v>766</v>
      </c>
      <c r="F286" s="42"/>
      <c r="G286" s="42"/>
      <c r="H286" s="42"/>
      <c r="I286" s="41" t="s">
        <v>798</v>
      </c>
      <c r="J286" s="41">
        <v>750.0</v>
      </c>
      <c r="K286" s="43" t="str">
        <f t="shared" si="1"/>
        <v>Requires Attunement, Effect, Wizard, Spellcasting Focus, 2</v>
      </c>
      <c r="L286" s="43" t="str">
        <f t="shared" si="2"/>
        <v>Requires Attunement</v>
      </c>
      <c r="M286" s="41" t="s">
        <v>33</v>
      </c>
      <c r="N286" s="41" t="s">
        <v>76</v>
      </c>
      <c r="O286" s="42"/>
      <c r="P286" s="42"/>
      <c r="Q286" s="42"/>
      <c r="R286" s="42"/>
      <c r="S286" s="42"/>
      <c r="T286" s="42"/>
      <c r="U286" s="42"/>
      <c r="V286" s="42"/>
      <c r="W286" s="42"/>
      <c r="X286" s="41" t="s">
        <v>24</v>
      </c>
      <c r="Y286" s="42"/>
      <c r="Z286" s="42"/>
      <c r="AA286" s="42"/>
      <c r="AB286" s="42"/>
      <c r="AC286" s="42"/>
      <c r="AD286" s="42"/>
      <c r="AE286" s="42"/>
      <c r="AF286" s="42"/>
      <c r="AG286" s="42"/>
      <c r="AH286" s="42"/>
      <c r="AI286" s="42">
        <f t="shared" si="3"/>
        <v>2</v>
      </c>
      <c r="AJ286" s="42"/>
      <c r="AK286" s="42"/>
    </row>
    <row r="287">
      <c r="A287" s="41" t="s">
        <v>799</v>
      </c>
      <c r="B287" s="41" t="s">
        <v>680</v>
      </c>
      <c r="C287" s="41" t="s">
        <v>600</v>
      </c>
      <c r="D287" s="41" t="s">
        <v>681</v>
      </c>
      <c r="E287" s="41" t="s">
        <v>800</v>
      </c>
      <c r="F287" s="42"/>
      <c r="G287" s="42"/>
      <c r="H287" s="42"/>
      <c r="I287" s="50" t="s">
        <v>801</v>
      </c>
      <c r="J287" s="41">
        <v>750.0</v>
      </c>
      <c r="K287" s="43" t="str">
        <f t="shared" si="1"/>
        <v>Requires Attunement, Effect, Sorcerer, Spellcasting Focus, 2</v>
      </c>
      <c r="L287" s="43" t="str">
        <f t="shared" si="2"/>
        <v>Requires Attunement</v>
      </c>
      <c r="M287" s="41" t="s">
        <v>33</v>
      </c>
      <c r="N287" s="41" t="s">
        <v>74</v>
      </c>
      <c r="O287" s="42"/>
      <c r="P287" s="42"/>
      <c r="Q287" s="42"/>
      <c r="R287" s="42"/>
      <c r="S287" s="42"/>
      <c r="T287" s="42"/>
      <c r="U287" s="42"/>
      <c r="V287" s="42"/>
      <c r="W287" s="42"/>
      <c r="X287" s="41" t="s">
        <v>24</v>
      </c>
      <c r="Y287" s="42"/>
      <c r="Z287" s="42"/>
      <c r="AA287" s="42"/>
      <c r="AB287" s="42"/>
      <c r="AC287" s="42"/>
      <c r="AD287" s="42"/>
      <c r="AE287" s="42"/>
      <c r="AF287" s="42"/>
      <c r="AG287" s="42"/>
      <c r="AH287" s="42"/>
      <c r="AI287" s="42">
        <f t="shared" si="3"/>
        <v>2</v>
      </c>
      <c r="AJ287" s="42"/>
      <c r="AK287" s="42"/>
    </row>
    <row r="288">
      <c r="A288" s="41" t="s">
        <v>802</v>
      </c>
      <c r="B288" s="41" t="s">
        <v>525</v>
      </c>
      <c r="C288" s="41" t="s">
        <v>600</v>
      </c>
      <c r="D288" s="41" t="s">
        <v>526</v>
      </c>
      <c r="E288" s="41" t="s">
        <v>595</v>
      </c>
      <c r="F288" s="42"/>
      <c r="G288" s="42"/>
      <c r="H288" s="42"/>
      <c r="I288" s="47" t="s">
        <v>803</v>
      </c>
      <c r="J288" s="41">
        <v>750.0</v>
      </c>
      <c r="K288" s="43" t="str">
        <f t="shared" si="1"/>
        <v>Requires Attunement, Effect, Generic Variant, Enspelled, 2</v>
      </c>
      <c r="L288" s="43" t="str">
        <f t="shared" si="2"/>
        <v>Requires Attunement</v>
      </c>
      <c r="M288" s="41" t="s">
        <v>33</v>
      </c>
      <c r="N288" s="42"/>
      <c r="O288" s="42"/>
      <c r="P288" s="42"/>
      <c r="Q288" s="42"/>
      <c r="R288" s="44"/>
      <c r="S288" s="41" t="s">
        <v>526</v>
      </c>
      <c r="T288" s="44" t="s">
        <v>611</v>
      </c>
      <c r="U288" s="42"/>
      <c r="V288" s="42"/>
      <c r="W288" s="42"/>
      <c r="X288" s="42"/>
      <c r="Y288" s="42"/>
      <c r="Z288" s="42"/>
      <c r="AA288" s="42"/>
      <c r="AB288" s="42"/>
      <c r="AC288" s="42"/>
      <c r="AD288" s="42"/>
      <c r="AE288" s="42"/>
      <c r="AF288" s="42"/>
      <c r="AG288" s="42"/>
      <c r="AH288" s="42"/>
      <c r="AI288" s="42">
        <f t="shared" si="3"/>
        <v>2</v>
      </c>
      <c r="AJ288" s="42"/>
      <c r="AK288" s="42"/>
    </row>
    <row r="289">
      <c r="A289" s="41" t="s">
        <v>804</v>
      </c>
      <c r="B289" s="41" t="s">
        <v>525</v>
      </c>
      <c r="C289" s="41" t="s">
        <v>600</v>
      </c>
      <c r="D289" s="41" t="s">
        <v>331</v>
      </c>
      <c r="E289" s="41" t="s">
        <v>805</v>
      </c>
      <c r="F289" s="41" t="s">
        <v>443</v>
      </c>
      <c r="G289" s="41" t="s">
        <v>468</v>
      </c>
      <c r="H289" s="41" t="s">
        <v>307</v>
      </c>
      <c r="I289" s="41" t="s">
        <v>806</v>
      </c>
      <c r="J289" s="41">
        <v>750.0</v>
      </c>
      <c r="K289" s="43" t="str">
        <f t="shared" si="1"/>
        <v>Requires Attunement, Effect, Spellcaster, Simple Weapon, Enspelled, Melee Weapons, 2</v>
      </c>
      <c r="L289" s="43" t="str">
        <f t="shared" si="2"/>
        <v>Requires Attunement</v>
      </c>
      <c r="M289" s="41" t="s">
        <v>33</v>
      </c>
      <c r="N289" s="41" t="s">
        <v>619</v>
      </c>
      <c r="O289" s="42"/>
      <c r="P289" s="44" t="s">
        <v>336</v>
      </c>
      <c r="Q289" s="44"/>
      <c r="R289" s="44"/>
      <c r="S289" s="41"/>
      <c r="T289" s="44" t="s">
        <v>611</v>
      </c>
      <c r="U289" s="42"/>
      <c r="V289" s="42"/>
      <c r="W289" s="42"/>
      <c r="X289" s="42"/>
      <c r="Y289" s="42"/>
      <c r="Z289" s="42"/>
      <c r="AA289" s="42"/>
      <c r="AB289" s="42"/>
      <c r="AC289" s="42"/>
      <c r="AD289" s="42"/>
      <c r="AE289" s="42"/>
      <c r="AF289" s="41" t="s">
        <v>107</v>
      </c>
      <c r="AG289" s="42"/>
      <c r="AH289" s="42"/>
      <c r="AI289" s="42">
        <f t="shared" si="3"/>
        <v>2</v>
      </c>
      <c r="AJ289" s="42"/>
      <c r="AK289" s="42"/>
    </row>
    <row r="290">
      <c r="A290" s="41" t="s">
        <v>807</v>
      </c>
      <c r="B290" s="41" t="s">
        <v>525</v>
      </c>
      <c r="C290" s="41" t="s">
        <v>600</v>
      </c>
      <c r="D290" s="41" t="s">
        <v>526</v>
      </c>
      <c r="E290" s="41" t="s">
        <v>595</v>
      </c>
      <c r="F290" s="42"/>
      <c r="G290" s="42"/>
      <c r="H290" s="42"/>
      <c r="I290" s="47" t="s">
        <v>808</v>
      </c>
      <c r="J290" s="41">
        <v>750.0</v>
      </c>
      <c r="K290" s="43" t="str">
        <f t="shared" si="1"/>
        <v>Requires Attunement, Effect, Generic Variant, Enspelled, 2</v>
      </c>
      <c r="L290" s="43" t="str">
        <f t="shared" si="2"/>
        <v>Requires Attunement</v>
      </c>
      <c r="M290" s="41" t="s">
        <v>33</v>
      </c>
      <c r="N290" s="42"/>
      <c r="O290" s="42"/>
      <c r="P290" s="41"/>
      <c r="Q290" s="41"/>
      <c r="R290" s="44"/>
      <c r="S290" s="44" t="s">
        <v>526</v>
      </c>
      <c r="T290" s="44" t="s">
        <v>611</v>
      </c>
      <c r="U290" s="42"/>
      <c r="V290" s="42"/>
      <c r="W290" s="42"/>
      <c r="X290" s="42"/>
      <c r="Y290" s="42"/>
      <c r="Z290" s="42"/>
      <c r="AA290" s="42"/>
      <c r="AB290" s="42"/>
      <c r="AC290" s="42"/>
      <c r="AD290" s="42"/>
      <c r="AE290" s="42"/>
      <c r="AF290" s="42"/>
      <c r="AG290" s="42"/>
      <c r="AH290" s="42"/>
      <c r="AI290" s="42">
        <f t="shared" si="3"/>
        <v>2</v>
      </c>
      <c r="AJ290" s="42"/>
      <c r="AK290" s="42"/>
    </row>
    <row r="291">
      <c r="A291" s="41" t="s">
        <v>809</v>
      </c>
      <c r="B291" s="41" t="s">
        <v>680</v>
      </c>
      <c r="C291" s="41" t="s">
        <v>600</v>
      </c>
      <c r="D291" s="41" t="s">
        <v>681</v>
      </c>
      <c r="E291" s="41" t="s">
        <v>800</v>
      </c>
      <c r="F291" s="42"/>
      <c r="G291" s="42"/>
      <c r="H291" s="42"/>
      <c r="I291" s="41" t="s">
        <v>810</v>
      </c>
      <c r="J291" s="41">
        <v>750.0</v>
      </c>
      <c r="K291" s="43" t="str">
        <f t="shared" si="1"/>
        <v>Requires Attunement, Effect, Sorcerer, Spellcasting Focus, 2</v>
      </c>
      <c r="L291" s="43" t="str">
        <f t="shared" si="2"/>
        <v>Requires Attunement</v>
      </c>
      <c r="M291" s="41" t="s">
        <v>33</v>
      </c>
      <c r="N291" s="41" t="s">
        <v>74</v>
      </c>
      <c r="O291" s="42"/>
      <c r="P291" s="42"/>
      <c r="Q291" s="42"/>
      <c r="R291" s="42"/>
      <c r="S291" s="42"/>
      <c r="T291" s="42"/>
      <c r="U291" s="42"/>
      <c r="V291" s="42"/>
      <c r="W291" s="42"/>
      <c r="X291" s="41" t="s">
        <v>24</v>
      </c>
      <c r="Y291" s="42"/>
      <c r="Z291" s="42"/>
      <c r="AA291" s="42"/>
      <c r="AB291" s="42"/>
      <c r="AC291" s="42"/>
      <c r="AD291" s="42"/>
      <c r="AE291" s="42"/>
      <c r="AF291" s="42"/>
      <c r="AG291" s="42"/>
      <c r="AH291" s="42"/>
      <c r="AI291" s="42">
        <f t="shared" si="3"/>
        <v>2</v>
      </c>
      <c r="AJ291" s="42"/>
      <c r="AK291" s="42"/>
    </row>
    <row r="292">
      <c r="A292" s="41" t="s">
        <v>811</v>
      </c>
      <c r="B292" s="41" t="s">
        <v>525</v>
      </c>
      <c r="C292" s="41" t="s">
        <v>600</v>
      </c>
      <c r="D292" s="41" t="s">
        <v>529</v>
      </c>
      <c r="E292" s="42"/>
      <c r="F292" s="42"/>
      <c r="G292" s="42"/>
      <c r="H292" s="42"/>
      <c r="I292" s="41" t="s">
        <v>812</v>
      </c>
      <c r="J292" s="41">
        <v>750.0</v>
      </c>
      <c r="K292" s="43" t="str">
        <f t="shared" si="1"/>
        <v>No Attunement Required, Utility Gear, 2</v>
      </c>
      <c r="L292" s="43" t="str">
        <f t="shared" si="2"/>
        <v>No Attunement Required</v>
      </c>
      <c r="M292" s="44"/>
      <c r="N292" s="44" t="s">
        <v>47</v>
      </c>
      <c r="O292" s="42"/>
      <c r="P292" s="42"/>
      <c r="Q292" s="42"/>
      <c r="R292" s="42"/>
      <c r="S292" s="42"/>
      <c r="T292" s="42"/>
      <c r="U292" s="42"/>
      <c r="V292" s="42"/>
      <c r="W292" s="42"/>
      <c r="X292" s="42"/>
      <c r="Y292" s="42"/>
      <c r="Z292" s="42"/>
      <c r="AA292" s="42"/>
      <c r="AB292" s="42"/>
      <c r="AC292" s="42"/>
      <c r="AD292" s="42"/>
      <c r="AE292" s="42"/>
      <c r="AF292" s="42"/>
      <c r="AG292" s="42"/>
      <c r="AH292" s="42"/>
      <c r="AI292" s="42">
        <f t="shared" si="3"/>
        <v>2</v>
      </c>
      <c r="AJ292" s="42"/>
      <c r="AK292" s="42"/>
    </row>
    <row r="293">
      <c r="A293" s="41" t="s">
        <v>813</v>
      </c>
      <c r="B293" s="41" t="s">
        <v>525</v>
      </c>
      <c r="C293" s="41" t="s">
        <v>600</v>
      </c>
      <c r="D293" s="41" t="s">
        <v>529</v>
      </c>
      <c r="E293" s="41" t="s">
        <v>595</v>
      </c>
      <c r="F293" s="42"/>
      <c r="G293" s="42"/>
      <c r="H293" s="42"/>
      <c r="I293" s="41" t="s">
        <v>814</v>
      </c>
      <c r="J293" s="41">
        <v>750.0</v>
      </c>
      <c r="K293" s="43" t="str">
        <f t="shared" si="1"/>
        <v>Requires Attunement, Enspelled, 2</v>
      </c>
      <c r="L293" s="43" t="str">
        <f t="shared" si="2"/>
        <v>Requires Attunement</v>
      </c>
      <c r="M293" s="42"/>
      <c r="N293" s="42"/>
      <c r="O293" s="42"/>
      <c r="P293" s="41"/>
      <c r="Q293" s="41"/>
      <c r="R293" s="44"/>
      <c r="S293" s="42"/>
      <c r="T293" s="44" t="s">
        <v>611</v>
      </c>
      <c r="U293" s="42"/>
      <c r="V293" s="42"/>
      <c r="W293" s="42"/>
      <c r="X293" s="42"/>
      <c r="Y293" s="42"/>
      <c r="Z293" s="42"/>
      <c r="AA293" s="42"/>
      <c r="AB293" s="42"/>
      <c r="AC293" s="42"/>
      <c r="AD293" s="42"/>
      <c r="AE293" s="42"/>
      <c r="AF293" s="42"/>
      <c r="AG293" s="42"/>
      <c r="AH293" s="42"/>
      <c r="AI293" s="42">
        <f t="shared" si="3"/>
        <v>2</v>
      </c>
      <c r="AJ293" s="42"/>
      <c r="AK293" s="42"/>
    </row>
    <row r="294">
      <c r="A294" s="41" t="s">
        <v>815</v>
      </c>
      <c r="B294" s="41" t="s">
        <v>525</v>
      </c>
      <c r="C294" s="41" t="s">
        <v>600</v>
      </c>
      <c r="D294" s="41" t="s">
        <v>816</v>
      </c>
      <c r="E294" s="41" t="s">
        <v>817</v>
      </c>
      <c r="F294" s="42"/>
      <c r="G294" s="42"/>
      <c r="H294" s="42"/>
      <c r="I294" s="41" t="s">
        <v>818</v>
      </c>
      <c r="J294" s="41">
        <v>750.0</v>
      </c>
      <c r="K294" s="43" t="str">
        <f t="shared" si="1"/>
        <v>Requires Attunement, Effect, Warlock, Rod, 2</v>
      </c>
      <c r="L294" s="43" t="str">
        <f t="shared" si="2"/>
        <v>Requires Attunement</v>
      </c>
      <c r="M294" s="41" t="s">
        <v>33</v>
      </c>
      <c r="N294" s="41" t="s">
        <v>75</v>
      </c>
      <c r="O294" s="42"/>
      <c r="P294" s="42"/>
      <c r="Q294" s="42"/>
      <c r="R294" s="42"/>
      <c r="S294" s="44" t="s">
        <v>725</v>
      </c>
      <c r="T294" s="44"/>
      <c r="U294" s="42"/>
      <c r="V294" s="42"/>
      <c r="W294" s="42"/>
      <c r="X294" s="42"/>
      <c r="Y294" s="42"/>
      <c r="Z294" s="42"/>
      <c r="AA294" s="42"/>
      <c r="AB294" s="42"/>
      <c r="AC294" s="44"/>
      <c r="AD294" s="42"/>
      <c r="AE294" s="42"/>
      <c r="AF294" s="42"/>
      <c r="AG294" s="42"/>
      <c r="AH294" s="42"/>
      <c r="AI294" s="42">
        <f t="shared" si="3"/>
        <v>2</v>
      </c>
      <c r="AJ294" s="42"/>
      <c r="AK294" s="42"/>
    </row>
    <row r="295">
      <c r="A295" s="41" t="s">
        <v>819</v>
      </c>
      <c r="B295" s="41" t="s">
        <v>525</v>
      </c>
      <c r="C295" s="41" t="s">
        <v>600</v>
      </c>
      <c r="D295" s="41" t="s">
        <v>529</v>
      </c>
      <c r="E295" s="41" t="s">
        <v>595</v>
      </c>
      <c r="F295" s="42"/>
      <c r="G295" s="42"/>
      <c r="H295" s="42"/>
      <c r="I295" s="41" t="s">
        <v>820</v>
      </c>
      <c r="J295" s="41">
        <v>750.0</v>
      </c>
      <c r="K295" s="43" t="str">
        <f t="shared" si="1"/>
        <v>Requires Attunement, 2</v>
      </c>
      <c r="L295" s="43" t="str">
        <f t="shared" si="2"/>
        <v>Requires Attunement</v>
      </c>
      <c r="M295" s="42"/>
      <c r="N295" s="42"/>
      <c r="O295" s="42"/>
      <c r="P295" s="41"/>
      <c r="Q295" s="41"/>
      <c r="R295" s="42"/>
      <c r="S295" s="42"/>
      <c r="T295" s="42"/>
      <c r="U295" s="42"/>
      <c r="V295" s="42"/>
      <c r="W295" s="42"/>
      <c r="X295" s="42"/>
      <c r="Y295" s="42"/>
      <c r="Z295" s="42"/>
      <c r="AA295" s="42"/>
      <c r="AB295" s="42"/>
      <c r="AC295" s="42"/>
      <c r="AD295" s="42"/>
      <c r="AE295" s="42"/>
      <c r="AF295" s="42"/>
      <c r="AG295" s="42"/>
      <c r="AH295" s="42"/>
      <c r="AI295" s="42">
        <f t="shared" si="3"/>
        <v>2</v>
      </c>
      <c r="AJ295" s="42"/>
      <c r="AK295" s="42"/>
    </row>
    <row r="296">
      <c r="A296" s="41" t="s">
        <v>821</v>
      </c>
      <c r="B296" s="41" t="s">
        <v>733</v>
      </c>
      <c r="C296" s="41" t="s">
        <v>600</v>
      </c>
      <c r="D296" s="41" t="s">
        <v>23</v>
      </c>
      <c r="E296" s="41" t="s">
        <v>595</v>
      </c>
      <c r="F296" s="41" t="s">
        <v>477</v>
      </c>
      <c r="G296" s="42"/>
      <c r="H296" s="42"/>
      <c r="I296" s="41" t="s">
        <v>822</v>
      </c>
      <c r="J296" s="41">
        <v>750.0</v>
      </c>
      <c r="K296" s="43" t="str">
        <f t="shared" si="1"/>
        <v>Requires Attunement, Effect, Shield, Armors, 2</v>
      </c>
      <c r="L296" s="43" t="str">
        <f t="shared" si="2"/>
        <v>Requires Attunement</v>
      </c>
      <c r="M296" s="41" t="s">
        <v>33</v>
      </c>
      <c r="N296" s="42"/>
      <c r="O296" s="41" t="s">
        <v>23</v>
      </c>
      <c r="P296" s="42"/>
      <c r="Q296" s="42"/>
      <c r="R296" s="42"/>
      <c r="S296" s="42"/>
      <c r="T296" s="42"/>
      <c r="U296" s="42"/>
      <c r="V296" s="42"/>
      <c r="W296" s="42"/>
      <c r="X296" s="42"/>
      <c r="Y296" s="42"/>
      <c r="Z296" s="42"/>
      <c r="AA296" s="42"/>
      <c r="AB296" s="42"/>
      <c r="AC296" s="42"/>
      <c r="AD296" s="42"/>
      <c r="AE296" s="42"/>
      <c r="AF296" s="42"/>
      <c r="AG296" s="44" t="s">
        <v>108</v>
      </c>
      <c r="AH296" s="42"/>
      <c r="AI296" s="42">
        <f t="shared" si="3"/>
        <v>2</v>
      </c>
      <c r="AJ296" s="42"/>
      <c r="AK296" s="42"/>
    </row>
    <row r="297">
      <c r="A297" s="41" t="s">
        <v>823</v>
      </c>
      <c r="B297" s="41" t="s">
        <v>525</v>
      </c>
      <c r="C297" s="41" t="s">
        <v>600</v>
      </c>
      <c r="D297" s="41" t="s">
        <v>529</v>
      </c>
      <c r="E297" s="41" t="s">
        <v>595</v>
      </c>
      <c r="F297" s="42"/>
      <c r="G297" s="42"/>
      <c r="H297" s="42"/>
      <c r="I297" s="41" t="s">
        <v>824</v>
      </c>
      <c r="J297" s="41">
        <v>750.0</v>
      </c>
      <c r="K297" s="43" t="str">
        <f t="shared" si="1"/>
        <v>Requires Attunement, 2</v>
      </c>
      <c r="L297" s="43" t="str">
        <f t="shared" si="2"/>
        <v>Requires Attunement</v>
      </c>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f t="shared" si="3"/>
        <v>2</v>
      </c>
      <c r="AJ297" s="42"/>
      <c r="AK297" s="42"/>
    </row>
    <row r="298">
      <c r="A298" s="41" t="s">
        <v>825</v>
      </c>
      <c r="B298" s="41" t="s">
        <v>680</v>
      </c>
      <c r="C298" s="41" t="s">
        <v>653</v>
      </c>
      <c r="D298" s="41" t="s">
        <v>681</v>
      </c>
      <c r="E298" s="41" t="s">
        <v>766</v>
      </c>
      <c r="F298" s="42"/>
      <c r="G298" s="42"/>
      <c r="H298" s="42"/>
      <c r="I298" s="41" t="s">
        <v>826</v>
      </c>
      <c r="J298" s="41">
        <v>750.0</v>
      </c>
      <c r="K298" s="43" t="str">
        <f t="shared" si="1"/>
        <v>Requires Attunement, Effect, Wizard, Spellcasting Focus, 3</v>
      </c>
      <c r="L298" s="43" t="str">
        <f t="shared" si="2"/>
        <v>Requires Attunement</v>
      </c>
      <c r="M298" s="41" t="s">
        <v>33</v>
      </c>
      <c r="N298" s="41" t="s">
        <v>76</v>
      </c>
      <c r="O298" s="42"/>
      <c r="P298" s="42"/>
      <c r="Q298" s="42"/>
      <c r="R298" s="42"/>
      <c r="S298" s="42"/>
      <c r="T298" s="42"/>
      <c r="U298" s="42"/>
      <c r="V298" s="42"/>
      <c r="W298" s="42"/>
      <c r="X298" s="41" t="s">
        <v>24</v>
      </c>
      <c r="Y298" s="42"/>
      <c r="Z298" s="42"/>
      <c r="AA298" s="42"/>
      <c r="AB298" s="42"/>
      <c r="AC298" s="42"/>
      <c r="AD298" s="42"/>
      <c r="AE298" s="42"/>
      <c r="AF298" s="42"/>
      <c r="AG298" s="42"/>
      <c r="AH298" s="42"/>
      <c r="AI298" s="42">
        <f t="shared" si="3"/>
        <v>3</v>
      </c>
      <c r="AJ298" s="42"/>
      <c r="AK298" s="42"/>
    </row>
    <row r="299">
      <c r="A299" s="41" t="s">
        <v>827</v>
      </c>
      <c r="B299" s="41" t="s">
        <v>525</v>
      </c>
      <c r="C299" s="41" t="s">
        <v>653</v>
      </c>
      <c r="D299" s="41" t="s">
        <v>529</v>
      </c>
      <c r="E299" s="42"/>
      <c r="F299" s="42"/>
      <c r="G299" s="42"/>
      <c r="H299" s="42"/>
      <c r="I299" s="41" t="s">
        <v>828</v>
      </c>
      <c r="J299" s="41">
        <v>750.0</v>
      </c>
      <c r="K299" s="43" t="str">
        <f t="shared" si="1"/>
        <v>No Attunement Required, Utility Gear, Enspelled, 3</v>
      </c>
      <c r="L299" s="43" t="str">
        <f t="shared" si="2"/>
        <v>No Attunement Required</v>
      </c>
      <c r="M299" s="44"/>
      <c r="N299" s="44" t="s">
        <v>47</v>
      </c>
      <c r="O299" s="42"/>
      <c r="P299" s="42"/>
      <c r="Q299" s="42"/>
      <c r="R299" s="44"/>
      <c r="S299" s="42"/>
      <c r="T299" s="44" t="s">
        <v>611</v>
      </c>
      <c r="U299" s="42"/>
      <c r="V299" s="42"/>
      <c r="W299" s="42"/>
      <c r="X299" s="42"/>
      <c r="Y299" s="42"/>
      <c r="Z299" s="42"/>
      <c r="AA299" s="42"/>
      <c r="AB299" s="42"/>
      <c r="AC299" s="42"/>
      <c r="AD299" s="42"/>
      <c r="AE299" s="42"/>
      <c r="AF299" s="42"/>
      <c r="AG299" s="42"/>
      <c r="AH299" s="42"/>
      <c r="AI299" s="42">
        <f t="shared" si="3"/>
        <v>3</v>
      </c>
      <c r="AJ299" s="42"/>
      <c r="AK299" s="42"/>
    </row>
    <row r="300">
      <c r="A300" s="41" t="s">
        <v>829</v>
      </c>
      <c r="B300" s="41" t="s">
        <v>625</v>
      </c>
      <c r="C300" s="41" t="s">
        <v>653</v>
      </c>
      <c r="D300" s="41" t="s">
        <v>304</v>
      </c>
      <c r="E300" s="42"/>
      <c r="F300" s="41" t="s">
        <v>485</v>
      </c>
      <c r="G300" s="41" t="s">
        <v>830</v>
      </c>
      <c r="H300" s="42"/>
      <c r="I300" s="41" t="s">
        <v>831</v>
      </c>
      <c r="J300" s="41">
        <v>750.0</v>
      </c>
      <c r="K300" s="43" t="str">
        <f t="shared" si="1"/>
        <v>No Attunement Required, Effect, Martial Weapon, Melee Weapons, 3</v>
      </c>
      <c r="L300" s="43" t="str">
        <f t="shared" si="2"/>
        <v>No Attunement Required</v>
      </c>
      <c r="M300" s="41" t="s">
        <v>33</v>
      </c>
      <c r="N300" s="42"/>
      <c r="O300" s="42"/>
      <c r="P300" s="44" t="s">
        <v>309</v>
      </c>
      <c r="Q300" s="44"/>
      <c r="R300" s="42"/>
      <c r="S300" s="42"/>
      <c r="T300" s="42"/>
      <c r="U300" s="42"/>
      <c r="V300" s="42"/>
      <c r="W300" s="42"/>
      <c r="X300" s="42"/>
      <c r="Y300" s="42"/>
      <c r="Z300" s="42"/>
      <c r="AA300" s="42"/>
      <c r="AB300" s="42"/>
      <c r="AC300" s="42"/>
      <c r="AD300" s="42"/>
      <c r="AE300" s="42"/>
      <c r="AF300" s="41" t="s">
        <v>107</v>
      </c>
      <c r="AG300" s="42"/>
      <c r="AH300" s="42"/>
      <c r="AI300" s="42">
        <f t="shared" si="3"/>
        <v>3</v>
      </c>
      <c r="AJ300" s="42"/>
      <c r="AK300" s="42"/>
    </row>
    <row r="301">
      <c r="A301" s="41" t="s">
        <v>832</v>
      </c>
      <c r="B301" s="41" t="s">
        <v>680</v>
      </c>
      <c r="C301" s="41" t="s">
        <v>653</v>
      </c>
      <c r="D301" s="41" t="s">
        <v>681</v>
      </c>
      <c r="E301" s="41" t="s">
        <v>800</v>
      </c>
      <c r="F301" s="42"/>
      <c r="G301" s="42"/>
      <c r="H301" s="42"/>
      <c r="I301" s="41" t="s">
        <v>833</v>
      </c>
      <c r="J301" s="41">
        <v>750.0</v>
      </c>
      <c r="K301" s="43" t="str">
        <f t="shared" si="1"/>
        <v>Requires Attunement, Effect, Sorcerer, Spellcasting Focus, 3</v>
      </c>
      <c r="L301" s="43" t="str">
        <f t="shared" si="2"/>
        <v>Requires Attunement</v>
      </c>
      <c r="M301" s="41" t="s">
        <v>33</v>
      </c>
      <c r="N301" s="41" t="s">
        <v>74</v>
      </c>
      <c r="O301" s="42"/>
      <c r="P301" s="42"/>
      <c r="Q301" s="42"/>
      <c r="S301" s="42"/>
      <c r="T301" s="42"/>
      <c r="U301" s="42"/>
      <c r="V301" s="42"/>
      <c r="W301" s="42"/>
      <c r="X301" s="41" t="s">
        <v>24</v>
      </c>
      <c r="Y301" s="42"/>
      <c r="Z301" s="42"/>
      <c r="AA301" s="42"/>
      <c r="AB301" s="42"/>
      <c r="AC301" s="42"/>
      <c r="AD301" s="42"/>
      <c r="AE301" s="42"/>
      <c r="AF301" s="42"/>
      <c r="AG301" s="42"/>
      <c r="AH301" s="42"/>
      <c r="AI301" s="42">
        <f t="shared" si="3"/>
        <v>3</v>
      </c>
      <c r="AJ301" s="42"/>
      <c r="AK301" s="42"/>
    </row>
    <row r="302">
      <c r="A302" s="41" t="s">
        <v>834</v>
      </c>
      <c r="B302" s="41" t="s">
        <v>680</v>
      </c>
      <c r="C302" s="41" t="s">
        <v>653</v>
      </c>
      <c r="D302" s="41" t="s">
        <v>681</v>
      </c>
      <c r="E302" s="41" t="s">
        <v>766</v>
      </c>
      <c r="F302" s="42"/>
      <c r="G302" s="42"/>
      <c r="H302" s="42"/>
      <c r="I302" s="41" t="s">
        <v>835</v>
      </c>
      <c r="J302" s="41">
        <v>750.0</v>
      </c>
      <c r="K302" s="43" t="str">
        <f t="shared" si="1"/>
        <v>Requires Attunement, Effect, Wizard, Spellcasting Focus, 3</v>
      </c>
      <c r="L302" s="43" t="str">
        <f t="shared" si="2"/>
        <v>Requires Attunement</v>
      </c>
      <c r="M302" s="41" t="s">
        <v>33</v>
      </c>
      <c r="N302" s="41" t="s">
        <v>76</v>
      </c>
      <c r="O302" s="42"/>
      <c r="P302" s="42"/>
      <c r="Q302" s="42"/>
      <c r="S302" s="42"/>
      <c r="T302" s="42"/>
      <c r="U302" s="42"/>
      <c r="V302" s="42"/>
      <c r="W302" s="42"/>
      <c r="X302" s="41" t="s">
        <v>24</v>
      </c>
      <c r="Y302" s="42"/>
      <c r="Z302" s="42"/>
      <c r="AA302" s="42"/>
      <c r="AB302" s="42"/>
      <c r="AC302" s="42"/>
      <c r="AD302" s="42"/>
      <c r="AE302" s="42"/>
      <c r="AF302" s="42"/>
      <c r="AG302" s="42"/>
      <c r="AH302" s="42"/>
      <c r="AI302" s="42">
        <f t="shared" si="3"/>
        <v>3</v>
      </c>
      <c r="AJ302" s="42"/>
      <c r="AK302" s="42"/>
    </row>
    <row r="303">
      <c r="A303" s="41" t="s">
        <v>836</v>
      </c>
      <c r="B303" s="41" t="s">
        <v>525</v>
      </c>
      <c r="C303" s="41" t="s">
        <v>653</v>
      </c>
      <c r="D303" s="41" t="s">
        <v>522</v>
      </c>
      <c r="E303" s="41" t="s">
        <v>595</v>
      </c>
      <c r="F303" s="42"/>
      <c r="G303" s="42"/>
      <c r="H303" s="42"/>
      <c r="I303" s="41" t="s">
        <v>837</v>
      </c>
      <c r="J303" s="41">
        <v>750.0</v>
      </c>
      <c r="K303" s="43" t="str">
        <f t="shared" si="1"/>
        <v>Requires Attunement, Utility Gear, Rings, Ranged Weapons, 3</v>
      </c>
      <c r="L303" s="43" t="str">
        <f t="shared" si="2"/>
        <v>Requires Attunement</v>
      </c>
      <c r="M303" s="44"/>
      <c r="N303" s="44" t="s">
        <v>47</v>
      </c>
      <c r="O303" s="42"/>
      <c r="P303" s="42"/>
      <c r="Q303" s="42"/>
      <c r="S303" s="46" t="s">
        <v>36</v>
      </c>
      <c r="T303" s="42"/>
      <c r="U303" s="42"/>
      <c r="V303" s="42"/>
      <c r="W303" s="42"/>
      <c r="X303" s="42"/>
      <c r="Y303" s="42"/>
      <c r="Z303" s="42"/>
      <c r="AA303" s="42"/>
      <c r="AB303" s="42"/>
      <c r="AC303" s="42"/>
      <c r="AD303" s="42"/>
      <c r="AE303" s="44" t="s">
        <v>106</v>
      </c>
      <c r="AF303" s="42"/>
      <c r="AG303" s="42"/>
      <c r="AH303" s="42"/>
      <c r="AI303" s="42">
        <f t="shared" si="3"/>
        <v>3</v>
      </c>
      <c r="AJ303" s="42"/>
      <c r="AK303" s="42"/>
    </row>
    <row r="304">
      <c r="A304" s="41" t="s">
        <v>838</v>
      </c>
      <c r="B304" s="41" t="s">
        <v>525</v>
      </c>
      <c r="C304" s="41" t="s">
        <v>653</v>
      </c>
      <c r="D304" s="41" t="s">
        <v>522</v>
      </c>
      <c r="E304" s="41" t="s">
        <v>595</v>
      </c>
      <c r="F304" s="42"/>
      <c r="G304" s="42"/>
      <c r="H304" s="42"/>
      <c r="I304" s="41" t="s">
        <v>839</v>
      </c>
      <c r="J304" s="41">
        <v>750.0</v>
      </c>
      <c r="K304" s="43" t="str">
        <f t="shared" si="1"/>
        <v>Requires Attunement, Utility Gear, Rings, 3</v>
      </c>
      <c r="L304" s="43" t="str">
        <f t="shared" si="2"/>
        <v>Requires Attunement</v>
      </c>
      <c r="M304" s="44"/>
      <c r="N304" s="44" t="s">
        <v>47</v>
      </c>
      <c r="O304" s="42"/>
      <c r="P304" s="42"/>
      <c r="Q304" s="42"/>
      <c r="S304" s="46" t="s">
        <v>36</v>
      </c>
      <c r="T304" s="42"/>
      <c r="U304" s="42"/>
      <c r="V304" s="42"/>
      <c r="W304" s="42"/>
      <c r="X304" s="42"/>
      <c r="Y304" s="42"/>
      <c r="Z304" s="42"/>
      <c r="AA304" s="42"/>
      <c r="AB304" s="42"/>
      <c r="AC304" s="42"/>
      <c r="AD304" s="42"/>
      <c r="AE304" s="42"/>
      <c r="AF304" s="42"/>
      <c r="AG304" s="42"/>
      <c r="AH304" s="42"/>
      <c r="AI304" s="42">
        <f t="shared" si="3"/>
        <v>3</v>
      </c>
      <c r="AJ304" s="42"/>
      <c r="AK304" s="42"/>
    </row>
    <row r="305">
      <c r="A305" s="41" t="s">
        <v>840</v>
      </c>
      <c r="B305" s="41" t="s">
        <v>841</v>
      </c>
      <c r="C305" s="41" t="s">
        <v>842</v>
      </c>
      <c r="D305" s="41" t="s">
        <v>526</v>
      </c>
      <c r="E305" s="41" t="s">
        <v>595</v>
      </c>
      <c r="F305" s="42"/>
      <c r="G305" s="42"/>
      <c r="H305" s="42"/>
      <c r="I305" s="47" t="s">
        <v>843</v>
      </c>
      <c r="J305" s="41">
        <v>750.0</v>
      </c>
      <c r="K305" s="43" t="str">
        <f t="shared" si="1"/>
        <v>Requires Attunement, Effect, Generic Variant, Enspelled, Armors, 4</v>
      </c>
      <c r="L305" s="43" t="str">
        <f t="shared" si="2"/>
        <v>Requires Attunement</v>
      </c>
      <c r="M305" s="41" t="s">
        <v>33</v>
      </c>
      <c r="N305" s="42"/>
      <c r="O305" s="42"/>
      <c r="P305" s="42"/>
      <c r="Q305" s="42"/>
      <c r="R305" s="44"/>
      <c r="S305" s="41" t="s">
        <v>526</v>
      </c>
      <c r="T305" s="44" t="s">
        <v>611</v>
      </c>
      <c r="U305" s="42"/>
      <c r="V305" s="42"/>
      <c r="W305" s="42"/>
      <c r="X305" s="42"/>
      <c r="Y305" s="42"/>
      <c r="Z305" s="42"/>
      <c r="AA305" s="42"/>
      <c r="AB305" s="42"/>
      <c r="AC305" s="42"/>
      <c r="AD305" s="42"/>
      <c r="AE305" s="42"/>
      <c r="AF305" s="42"/>
      <c r="AG305" s="44" t="s">
        <v>108</v>
      </c>
      <c r="AH305" s="42"/>
      <c r="AI305" s="42">
        <f t="shared" si="3"/>
        <v>4</v>
      </c>
      <c r="AJ305" s="42"/>
      <c r="AK305" s="42"/>
    </row>
    <row r="306">
      <c r="A306" s="41" t="s">
        <v>844</v>
      </c>
      <c r="B306" s="41" t="s">
        <v>680</v>
      </c>
      <c r="C306" s="41" t="s">
        <v>842</v>
      </c>
      <c r="D306" s="41" t="s">
        <v>681</v>
      </c>
      <c r="E306" s="41" t="s">
        <v>766</v>
      </c>
      <c r="F306" s="42"/>
      <c r="G306" s="42"/>
      <c r="H306" s="42"/>
      <c r="I306" s="41" t="s">
        <v>845</v>
      </c>
      <c r="J306" s="41">
        <v>750.0</v>
      </c>
      <c r="K306" s="43" t="str">
        <f t="shared" si="1"/>
        <v>Requires Attunement, Effect, Wizard, Spellcasting Focus, 4</v>
      </c>
      <c r="L306" s="43" t="str">
        <f t="shared" si="2"/>
        <v>Requires Attunement</v>
      </c>
      <c r="M306" s="41" t="s">
        <v>33</v>
      </c>
      <c r="N306" s="41" t="s">
        <v>76</v>
      </c>
      <c r="O306" s="42"/>
      <c r="P306" s="42"/>
      <c r="Q306" s="42"/>
      <c r="R306" s="42"/>
      <c r="S306" s="41"/>
      <c r="T306" s="41"/>
      <c r="U306" s="42"/>
      <c r="V306" s="42"/>
      <c r="W306" s="42"/>
      <c r="X306" s="41" t="s">
        <v>24</v>
      </c>
      <c r="Y306" s="42"/>
      <c r="Z306" s="42"/>
      <c r="AA306" s="42"/>
      <c r="AB306" s="42"/>
      <c r="AC306" s="42"/>
      <c r="AD306" s="42"/>
      <c r="AE306" s="42"/>
      <c r="AF306" s="42"/>
      <c r="AG306" s="42"/>
      <c r="AH306" s="42"/>
      <c r="AI306" s="42">
        <f t="shared" si="3"/>
        <v>4</v>
      </c>
      <c r="AJ306" s="42"/>
      <c r="AK306" s="42"/>
    </row>
    <row r="307">
      <c r="A307" s="41" t="s">
        <v>846</v>
      </c>
      <c r="B307" s="41" t="s">
        <v>525</v>
      </c>
      <c r="C307" s="41" t="s">
        <v>600</v>
      </c>
      <c r="D307" s="41" t="s">
        <v>529</v>
      </c>
      <c r="E307" s="41" t="s">
        <v>595</v>
      </c>
      <c r="F307" s="42"/>
      <c r="G307" s="42"/>
      <c r="H307" s="42"/>
      <c r="I307" s="41" t="s">
        <v>847</v>
      </c>
      <c r="J307" s="41">
        <v>800.0</v>
      </c>
      <c r="K307" s="43" t="str">
        <f t="shared" si="1"/>
        <v>Requires Attunement, Resistance, 2</v>
      </c>
      <c r="L307" s="43" t="str">
        <f t="shared" si="2"/>
        <v>Requires Attunement</v>
      </c>
      <c r="M307" s="42"/>
      <c r="N307" s="42"/>
      <c r="O307" s="42"/>
      <c r="P307" s="42"/>
      <c r="Q307" s="42"/>
      <c r="R307" s="42"/>
      <c r="S307" s="42"/>
      <c r="T307" s="42"/>
      <c r="U307" s="42"/>
      <c r="V307" s="42"/>
      <c r="W307" s="41" t="s">
        <v>101</v>
      </c>
      <c r="X307" s="42"/>
      <c r="Y307" s="42"/>
      <c r="Z307" s="42"/>
      <c r="AA307" s="42"/>
      <c r="AB307" s="42"/>
      <c r="AC307" s="42"/>
      <c r="AD307" s="42"/>
      <c r="AE307" s="42"/>
      <c r="AF307" s="42"/>
      <c r="AG307" s="42"/>
      <c r="AH307" s="42"/>
      <c r="AI307" s="42">
        <f t="shared" si="3"/>
        <v>2</v>
      </c>
      <c r="AJ307" s="42"/>
      <c r="AK307" s="42"/>
    </row>
    <row r="308">
      <c r="A308" s="41" t="s">
        <v>848</v>
      </c>
      <c r="B308" s="41" t="s">
        <v>525</v>
      </c>
      <c r="C308" s="41" t="s">
        <v>600</v>
      </c>
      <c r="D308" s="41" t="s">
        <v>529</v>
      </c>
      <c r="E308" s="41" t="s">
        <v>595</v>
      </c>
      <c r="F308" s="44"/>
      <c r="G308" s="42"/>
      <c r="H308" s="42"/>
      <c r="I308" s="41" t="s">
        <v>849</v>
      </c>
      <c r="J308" s="41">
        <v>800.0</v>
      </c>
      <c r="K308" s="43" t="str">
        <f t="shared" si="1"/>
        <v>Requires Attunement, Bonus AC, 2</v>
      </c>
      <c r="L308" s="43" t="str">
        <f t="shared" si="2"/>
        <v>Requires Attunement</v>
      </c>
      <c r="M308" s="42"/>
      <c r="N308" s="42"/>
      <c r="O308" s="42"/>
      <c r="P308" s="44" t="s">
        <v>45</v>
      </c>
      <c r="Q308" s="42"/>
      <c r="R308" s="42"/>
      <c r="S308" s="42"/>
      <c r="T308" s="42"/>
      <c r="U308" s="42"/>
      <c r="V308" s="42"/>
      <c r="W308" s="42"/>
      <c r="X308" s="42"/>
      <c r="Y308" s="42"/>
      <c r="Z308" s="42"/>
      <c r="AA308" s="42"/>
      <c r="AB308" s="42"/>
      <c r="AC308" s="42"/>
      <c r="AD308" s="42"/>
      <c r="AE308" s="42"/>
      <c r="AF308" s="42"/>
      <c r="AG308" s="42"/>
      <c r="AH308" s="42"/>
      <c r="AI308" s="42">
        <f t="shared" si="3"/>
        <v>2</v>
      </c>
      <c r="AJ308" s="42"/>
      <c r="AK308" s="42"/>
    </row>
    <row r="309">
      <c r="A309" s="41" t="s">
        <v>850</v>
      </c>
      <c r="B309" s="41" t="s">
        <v>525</v>
      </c>
      <c r="C309" s="41" t="s">
        <v>600</v>
      </c>
      <c r="D309" s="41" t="s">
        <v>529</v>
      </c>
      <c r="E309" s="42"/>
      <c r="F309" s="42"/>
      <c r="G309" s="42"/>
      <c r="H309" s="42"/>
      <c r="I309" s="41" t="s">
        <v>851</v>
      </c>
      <c r="J309" s="41">
        <v>800.0</v>
      </c>
      <c r="K309" s="43" t="str">
        <f t="shared" si="1"/>
        <v>No Attunement Required, Utility Gear, Imposes Disadvantage, 2</v>
      </c>
      <c r="L309" s="43" t="str">
        <f t="shared" si="2"/>
        <v>No Attunement Required</v>
      </c>
      <c r="M309" s="44"/>
      <c r="N309" s="44" t="s">
        <v>47</v>
      </c>
      <c r="O309" s="42"/>
      <c r="P309" s="42"/>
      <c r="Q309" s="42"/>
      <c r="R309" s="42"/>
      <c r="S309" s="42"/>
      <c r="T309" s="42"/>
      <c r="U309" s="44" t="s">
        <v>43</v>
      </c>
      <c r="V309" s="42"/>
      <c r="W309" s="42"/>
      <c r="X309" s="42"/>
      <c r="Y309" s="42"/>
      <c r="Z309" s="42"/>
      <c r="AA309" s="42"/>
      <c r="AB309" s="42"/>
      <c r="AC309" s="42"/>
      <c r="AD309" s="42"/>
      <c r="AE309" s="42"/>
      <c r="AF309" s="42"/>
      <c r="AG309" s="42"/>
      <c r="AH309" s="42"/>
      <c r="AI309" s="42">
        <f t="shared" si="3"/>
        <v>2</v>
      </c>
      <c r="AJ309" s="42"/>
      <c r="AK309" s="42"/>
    </row>
    <row r="310">
      <c r="A310" s="41" t="s">
        <v>852</v>
      </c>
      <c r="B310" s="41" t="s">
        <v>853</v>
      </c>
      <c r="C310" s="41" t="s">
        <v>600</v>
      </c>
      <c r="D310" s="41" t="s">
        <v>569</v>
      </c>
      <c r="E310" s="41" t="s">
        <v>617</v>
      </c>
      <c r="F310" s="42"/>
      <c r="G310" s="42"/>
      <c r="H310" s="42"/>
      <c r="I310" s="41" t="s">
        <v>854</v>
      </c>
      <c r="J310" s="41">
        <v>800.0</v>
      </c>
      <c r="K310" s="43" t="str">
        <f t="shared" si="1"/>
        <v>Requires Attunement, Effect, Spellcaster, Wand, Enspelled, 2</v>
      </c>
      <c r="L310" s="43" t="str">
        <f t="shared" si="2"/>
        <v>Requires Attunement</v>
      </c>
      <c r="M310" s="41" t="s">
        <v>33</v>
      </c>
      <c r="N310" s="41" t="s">
        <v>619</v>
      </c>
      <c r="O310" s="42"/>
      <c r="P310" s="42"/>
      <c r="Q310" s="42"/>
      <c r="R310" s="44"/>
      <c r="S310" s="41" t="s">
        <v>569</v>
      </c>
      <c r="T310" s="44" t="s">
        <v>611</v>
      </c>
      <c r="U310" s="42"/>
      <c r="V310" s="42"/>
      <c r="W310" s="42"/>
      <c r="X310" s="42"/>
      <c r="Y310" s="42"/>
      <c r="Z310" s="42"/>
      <c r="AA310" s="42"/>
      <c r="AB310" s="42"/>
      <c r="AC310" s="42"/>
      <c r="AD310" s="42"/>
      <c r="AE310" s="42"/>
      <c r="AF310" s="42"/>
      <c r="AG310" s="42"/>
      <c r="AH310" s="42"/>
      <c r="AI310" s="42">
        <f t="shared" si="3"/>
        <v>2</v>
      </c>
      <c r="AJ310" s="42"/>
      <c r="AK310" s="42"/>
    </row>
    <row r="311">
      <c r="A311" s="41" t="s">
        <v>855</v>
      </c>
      <c r="B311" s="41" t="s">
        <v>680</v>
      </c>
      <c r="C311" s="41" t="s">
        <v>653</v>
      </c>
      <c r="D311" s="41" t="s">
        <v>681</v>
      </c>
      <c r="E311" s="41" t="s">
        <v>800</v>
      </c>
      <c r="F311" s="42"/>
      <c r="G311" s="42"/>
      <c r="H311" s="42"/>
      <c r="I311" s="41" t="s">
        <v>856</v>
      </c>
      <c r="J311" s="41">
        <v>800.0</v>
      </c>
      <c r="K311" s="43" t="str">
        <f t="shared" si="1"/>
        <v>Requires Attunement, Effect, Sorcerer, Spellcasting Focus, 3</v>
      </c>
      <c r="L311" s="43" t="str">
        <f t="shared" si="2"/>
        <v>Requires Attunement</v>
      </c>
      <c r="M311" s="41" t="s">
        <v>33</v>
      </c>
      <c r="N311" s="41" t="s">
        <v>74</v>
      </c>
      <c r="O311" s="42"/>
      <c r="P311" s="42"/>
      <c r="Q311" s="42"/>
      <c r="R311" s="42"/>
      <c r="S311" s="42"/>
      <c r="T311" s="42"/>
      <c r="U311" s="42"/>
      <c r="V311" s="42"/>
      <c r="W311" s="42"/>
      <c r="X311" s="41" t="s">
        <v>24</v>
      </c>
      <c r="Y311" s="42"/>
      <c r="Z311" s="42"/>
      <c r="AA311" s="42"/>
      <c r="AB311" s="42"/>
      <c r="AC311" s="42"/>
      <c r="AD311" s="42"/>
      <c r="AE311" s="42"/>
      <c r="AF311" s="42"/>
      <c r="AG311" s="42"/>
      <c r="AH311" s="42"/>
      <c r="AI311" s="42">
        <f t="shared" si="3"/>
        <v>3</v>
      </c>
      <c r="AJ311" s="42"/>
      <c r="AK311" s="42"/>
    </row>
    <row r="312">
      <c r="A312" s="41" t="s">
        <v>857</v>
      </c>
      <c r="B312" s="41" t="s">
        <v>680</v>
      </c>
      <c r="C312" s="41" t="s">
        <v>653</v>
      </c>
      <c r="D312" s="41" t="s">
        <v>681</v>
      </c>
      <c r="E312" s="41" t="s">
        <v>800</v>
      </c>
      <c r="F312" s="42"/>
      <c r="G312" s="42"/>
      <c r="H312" s="42"/>
      <c r="I312" s="41" t="s">
        <v>858</v>
      </c>
      <c r="J312" s="41">
        <v>800.0</v>
      </c>
      <c r="K312" s="43" t="str">
        <f t="shared" si="1"/>
        <v>Requires Attunement, Effect, Sorcerer, Spellcasting Focus, 3</v>
      </c>
      <c r="L312" s="43" t="str">
        <f t="shared" si="2"/>
        <v>Requires Attunement</v>
      </c>
      <c r="M312" s="41" t="s">
        <v>33</v>
      </c>
      <c r="N312" s="41" t="s">
        <v>74</v>
      </c>
      <c r="O312" s="42"/>
      <c r="P312" s="42"/>
      <c r="Q312" s="42"/>
      <c r="R312" s="42"/>
      <c r="S312" s="42"/>
      <c r="T312" s="42"/>
      <c r="U312" s="42"/>
      <c r="V312" s="42"/>
      <c r="W312" s="42"/>
      <c r="X312" s="41" t="s">
        <v>24</v>
      </c>
      <c r="Y312" s="42"/>
      <c r="Z312" s="42"/>
      <c r="AA312" s="42"/>
      <c r="AB312" s="42"/>
      <c r="AC312" s="42"/>
      <c r="AD312" s="42"/>
      <c r="AE312" s="42"/>
      <c r="AF312" s="42"/>
      <c r="AG312" s="42"/>
      <c r="AH312" s="42"/>
      <c r="AI312" s="42">
        <f t="shared" si="3"/>
        <v>3</v>
      </c>
      <c r="AJ312" s="42"/>
      <c r="AK312" s="42"/>
    </row>
    <row r="313">
      <c r="A313" s="41" t="s">
        <v>859</v>
      </c>
      <c r="B313" s="41" t="s">
        <v>680</v>
      </c>
      <c r="C313" s="41" t="s">
        <v>653</v>
      </c>
      <c r="D313" s="41" t="s">
        <v>681</v>
      </c>
      <c r="E313" s="41" t="s">
        <v>800</v>
      </c>
      <c r="F313" s="42"/>
      <c r="G313" s="42"/>
      <c r="H313" s="42"/>
      <c r="I313" s="41" t="s">
        <v>860</v>
      </c>
      <c r="J313" s="41">
        <v>800.0</v>
      </c>
      <c r="K313" s="43" t="str">
        <f t="shared" si="1"/>
        <v>Requires Attunement, Effect, Sorcerer, Imposes Disadvantage, Spellcasting Focus, 3</v>
      </c>
      <c r="L313" s="43" t="str">
        <f t="shared" si="2"/>
        <v>Requires Attunement</v>
      </c>
      <c r="M313" s="41" t="s">
        <v>33</v>
      </c>
      <c r="N313" s="41" t="s">
        <v>74</v>
      </c>
      <c r="O313" s="42"/>
      <c r="P313" s="42"/>
      <c r="Q313" s="42"/>
      <c r="S313" s="42"/>
      <c r="T313" s="42"/>
      <c r="U313" s="44" t="s">
        <v>43</v>
      </c>
      <c r="V313" s="42"/>
      <c r="W313" s="42"/>
      <c r="X313" s="41" t="s">
        <v>24</v>
      </c>
      <c r="Y313" s="42"/>
      <c r="Z313" s="42"/>
      <c r="AA313" s="42"/>
      <c r="AB313" s="42"/>
      <c r="AC313" s="42"/>
      <c r="AD313" s="42"/>
      <c r="AE313" s="42"/>
      <c r="AF313" s="42"/>
      <c r="AG313" s="42"/>
      <c r="AH313" s="42"/>
      <c r="AI313" s="42">
        <f t="shared" si="3"/>
        <v>3</v>
      </c>
      <c r="AJ313" s="42"/>
      <c r="AK313" s="42"/>
    </row>
    <row r="314">
      <c r="A314" s="41" t="s">
        <v>861</v>
      </c>
      <c r="B314" s="41" t="s">
        <v>680</v>
      </c>
      <c r="C314" s="41" t="s">
        <v>653</v>
      </c>
      <c r="D314" s="41" t="s">
        <v>681</v>
      </c>
      <c r="E314" s="41" t="s">
        <v>800</v>
      </c>
      <c r="F314" s="42"/>
      <c r="G314" s="42"/>
      <c r="H314" s="42"/>
      <c r="I314" s="41" t="s">
        <v>862</v>
      </c>
      <c r="J314" s="41">
        <v>800.0</v>
      </c>
      <c r="K314" s="43" t="str">
        <f t="shared" si="1"/>
        <v>Requires Attunement, Effect, Sorcerer, Spellcasting Focus, 3</v>
      </c>
      <c r="L314" s="43" t="str">
        <f t="shared" si="2"/>
        <v>Requires Attunement</v>
      </c>
      <c r="M314" s="41" t="s">
        <v>33</v>
      </c>
      <c r="N314" s="41" t="s">
        <v>74</v>
      </c>
      <c r="O314" s="42"/>
      <c r="P314" s="42"/>
      <c r="Q314" s="42"/>
      <c r="S314" s="42"/>
      <c r="T314" s="42"/>
      <c r="U314" s="42"/>
      <c r="V314" s="42"/>
      <c r="W314" s="42"/>
      <c r="X314" s="41" t="s">
        <v>24</v>
      </c>
      <c r="Y314" s="42"/>
      <c r="Z314" s="42"/>
      <c r="AA314" s="42"/>
      <c r="AB314" s="42"/>
      <c r="AC314" s="42"/>
      <c r="AD314" s="42"/>
      <c r="AE314" s="42"/>
      <c r="AF314" s="42"/>
      <c r="AG314" s="42"/>
      <c r="AH314" s="42"/>
      <c r="AI314" s="42">
        <f t="shared" si="3"/>
        <v>3</v>
      </c>
      <c r="AJ314" s="42"/>
      <c r="AK314" s="42"/>
    </row>
    <row r="315">
      <c r="A315" s="41" t="s">
        <v>863</v>
      </c>
      <c r="B315" s="41" t="s">
        <v>525</v>
      </c>
      <c r="C315" s="41" t="s">
        <v>653</v>
      </c>
      <c r="D315" s="41" t="s">
        <v>522</v>
      </c>
      <c r="E315" s="41" t="s">
        <v>595</v>
      </c>
      <c r="F315" s="42"/>
      <c r="G315" s="42"/>
      <c r="H315" s="42"/>
      <c r="I315" s="41" t="s">
        <v>864</v>
      </c>
      <c r="J315" s="41">
        <v>800.0</v>
      </c>
      <c r="K315" s="43" t="str">
        <f t="shared" si="1"/>
        <v>Requires Attunement, Utility Gear, Rings, 3</v>
      </c>
      <c r="L315" s="43" t="str">
        <f t="shared" si="2"/>
        <v>Requires Attunement</v>
      </c>
      <c r="M315" s="44"/>
      <c r="N315" s="44" t="s">
        <v>47</v>
      </c>
      <c r="O315" s="42"/>
      <c r="P315" s="42"/>
      <c r="Q315" s="42"/>
      <c r="S315" s="46" t="s">
        <v>36</v>
      </c>
      <c r="T315" s="42"/>
      <c r="U315" s="42"/>
      <c r="V315" s="42"/>
      <c r="W315" s="42"/>
      <c r="X315" s="42"/>
      <c r="Y315" s="42"/>
      <c r="Z315" s="42"/>
      <c r="AA315" s="42"/>
      <c r="AB315" s="42"/>
      <c r="AC315" s="42"/>
      <c r="AD315" s="42"/>
      <c r="AE315" s="42"/>
      <c r="AF315" s="42"/>
      <c r="AG315" s="42"/>
      <c r="AH315" s="42"/>
      <c r="AI315" s="42">
        <f t="shared" si="3"/>
        <v>3</v>
      </c>
      <c r="AJ315" s="42"/>
      <c r="AK315" s="42"/>
    </row>
    <row r="316">
      <c r="A316" s="41" t="s">
        <v>865</v>
      </c>
      <c r="B316" s="41" t="s">
        <v>525</v>
      </c>
      <c r="C316" s="41" t="s">
        <v>653</v>
      </c>
      <c r="D316" s="41" t="s">
        <v>522</v>
      </c>
      <c r="E316" s="42"/>
      <c r="F316" s="42"/>
      <c r="G316" s="42"/>
      <c r="H316" s="42"/>
      <c r="I316" s="41" t="s">
        <v>866</v>
      </c>
      <c r="J316" s="41">
        <v>800.0</v>
      </c>
      <c r="K316" s="43" t="str">
        <f t="shared" si="1"/>
        <v>No Attunement Required, Utility Gear, Rings, Resistance, 3</v>
      </c>
      <c r="L316" s="43" t="str">
        <f t="shared" si="2"/>
        <v>No Attunement Required</v>
      </c>
      <c r="M316" s="44"/>
      <c r="N316" s="44" t="s">
        <v>47</v>
      </c>
      <c r="O316" s="42"/>
      <c r="P316" s="42"/>
      <c r="Q316" s="42"/>
      <c r="S316" s="46" t="s">
        <v>36</v>
      </c>
      <c r="T316" s="42"/>
      <c r="U316" s="42"/>
      <c r="V316" s="42"/>
      <c r="W316" s="41" t="s">
        <v>101</v>
      </c>
      <c r="X316" s="42"/>
      <c r="Y316" s="42"/>
      <c r="Z316" s="42"/>
      <c r="AA316" s="42"/>
      <c r="AB316" s="42"/>
      <c r="AC316" s="42"/>
      <c r="AD316" s="42"/>
      <c r="AE316" s="42"/>
      <c r="AF316" s="42"/>
      <c r="AG316" s="42"/>
      <c r="AH316" s="42"/>
      <c r="AI316" s="42">
        <f t="shared" si="3"/>
        <v>3</v>
      </c>
      <c r="AJ316" s="42"/>
      <c r="AK316" s="42"/>
    </row>
    <row r="317">
      <c r="A317" s="41" t="s">
        <v>867</v>
      </c>
      <c r="B317" s="41" t="s">
        <v>625</v>
      </c>
      <c r="C317" s="41" t="s">
        <v>842</v>
      </c>
      <c r="D317" s="41" t="s">
        <v>526</v>
      </c>
      <c r="E317" s="41" t="s">
        <v>595</v>
      </c>
      <c r="F317" s="42"/>
      <c r="G317" s="42"/>
      <c r="H317" s="42"/>
      <c r="I317" s="41" t="s">
        <v>868</v>
      </c>
      <c r="J317" s="41">
        <v>800.0</v>
      </c>
      <c r="K317" s="43" t="str">
        <f t="shared" si="1"/>
        <v>Requires Attunement, Effect, Generic Variant, Melee Weapons, 4</v>
      </c>
      <c r="L317" s="43" t="str">
        <f t="shared" si="2"/>
        <v>Requires Attunement</v>
      </c>
      <c r="M317" s="41" t="s">
        <v>33</v>
      </c>
      <c r="N317" s="42"/>
      <c r="O317" s="42"/>
      <c r="P317" s="42"/>
      <c r="Q317" s="42"/>
      <c r="R317" s="42"/>
      <c r="S317" s="44" t="s">
        <v>526</v>
      </c>
      <c r="T317" s="44"/>
      <c r="U317" s="42"/>
      <c r="V317" s="42"/>
      <c r="W317" s="42"/>
      <c r="X317" s="42"/>
      <c r="Y317" s="42"/>
      <c r="Z317" s="42"/>
      <c r="AA317" s="42"/>
      <c r="AB317" s="42"/>
      <c r="AC317" s="42"/>
      <c r="AD317" s="42"/>
      <c r="AE317" s="42"/>
      <c r="AF317" s="44" t="s">
        <v>107</v>
      </c>
      <c r="AG317" s="42"/>
      <c r="AH317" s="42"/>
      <c r="AI317" s="42">
        <f t="shared" si="3"/>
        <v>4</v>
      </c>
      <c r="AJ317" s="42"/>
      <c r="AK317" s="42"/>
    </row>
    <row r="318">
      <c r="A318" s="41" t="s">
        <v>869</v>
      </c>
      <c r="B318" s="41" t="s">
        <v>680</v>
      </c>
      <c r="C318" s="41" t="s">
        <v>842</v>
      </c>
      <c r="D318" s="41" t="s">
        <v>771</v>
      </c>
      <c r="E318" s="41" t="s">
        <v>595</v>
      </c>
      <c r="F318" s="42"/>
      <c r="G318" s="42"/>
      <c r="H318" s="42"/>
      <c r="I318" s="41" t="s">
        <v>870</v>
      </c>
      <c r="J318" s="41">
        <v>800.0</v>
      </c>
      <c r="K318" s="43" t="str">
        <f t="shared" si="1"/>
        <v>Requires Attunement, Tattoo, Healing, Resistance, 4</v>
      </c>
      <c r="L318" s="43" t="str">
        <f t="shared" si="2"/>
        <v>Requires Attunement</v>
      </c>
      <c r="M318" s="42"/>
      <c r="N318" s="42"/>
      <c r="O318" s="42"/>
      <c r="P318" s="42"/>
      <c r="Q318" s="44" t="s">
        <v>55</v>
      </c>
      <c r="R318" s="46" t="s">
        <v>46</v>
      </c>
      <c r="S318" s="44"/>
      <c r="T318" s="44"/>
      <c r="U318" s="42"/>
      <c r="V318" s="42"/>
      <c r="W318" s="41" t="s">
        <v>101</v>
      </c>
      <c r="X318" s="42"/>
      <c r="Y318" s="42"/>
      <c r="Z318" s="42"/>
      <c r="AA318" s="42"/>
      <c r="AB318" s="42"/>
      <c r="AC318" s="42"/>
      <c r="AD318" s="42"/>
      <c r="AE318" s="42"/>
      <c r="AF318" s="42"/>
      <c r="AG318" s="42"/>
      <c r="AH318" s="42"/>
      <c r="AI318" s="42">
        <f t="shared" si="3"/>
        <v>4</v>
      </c>
      <c r="AJ318" s="42"/>
      <c r="AK318" s="42"/>
    </row>
    <row r="319">
      <c r="A319" s="41" t="s">
        <v>871</v>
      </c>
      <c r="B319" s="41" t="s">
        <v>872</v>
      </c>
      <c r="C319" s="41" t="s">
        <v>112</v>
      </c>
      <c r="D319" s="41" t="s">
        <v>113</v>
      </c>
      <c r="E319" s="42"/>
      <c r="F319" s="42"/>
      <c r="G319" s="42"/>
      <c r="H319" s="42"/>
      <c r="I319" s="41" t="s">
        <v>873</v>
      </c>
      <c r="J319" s="41">
        <v>850.0</v>
      </c>
      <c r="K319" s="43" t="str">
        <f t="shared" si="1"/>
        <v>No Attunement Required, Adventuring Gear, 0</v>
      </c>
      <c r="L319" s="43" t="str">
        <f t="shared" si="2"/>
        <v>No Attunement Required</v>
      </c>
      <c r="M319" s="42"/>
      <c r="N319" s="42"/>
      <c r="O319" s="42"/>
      <c r="P319" s="44"/>
      <c r="Q319" s="44"/>
      <c r="R319" s="42"/>
      <c r="S319" s="42"/>
      <c r="T319" s="42"/>
      <c r="U319" s="42"/>
      <c r="V319" s="42"/>
      <c r="W319" s="42"/>
      <c r="X319" s="42"/>
      <c r="Y319" s="42"/>
      <c r="Z319" s="42"/>
      <c r="AA319" s="42"/>
      <c r="AB319" s="44" t="s">
        <v>21</v>
      </c>
      <c r="AC319" s="42"/>
      <c r="AD319" s="42"/>
      <c r="AE319" s="42"/>
      <c r="AF319" s="42"/>
      <c r="AG319" s="42"/>
      <c r="AH319" s="42"/>
      <c r="AI319" s="42">
        <f t="shared" si="3"/>
        <v>0</v>
      </c>
      <c r="AJ319" s="42"/>
      <c r="AK319" s="42"/>
    </row>
    <row r="320">
      <c r="A320" s="41" t="s">
        <v>874</v>
      </c>
      <c r="B320" s="41" t="s">
        <v>525</v>
      </c>
      <c r="C320" s="41" t="s">
        <v>600</v>
      </c>
      <c r="D320" s="41" t="s">
        <v>529</v>
      </c>
      <c r="E320" s="42"/>
      <c r="F320" s="42"/>
      <c r="G320" s="42"/>
      <c r="H320" s="42"/>
      <c r="I320" s="41" t="s">
        <v>875</v>
      </c>
      <c r="J320" s="41">
        <v>850.0</v>
      </c>
      <c r="K320" s="43" t="str">
        <f t="shared" si="1"/>
        <v>No Attunement Required, Utility Gear, Grants Advantage, 2</v>
      </c>
      <c r="L320" s="43" t="str">
        <f t="shared" si="2"/>
        <v>No Attunement Required</v>
      </c>
      <c r="M320" s="44"/>
      <c r="N320" s="44" t="s">
        <v>47</v>
      </c>
      <c r="O320" s="42"/>
      <c r="P320" s="42"/>
      <c r="Q320" s="42"/>
      <c r="R320" s="42"/>
      <c r="S320" s="42"/>
      <c r="T320" s="42"/>
      <c r="U320" s="44" t="s">
        <v>42</v>
      </c>
      <c r="V320" s="42"/>
      <c r="W320" s="42"/>
      <c r="X320" s="42"/>
      <c r="Y320" s="42"/>
      <c r="Z320" s="42"/>
      <c r="AA320" s="42"/>
      <c r="AB320" s="42"/>
      <c r="AC320" s="42"/>
      <c r="AD320" s="42"/>
      <c r="AE320" s="42"/>
      <c r="AF320" s="42"/>
      <c r="AG320" s="42"/>
      <c r="AH320" s="42"/>
      <c r="AI320" s="42">
        <f t="shared" si="3"/>
        <v>2</v>
      </c>
      <c r="AJ320" s="42"/>
      <c r="AK320" s="42"/>
    </row>
    <row r="321">
      <c r="A321" s="41" t="s">
        <v>876</v>
      </c>
      <c r="B321" s="41" t="s">
        <v>525</v>
      </c>
      <c r="C321" s="41" t="s">
        <v>600</v>
      </c>
      <c r="D321" s="41" t="s">
        <v>529</v>
      </c>
      <c r="E321" s="41" t="s">
        <v>595</v>
      </c>
      <c r="F321" s="42"/>
      <c r="G321" s="42"/>
      <c r="H321" s="42"/>
      <c r="I321" s="41" t="s">
        <v>877</v>
      </c>
      <c r="J321" s="41">
        <v>850.0</v>
      </c>
      <c r="K321" s="43" t="str">
        <f t="shared" si="1"/>
        <v>Requires Attunement, Shield, Resistance, 2</v>
      </c>
      <c r="L321" s="43" t="str">
        <f t="shared" si="2"/>
        <v>Requires Attunement</v>
      </c>
      <c r="M321" s="42"/>
      <c r="N321" s="42"/>
      <c r="O321" s="41" t="s">
        <v>23</v>
      </c>
      <c r="P321" s="42"/>
      <c r="Q321" s="42"/>
      <c r="R321" s="42"/>
      <c r="S321" s="42"/>
      <c r="T321" s="42"/>
      <c r="U321" s="42"/>
      <c r="V321" s="42"/>
      <c r="W321" s="41" t="s">
        <v>101</v>
      </c>
      <c r="X321" s="42"/>
      <c r="Y321" s="42"/>
      <c r="Z321" s="42"/>
      <c r="AA321" s="42"/>
      <c r="AB321" s="42"/>
      <c r="AC321" s="42"/>
      <c r="AD321" s="42"/>
      <c r="AE321" s="42"/>
      <c r="AF321" s="42"/>
      <c r="AG321" s="42"/>
      <c r="AH321" s="42"/>
      <c r="AI321" s="42">
        <f t="shared" si="3"/>
        <v>2</v>
      </c>
      <c r="AJ321" s="42"/>
      <c r="AK321" s="42"/>
    </row>
    <row r="322">
      <c r="A322" s="41" t="s">
        <v>878</v>
      </c>
      <c r="B322" s="41" t="s">
        <v>525</v>
      </c>
      <c r="C322" s="41" t="s">
        <v>600</v>
      </c>
      <c r="D322" s="41" t="s">
        <v>556</v>
      </c>
      <c r="E322" s="42"/>
      <c r="F322" s="42"/>
      <c r="G322" s="42"/>
      <c r="H322" s="42"/>
      <c r="I322" s="41" t="s">
        <v>879</v>
      </c>
      <c r="J322" s="41">
        <v>850.0</v>
      </c>
      <c r="K322" s="43" t="str">
        <f t="shared" si="1"/>
        <v>No Attunement Required, Potions, 2</v>
      </c>
      <c r="L322" s="43" t="str">
        <f t="shared" si="2"/>
        <v>No Attunement Required</v>
      </c>
      <c r="M322" s="42"/>
      <c r="N322" s="42"/>
      <c r="O322" s="42"/>
      <c r="P322" s="42"/>
      <c r="Q322" s="42"/>
      <c r="S322" s="41" t="s">
        <v>57</v>
      </c>
      <c r="T322" s="41"/>
      <c r="U322" s="42"/>
      <c r="V322" s="42"/>
      <c r="W322" s="42"/>
      <c r="X322" s="42"/>
      <c r="Y322" s="42"/>
      <c r="Z322" s="42"/>
      <c r="AA322" s="42"/>
      <c r="AB322" s="42"/>
      <c r="AC322" s="42"/>
      <c r="AD322" s="42"/>
      <c r="AE322" s="42"/>
      <c r="AF322" s="42"/>
      <c r="AG322" s="42"/>
      <c r="AH322" s="42"/>
      <c r="AI322" s="42">
        <f t="shared" si="3"/>
        <v>2</v>
      </c>
      <c r="AJ322" s="42"/>
      <c r="AK322" s="42"/>
    </row>
    <row r="323">
      <c r="A323" s="41" t="s">
        <v>880</v>
      </c>
      <c r="B323" s="41" t="s">
        <v>733</v>
      </c>
      <c r="C323" s="41" t="s">
        <v>600</v>
      </c>
      <c r="D323" s="41" t="s">
        <v>331</v>
      </c>
      <c r="E323" s="41" t="s">
        <v>595</v>
      </c>
      <c r="F323" s="41" t="s">
        <v>342</v>
      </c>
      <c r="G323" s="41" t="s">
        <v>343</v>
      </c>
      <c r="H323" s="41" t="s">
        <v>344</v>
      </c>
      <c r="I323" s="41" t="s">
        <v>881</v>
      </c>
      <c r="J323" s="41">
        <v>850.0</v>
      </c>
      <c r="K323" s="43" t="str">
        <f t="shared" si="1"/>
        <v>Requires Attunement, Effect, Simple Weapon, Melee Weapons, 2</v>
      </c>
      <c r="L323" s="43" t="str">
        <f t="shared" si="2"/>
        <v>Requires Attunement</v>
      </c>
      <c r="M323" s="41" t="s">
        <v>33</v>
      </c>
      <c r="N323" s="42"/>
      <c r="O323" s="42"/>
      <c r="P323" s="44" t="s">
        <v>336</v>
      </c>
      <c r="Q323" s="44"/>
      <c r="S323" s="41"/>
      <c r="T323" s="41"/>
      <c r="U323" s="42"/>
      <c r="V323" s="42"/>
      <c r="W323" s="42"/>
      <c r="X323" s="42"/>
      <c r="Y323" s="42"/>
      <c r="Z323" s="42"/>
      <c r="AA323" s="42"/>
      <c r="AB323" s="42"/>
      <c r="AC323" s="42"/>
      <c r="AD323" s="42"/>
      <c r="AE323" s="42"/>
      <c r="AF323" s="41" t="s">
        <v>107</v>
      </c>
      <c r="AG323" s="42"/>
      <c r="AH323" s="42"/>
      <c r="AI323" s="42">
        <f t="shared" si="3"/>
        <v>2</v>
      </c>
      <c r="AJ323" s="42"/>
      <c r="AK323" s="42"/>
    </row>
    <row r="324">
      <c r="A324" s="41" t="s">
        <v>882</v>
      </c>
      <c r="B324" s="41" t="s">
        <v>680</v>
      </c>
      <c r="C324" s="41" t="s">
        <v>653</v>
      </c>
      <c r="D324" s="41" t="s">
        <v>681</v>
      </c>
      <c r="E324" s="41" t="s">
        <v>800</v>
      </c>
      <c r="F324" s="42"/>
      <c r="G324" s="42"/>
      <c r="H324" s="42"/>
      <c r="I324" s="41" t="s">
        <v>883</v>
      </c>
      <c r="J324" s="41">
        <v>850.0</v>
      </c>
      <c r="K324" s="43" t="str">
        <f t="shared" si="1"/>
        <v>Requires Attunement, Effect, Sorcerer, Spellcasting Focus, 3</v>
      </c>
      <c r="L324" s="43" t="str">
        <f t="shared" si="2"/>
        <v>Requires Attunement</v>
      </c>
      <c r="M324" s="41" t="s">
        <v>33</v>
      </c>
      <c r="N324" s="41" t="s">
        <v>74</v>
      </c>
      <c r="O324" s="42"/>
      <c r="P324" s="42"/>
      <c r="Q324" s="42"/>
      <c r="R324" s="41"/>
      <c r="S324" s="42"/>
      <c r="T324" s="42"/>
      <c r="U324" s="42"/>
      <c r="V324" s="42"/>
      <c r="W324" s="42"/>
      <c r="X324" s="41" t="s">
        <v>24</v>
      </c>
      <c r="Y324" s="42"/>
      <c r="Z324" s="42"/>
      <c r="AA324" s="42"/>
      <c r="AB324" s="42"/>
      <c r="AC324" s="42"/>
      <c r="AD324" s="42"/>
      <c r="AE324" s="42"/>
      <c r="AF324" s="42"/>
      <c r="AG324" s="42"/>
      <c r="AH324" s="42"/>
      <c r="AI324" s="42">
        <f t="shared" si="3"/>
        <v>3</v>
      </c>
      <c r="AJ324" s="42"/>
      <c r="AK324" s="42"/>
    </row>
    <row r="325">
      <c r="A325" s="41" t="s">
        <v>884</v>
      </c>
      <c r="B325" s="41" t="s">
        <v>525</v>
      </c>
      <c r="C325" s="41" t="s">
        <v>653</v>
      </c>
      <c r="D325" s="41" t="s">
        <v>529</v>
      </c>
      <c r="E325" s="41" t="s">
        <v>595</v>
      </c>
      <c r="F325" s="42"/>
      <c r="G325" s="42"/>
      <c r="H325" s="42"/>
      <c r="I325" s="41" t="s">
        <v>885</v>
      </c>
      <c r="J325" s="41">
        <v>850.0</v>
      </c>
      <c r="K325" s="43" t="str">
        <f t="shared" si="1"/>
        <v>Requires Attunement, 3</v>
      </c>
      <c r="L325" s="43" t="str">
        <f t="shared" si="2"/>
        <v>Requires Attunement</v>
      </c>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f t="shared" si="3"/>
        <v>3</v>
      </c>
      <c r="AJ325" s="42"/>
      <c r="AK325" s="42"/>
    </row>
    <row r="326">
      <c r="A326" s="41" t="s">
        <v>886</v>
      </c>
      <c r="B326" s="41" t="s">
        <v>525</v>
      </c>
      <c r="C326" s="41" t="s">
        <v>653</v>
      </c>
      <c r="D326" s="41" t="s">
        <v>529</v>
      </c>
      <c r="E326" s="41" t="s">
        <v>595</v>
      </c>
      <c r="F326" s="42"/>
      <c r="G326" s="42"/>
      <c r="H326" s="42"/>
      <c r="I326" s="41" t="s">
        <v>887</v>
      </c>
      <c r="J326" s="41">
        <v>850.0</v>
      </c>
      <c r="K326" s="43" t="str">
        <f t="shared" si="1"/>
        <v>Requires Attunement, Utility Gear, Enspelled, Grants Advantage, Flying, 3</v>
      </c>
      <c r="L326" s="43" t="str">
        <f t="shared" si="2"/>
        <v>Requires Attunement</v>
      </c>
      <c r="M326" s="44"/>
      <c r="N326" s="44" t="s">
        <v>47</v>
      </c>
      <c r="O326" s="42"/>
      <c r="P326" s="42"/>
      <c r="Q326" s="42"/>
      <c r="R326" s="44"/>
      <c r="S326" s="42"/>
      <c r="T326" s="44" t="s">
        <v>611</v>
      </c>
      <c r="U326" s="44" t="s">
        <v>42</v>
      </c>
      <c r="V326" s="41" t="s">
        <v>49</v>
      </c>
      <c r="W326" s="42"/>
      <c r="X326" s="42"/>
      <c r="Y326" s="42"/>
      <c r="Z326" s="42"/>
      <c r="AA326" s="42"/>
      <c r="AB326" s="42"/>
      <c r="AC326" s="42"/>
      <c r="AD326" s="42"/>
      <c r="AE326" s="42"/>
      <c r="AF326" s="42"/>
      <c r="AG326" s="42"/>
      <c r="AH326" s="42"/>
      <c r="AI326" s="42">
        <f t="shared" si="3"/>
        <v>3</v>
      </c>
      <c r="AJ326" s="42"/>
      <c r="AK326" s="42"/>
    </row>
    <row r="327">
      <c r="A327" s="41" t="s">
        <v>888</v>
      </c>
      <c r="B327" s="41" t="s">
        <v>525</v>
      </c>
      <c r="C327" s="41" t="s">
        <v>653</v>
      </c>
      <c r="D327" s="41" t="s">
        <v>556</v>
      </c>
      <c r="E327" s="42"/>
      <c r="F327" s="42"/>
      <c r="G327" s="42"/>
      <c r="H327" s="42"/>
      <c r="I327" s="41" t="s">
        <v>889</v>
      </c>
      <c r="J327" s="41">
        <v>850.0</v>
      </c>
      <c r="K327" s="43" t="str">
        <f t="shared" si="1"/>
        <v>No Attunement Required, Potions, 3</v>
      </c>
      <c r="L327" s="43" t="str">
        <f t="shared" si="2"/>
        <v>No Attunement Required</v>
      </c>
      <c r="M327" s="42"/>
      <c r="N327" s="42"/>
      <c r="O327" s="42"/>
      <c r="P327" s="42"/>
      <c r="Q327" s="42"/>
      <c r="S327" s="41" t="s">
        <v>57</v>
      </c>
      <c r="T327" s="41"/>
      <c r="U327" s="42"/>
      <c r="V327" s="42"/>
      <c r="W327" s="42"/>
      <c r="X327" s="42"/>
      <c r="Y327" s="42"/>
      <c r="Z327" s="42"/>
      <c r="AA327" s="42"/>
      <c r="AB327" s="42"/>
      <c r="AC327" s="42"/>
      <c r="AD327" s="42"/>
      <c r="AE327" s="42"/>
      <c r="AF327" s="42"/>
      <c r="AG327" s="42"/>
      <c r="AH327" s="42"/>
      <c r="AI327" s="42">
        <f t="shared" si="3"/>
        <v>3</v>
      </c>
      <c r="AJ327" s="42"/>
      <c r="AK327" s="42"/>
    </row>
    <row r="328">
      <c r="A328" s="41" t="s">
        <v>890</v>
      </c>
      <c r="B328" s="41" t="s">
        <v>625</v>
      </c>
      <c r="C328" s="41" t="s">
        <v>653</v>
      </c>
      <c r="D328" s="41" t="s">
        <v>529</v>
      </c>
      <c r="E328" s="41" t="s">
        <v>595</v>
      </c>
      <c r="F328" s="42"/>
      <c r="G328" s="42"/>
      <c r="H328" s="42"/>
      <c r="I328" s="41" t="s">
        <v>891</v>
      </c>
      <c r="J328" s="41">
        <v>850.0</v>
      </c>
      <c r="K328" s="43" t="str">
        <f t="shared" si="1"/>
        <v>Requires Attunement, Utility Gear, Enspelled, Grants Advantage, 3</v>
      </c>
      <c r="L328" s="43" t="str">
        <f t="shared" si="2"/>
        <v>Requires Attunement</v>
      </c>
      <c r="M328" s="44"/>
      <c r="N328" s="44" t="s">
        <v>47</v>
      </c>
      <c r="O328" s="42"/>
      <c r="P328" s="42"/>
      <c r="Q328" s="42"/>
      <c r="R328" s="44"/>
      <c r="S328" s="41"/>
      <c r="T328" s="44" t="s">
        <v>611</v>
      </c>
      <c r="U328" s="44" t="s">
        <v>42</v>
      </c>
      <c r="V328" s="42"/>
      <c r="W328" s="42"/>
      <c r="X328" s="42"/>
      <c r="Y328" s="42"/>
      <c r="Z328" s="42"/>
      <c r="AA328" s="42"/>
      <c r="AB328" s="42"/>
      <c r="AC328" s="42"/>
      <c r="AD328" s="42"/>
      <c r="AE328" s="42"/>
      <c r="AF328" s="42"/>
      <c r="AG328" s="42"/>
      <c r="AH328" s="42"/>
      <c r="AI328" s="42">
        <f t="shared" si="3"/>
        <v>3</v>
      </c>
      <c r="AJ328" s="42"/>
      <c r="AK328" s="42"/>
    </row>
    <row r="329">
      <c r="A329" s="41" t="s">
        <v>892</v>
      </c>
      <c r="B329" s="41" t="s">
        <v>525</v>
      </c>
      <c r="C329" s="41" t="s">
        <v>653</v>
      </c>
      <c r="D329" s="41" t="s">
        <v>529</v>
      </c>
      <c r="E329" s="42"/>
      <c r="F329" s="42"/>
      <c r="G329" s="42"/>
      <c r="H329" s="42"/>
      <c r="I329" s="41" t="s">
        <v>893</v>
      </c>
      <c r="J329" s="41">
        <v>850.0</v>
      </c>
      <c r="K329" s="43" t="str">
        <f t="shared" si="1"/>
        <v>No Attunement Required, Utility Gear, Utility Weapon, 3</v>
      </c>
      <c r="L329" s="43" t="str">
        <f t="shared" si="2"/>
        <v>No Attunement Required</v>
      </c>
      <c r="M329" s="44"/>
      <c r="N329" s="44" t="s">
        <v>47</v>
      </c>
      <c r="O329" s="42"/>
      <c r="P329" s="44"/>
      <c r="Q329" s="44" t="s">
        <v>54</v>
      </c>
      <c r="S329" s="42"/>
      <c r="T329" s="42"/>
      <c r="U329" s="42"/>
      <c r="V329" s="42"/>
      <c r="W329" s="42"/>
      <c r="X329" s="42"/>
      <c r="Y329" s="42"/>
      <c r="Z329" s="42"/>
      <c r="AA329" s="42"/>
      <c r="AB329" s="42"/>
      <c r="AC329" s="42"/>
      <c r="AD329" s="42"/>
      <c r="AE329" s="42"/>
      <c r="AF329" s="42"/>
      <c r="AG329" s="42"/>
      <c r="AH329" s="42"/>
      <c r="AI329" s="42">
        <f t="shared" si="3"/>
        <v>3</v>
      </c>
      <c r="AJ329" s="42"/>
      <c r="AK329" s="42"/>
    </row>
    <row r="330">
      <c r="A330" s="41" t="s">
        <v>894</v>
      </c>
      <c r="B330" s="41" t="s">
        <v>525</v>
      </c>
      <c r="C330" s="41" t="s">
        <v>842</v>
      </c>
      <c r="D330" s="41" t="s">
        <v>526</v>
      </c>
      <c r="E330" s="42"/>
      <c r="F330" s="44"/>
      <c r="G330" s="42"/>
      <c r="H330" s="42"/>
      <c r="I330" s="41" t="s">
        <v>895</v>
      </c>
      <c r="J330" s="41">
        <v>850.0</v>
      </c>
      <c r="K330" s="43" t="str">
        <f t="shared" si="1"/>
        <v>No Attunement Required, Effect, Bonus AC, Generic Variant, Armors, 4</v>
      </c>
      <c r="L330" s="43" t="str">
        <f t="shared" si="2"/>
        <v>No Attunement Required</v>
      </c>
      <c r="M330" s="41" t="s">
        <v>33</v>
      </c>
      <c r="N330" s="42"/>
      <c r="O330" s="42"/>
      <c r="P330" s="44" t="s">
        <v>45</v>
      </c>
      <c r="Q330" s="42"/>
      <c r="R330" s="42"/>
      <c r="S330" s="44" t="s">
        <v>526</v>
      </c>
      <c r="T330" s="44"/>
      <c r="U330" s="42"/>
      <c r="V330" s="42"/>
      <c r="W330" s="42"/>
      <c r="X330" s="42"/>
      <c r="Y330" s="42"/>
      <c r="Z330" s="42"/>
      <c r="AA330" s="42"/>
      <c r="AB330" s="42"/>
      <c r="AC330" s="42"/>
      <c r="AD330" s="42"/>
      <c r="AE330" s="42"/>
      <c r="AF330" s="42"/>
      <c r="AG330" s="44" t="s">
        <v>108</v>
      </c>
      <c r="AH330" s="42"/>
      <c r="AI330" s="42">
        <f t="shared" si="3"/>
        <v>4</v>
      </c>
      <c r="AJ330" s="42"/>
      <c r="AK330" s="42"/>
    </row>
    <row r="331">
      <c r="A331" s="41" t="s">
        <v>896</v>
      </c>
      <c r="B331" s="41" t="s">
        <v>625</v>
      </c>
      <c r="C331" s="41" t="s">
        <v>897</v>
      </c>
      <c r="D331" s="41" t="s">
        <v>529</v>
      </c>
      <c r="E331" s="41" t="s">
        <v>898</v>
      </c>
      <c r="F331" s="42"/>
      <c r="G331" s="42"/>
      <c r="H331" s="42"/>
      <c r="I331" s="41" t="s">
        <v>899</v>
      </c>
      <c r="J331" s="41">
        <v>850.0</v>
      </c>
      <c r="K331" s="43" t="str">
        <f t="shared" si="1"/>
        <v>Requires Attunement, Bard, Sorcerer, Warlock, Spellcasting Focus, 5</v>
      </c>
      <c r="L331" s="43" t="str">
        <f t="shared" si="2"/>
        <v>Requires Attunement</v>
      </c>
      <c r="M331" s="41"/>
      <c r="N331" s="41" t="s">
        <v>900</v>
      </c>
      <c r="O331" s="42"/>
      <c r="P331" s="42"/>
      <c r="Q331" s="41"/>
      <c r="S331" s="42"/>
      <c r="T331" s="42"/>
      <c r="U331" s="42"/>
      <c r="V331" s="42"/>
      <c r="W331" s="42"/>
      <c r="X331" s="41" t="s">
        <v>24</v>
      </c>
      <c r="Y331" s="42"/>
      <c r="Z331" s="42"/>
      <c r="AA331" s="42"/>
      <c r="AB331" s="42"/>
      <c r="AC331" s="42"/>
      <c r="AD331" s="42"/>
      <c r="AE331" s="42"/>
      <c r="AF331" s="42"/>
      <c r="AG331" s="42"/>
      <c r="AH331" s="42"/>
      <c r="AI331" s="42">
        <f t="shared" si="3"/>
        <v>5</v>
      </c>
      <c r="AJ331" s="42"/>
      <c r="AK331" s="42"/>
    </row>
    <row r="332">
      <c r="A332" s="41" t="s">
        <v>901</v>
      </c>
      <c r="B332" s="41" t="s">
        <v>525</v>
      </c>
      <c r="C332" s="41" t="s">
        <v>600</v>
      </c>
      <c r="D332" s="41" t="s">
        <v>526</v>
      </c>
      <c r="E332" s="41" t="s">
        <v>595</v>
      </c>
      <c r="F332" s="42"/>
      <c r="G332" s="42"/>
      <c r="H332" s="42"/>
      <c r="I332" s="47" t="s">
        <v>902</v>
      </c>
      <c r="J332" s="41">
        <v>900.0</v>
      </c>
      <c r="K332" s="43" t="str">
        <f t="shared" si="1"/>
        <v>Requires Attunement, Effect, Generic Variant, Enspelled, 2</v>
      </c>
      <c r="L332" s="43" t="str">
        <f t="shared" si="2"/>
        <v>Requires Attunement</v>
      </c>
      <c r="M332" s="41" t="s">
        <v>33</v>
      </c>
      <c r="N332" s="42"/>
      <c r="O332" s="42"/>
      <c r="P332" s="42"/>
      <c r="Q332" s="42"/>
      <c r="R332" s="44"/>
      <c r="S332" s="41" t="s">
        <v>526</v>
      </c>
      <c r="T332" s="44" t="s">
        <v>611</v>
      </c>
      <c r="U332" s="42"/>
      <c r="V332" s="42"/>
      <c r="W332" s="42"/>
      <c r="X332" s="42"/>
      <c r="Y332" s="42"/>
      <c r="Z332" s="42"/>
      <c r="AA332" s="42"/>
      <c r="AB332" s="42"/>
      <c r="AC332" s="42"/>
      <c r="AD332" s="42"/>
      <c r="AE332" s="42"/>
      <c r="AF332" s="42"/>
      <c r="AG332" s="42"/>
      <c r="AH332" s="42"/>
      <c r="AI332" s="42">
        <f t="shared" si="3"/>
        <v>2</v>
      </c>
      <c r="AJ332" s="42"/>
      <c r="AK332" s="42"/>
    </row>
    <row r="333">
      <c r="A333" s="41" t="s">
        <v>903</v>
      </c>
      <c r="B333" s="41" t="s">
        <v>525</v>
      </c>
      <c r="C333" s="41" t="s">
        <v>600</v>
      </c>
      <c r="D333" s="41" t="s">
        <v>331</v>
      </c>
      <c r="E333" s="41" t="s">
        <v>805</v>
      </c>
      <c r="F333" s="41" t="s">
        <v>443</v>
      </c>
      <c r="G333" s="41" t="s">
        <v>468</v>
      </c>
      <c r="H333" s="41" t="s">
        <v>307</v>
      </c>
      <c r="I333" s="41" t="s">
        <v>904</v>
      </c>
      <c r="J333" s="41">
        <v>900.0</v>
      </c>
      <c r="K333" s="43" t="str">
        <f t="shared" si="1"/>
        <v>Requires Attunement, Effect, Spellcaster, Simple Weapon, Enspelled, Melee Weapons, 2</v>
      </c>
      <c r="L333" s="43" t="str">
        <f t="shared" si="2"/>
        <v>Requires Attunement</v>
      </c>
      <c r="M333" s="41" t="s">
        <v>33</v>
      </c>
      <c r="N333" s="41" t="s">
        <v>619</v>
      </c>
      <c r="O333" s="42"/>
      <c r="P333" s="41" t="s">
        <v>336</v>
      </c>
      <c r="Q333" s="41"/>
      <c r="R333" s="44"/>
      <c r="S333" s="42"/>
      <c r="T333" s="44" t="s">
        <v>611</v>
      </c>
      <c r="U333" s="42"/>
      <c r="V333" s="42"/>
      <c r="W333" s="42"/>
      <c r="X333" s="42"/>
      <c r="Y333" s="42"/>
      <c r="Z333" s="42"/>
      <c r="AA333" s="42"/>
      <c r="AB333" s="42"/>
      <c r="AC333" s="42"/>
      <c r="AD333" s="42"/>
      <c r="AE333" s="42"/>
      <c r="AF333" s="41" t="s">
        <v>107</v>
      </c>
      <c r="AG333" s="42"/>
      <c r="AH333" s="42"/>
      <c r="AI333" s="42">
        <f t="shared" si="3"/>
        <v>2</v>
      </c>
      <c r="AJ333" s="42"/>
      <c r="AK333" s="42"/>
    </row>
    <row r="334">
      <c r="A334" s="41" t="s">
        <v>905</v>
      </c>
      <c r="B334" s="41" t="s">
        <v>525</v>
      </c>
      <c r="C334" s="41" t="s">
        <v>600</v>
      </c>
      <c r="D334" s="41" t="s">
        <v>526</v>
      </c>
      <c r="E334" s="41" t="s">
        <v>595</v>
      </c>
      <c r="F334" s="42"/>
      <c r="G334" s="42"/>
      <c r="H334" s="42"/>
      <c r="I334" s="47" t="s">
        <v>906</v>
      </c>
      <c r="J334" s="41">
        <v>900.0</v>
      </c>
      <c r="K334" s="43" t="str">
        <f t="shared" si="1"/>
        <v>Requires Attunement, Effect, Generic Variant, Enspelled, 2</v>
      </c>
      <c r="L334" s="43" t="str">
        <f t="shared" si="2"/>
        <v>Requires Attunement</v>
      </c>
      <c r="M334" s="41" t="s">
        <v>33</v>
      </c>
      <c r="N334" s="42"/>
      <c r="O334" s="42"/>
      <c r="P334" s="42"/>
      <c r="Q334" s="42"/>
      <c r="R334" s="44"/>
      <c r="S334" s="41" t="s">
        <v>526</v>
      </c>
      <c r="T334" s="44" t="s">
        <v>611</v>
      </c>
      <c r="U334" s="42"/>
      <c r="V334" s="42"/>
      <c r="W334" s="42"/>
      <c r="X334" s="42"/>
      <c r="Y334" s="42"/>
      <c r="Z334" s="42"/>
      <c r="AA334" s="42"/>
      <c r="AB334" s="42"/>
      <c r="AC334" s="42"/>
      <c r="AD334" s="42"/>
      <c r="AE334" s="42"/>
      <c r="AF334" s="42"/>
      <c r="AG334" s="42"/>
      <c r="AH334" s="42"/>
      <c r="AI334" s="42">
        <f t="shared" si="3"/>
        <v>2</v>
      </c>
      <c r="AJ334" s="42"/>
      <c r="AK334" s="42"/>
    </row>
    <row r="335">
      <c r="A335" s="41" t="s">
        <v>907</v>
      </c>
      <c r="B335" s="41" t="s">
        <v>841</v>
      </c>
      <c r="C335" s="41" t="s">
        <v>653</v>
      </c>
      <c r="D335" s="41" t="s">
        <v>529</v>
      </c>
      <c r="E335" s="41" t="s">
        <v>595</v>
      </c>
      <c r="F335" s="42"/>
      <c r="G335" s="42"/>
      <c r="H335" s="42"/>
      <c r="I335" s="41" t="s">
        <v>908</v>
      </c>
      <c r="J335" s="41">
        <v>900.0</v>
      </c>
      <c r="K335" s="43" t="str">
        <f t="shared" si="1"/>
        <v>Requires Attunement, Utility Gear, Enspelled, Grants Advantage, 3</v>
      </c>
      <c r="L335" s="43" t="str">
        <f t="shared" si="2"/>
        <v>Requires Attunement</v>
      </c>
      <c r="M335" s="44"/>
      <c r="N335" s="44" t="s">
        <v>47</v>
      </c>
      <c r="O335" s="42"/>
      <c r="P335" s="42"/>
      <c r="Q335" s="42"/>
      <c r="R335" s="44"/>
      <c r="S335" s="42"/>
      <c r="T335" s="44" t="s">
        <v>611</v>
      </c>
      <c r="U335" s="44" t="s">
        <v>42</v>
      </c>
      <c r="V335" s="42"/>
      <c r="W335" s="42"/>
      <c r="X335" s="42"/>
      <c r="Y335" s="42"/>
      <c r="Z335" s="42"/>
      <c r="AA335" s="42"/>
      <c r="AB335" s="42"/>
      <c r="AC335" s="42"/>
      <c r="AD335" s="42"/>
      <c r="AE335" s="42"/>
      <c r="AF335" s="42"/>
      <c r="AG335" s="42"/>
      <c r="AH335" s="42"/>
      <c r="AI335" s="42">
        <f t="shared" si="3"/>
        <v>3</v>
      </c>
      <c r="AJ335" s="42"/>
      <c r="AK335" s="42"/>
    </row>
    <row r="336">
      <c r="A336" s="41" t="s">
        <v>909</v>
      </c>
      <c r="B336" s="41" t="s">
        <v>680</v>
      </c>
      <c r="C336" s="41" t="s">
        <v>842</v>
      </c>
      <c r="D336" s="41" t="s">
        <v>771</v>
      </c>
      <c r="E336" s="41" t="s">
        <v>595</v>
      </c>
      <c r="F336" s="42"/>
      <c r="G336" s="42"/>
      <c r="H336" s="42"/>
      <c r="I336" s="41" t="s">
        <v>910</v>
      </c>
      <c r="J336" s="41">
        <v>900.0</v>
      </c>
      <c r="K336" s="43" t="str">
        <f t="shared" si="1"/>
        <v>Requires Attunement, Tattoo, Healing, Resistance, 4</v>
      </c>
      <c r="L336" s="43" t="str">
        <f t="shared" si="2"/>
        <v>Requires Attunement</v>
      </c>
      <c r="M336" s="42"/>
      <c r="N336" s="42"/>
      <c r="O336" s="42"/>
      <c r="P336" s="42"/>
      <c r="Q336" s="44" t="s">
        <v>55</v>
      </c>
      <c r="R336" s="46" t="s">
        <v>46</v>
      </c>
      <c r="S336" s="44"/>
      <c r="T336" s="44"/>
      <c r="U336" s="42"/>
      <c r="V336" s="42"/>
      <c r="W336" s="41" t="s">
        <v>101</v>
      </c>
      <c r="X336" s="42"/>
      <c r="Y336" s="42"/>
      <c r="Z336" s="42"/>
      <c r="AA336" s="42"/>
      <c r="AB336" s="42"/>
      <c r="AC336" s="42"/>
      <c r="AD336" s="42"/>
      <c r="AE336" s="42"/>
      <c r="AF336" s="42"/>
      <c r="AG336" s="42"/>
      <c r="AH336" s="42"/>
      <c r="AI336" s="42">
        <f t="shared" si="3"/>
        <v>4</v>
      </c>
      <c r="AJ336" s="42"/>
      <c r="AK336" s="42"/>
    </row>
    <row r="337">
      <c r="A337" s="41" t="s">
        <v>911</v>
      </c>
      <c r="B337" s="41" t="s">
        <v>680</v>
      </c>
      <c r="C337" s="41" t="s">
        <v>842</v>
      </c>
      <c r="D337" s="41" t="s">
        <v>771</v>
      </c>
      <c r="E337" s="41" t="s">
        <v>595</v>
      </c>
      <c r="F337" s="42"/>
      <c r="G337" s="42"/>
      <c r="H337" s="42"/>
      <c r="I337" s="41" t="s">
        <v>912</v>
      </c>
      <c r="J337" s="41">
        <v>900.0</v>
      </c>
      <c r="K337" s="43" t="str">
        <f t="shared" si="1"/>
        <v>Requires Attunement, Tattoo, Healing, Resistance, 4</v>
      </c>
      <c r="L337" s="43" t="str">
        <f t="shared" si="2"/>
        <v>Requires Attunement</v>
      </c>
      <c r="M337" s="42"/>
      <c r="N337" s="42"/>
      <c r="O337" s="42"/>
      <c r="P337" s="42"/>
      <c r="Q337" s="41" t="s">
        <v>55</v>
      </c>
      <c r="R337" s="44" t="s">
        <v>46</v>
      </c>
      <c r="S337" s="41"/>
      <c r="T337" s="41"/>
      <c r="U337" s="42"/>
      <c r="V337" s="42"/>
      <c r="W337" s="41" t="s">
        <v>101</v>
      </c>
      <c r="X337" s="42"/>
      <c r="Y337" s="42"/>
      <c r="Z337" s="42"/>
      <c r="AA337" s="42"/>
      <c r="AB337" s="42"/>
      <c r="AC337" s="42"/>
      <c r="AD337" s="42"/>
      <c r="AE337" s="42"/>
      <c r="AF337" s="42"/>
      <c r="AG337" s="42"/>
      <c r="AH337" s="42"/>
      <c r="AI337" s="42">
        <f t="shared" si="3"/>
        <v>4</v>
      </c>
      <c r="AJ337" s="42"/>
      <c r="AK337" s="42"/>
    </row>
    <row r="338">
      <c r="A338" s="41" t="s">
        <v>913</v>
      </c>
      <c r="B338" s="41" t="s">
        <v>680</v>
      </c>
      <c r="C338" s="41" t="s">
        <v>842</v>
      </c>
      <c r="D338" s="41" t="s">
        <v>771</v>
      </c>
      <c r="E338" s="41" t="s">
        <v>595</v>
      </c>
      <c r="F338" s="42"/>
      <c r="G338" s="42"/>
      <c r="H338" s="42"/>
      <c r="I338" s="41" t="s">
        <v>914</v>
      </c>
      <c r="J338" s="41">
        <v>900.0</v>
      </c>
      <c r="K338" s="43" t="str">
        <f t="shared" si="1"/>
        <v>Requires Attunement, Tattoo, Healing, Resistance, 4</v>
      </c>
      <c r="L338" s="43" t="str">
        <f t="shared" si="2"/>
        <v>Requires Attunement</v>
      </c>
      <c r="M338" s="42"/>
      <c r="N338" s="42"/>
      <c r="O338" s="42"/>
      <c r="P338" s="42"/>
      <c r="Q338" s="44" t="s">
        <v>55</v>
      </c>
      <c r="R338" s="44" t="s">
        <v>46</v>
      </c>
      <c r="S338" s="44"/>
      <c r="T338" s="44"/>
      <c r="U338" s="42"/>
      <c r="V338" s="42"/>
      <c r="W338" s="41" t="s">
        <v>101</v>
      </c>
      <c r="X338" s="42"/>
      <c r="Y338" s="42"/>
      <c r="Z338" s="42"/>
      <c r="AA338" s="42"/>
      <c r="AB338" s="42"/>
      <c r="AC338" s="42"/>
      <c r="AD338" s="42"/>
      <c r="AE338" s="42"/>
      <c r="AF338" s="42"/>
      <c r="AG338" s="42"/>
      <c r="AH338" s="42"/>
      <c r="AI338" s="42">
        <f t="shared" si="3"/>
        <v>4</v>
      </c>
      <c r="AJ338" s="42"/>
      <c r="AK338" s="42"/>
    </row>
    <row r="339">
      <c r="A339" s="41" t="s">
        <v>915</v>
      </c>
      <c r="B339" s="41" t="s">
        <v>680</v>
      </c>
      <c r="C339" s="41" t="s">
        <v>842</v>
      </c>
      <c r="D339" s="41" t="s">
        <v>771</v>
      </c>
      <c r="E339" s="41" t="s">
        <v>595</v>
      </c>
      <c r="F339" s="42"/>
      <c r="G339" s="42"/>
      <c r="H339" s="42"/>
      <c r="I339" s="41" t="s">
        <v>916</v>
      </c>
      <c r="J339" s="41">
        <v>900.0</v>
      </c>
      <c r="K339" s="43" t="str">
        <f t="shared" si="1"/>
        <v>Requires Attunement, Light Armor, Tattoo, Healing, Resistance, 4</v>
      </c>
      <c r="L339" s="43" t="str">
        <f t="shared" si="2"/>
        <v>Requires Attunement</v>
      </c>
      <c r="M339" s="42"/>
      <c r="N339" s="42"/>
      <c r="O339" s="41" t="s">
        <v>14</v>
      </c>
      <c r="P339" s="42"/>
      <c r="Q339" s="44" t="s">
        <v>55</v>
      </c>
      <c r="R339" s="46" t="s">
        <v>46</v>
      </c>
      <c r="S339" s="44"/>
      <c r="T339" s="44"/>
      <c r="U339" s="42"/>
      <c r="V339" s="42"/>
      <c r="W339" s="41" t="s">
        <v>101</v>
      </c>
      <c r="X339" s="42"/>
      <c r="Y339" s="42"/>
      <c r="Z339" s="42"/>
      <c r="AA339" s="42"/>
      <c r="AB339" s="42"/>
      <c r="AC339" s="42"/>
      <c r="AD339" s="42"/>
      <c r="AE339" s="42"/>
      <c r="AF339" s="42"/>
      <c r="AG339" s="42"/>
      <c r="AH339" s="42"/>
      <c r="AI339" s="42">
        <f t="shared" si="3"/>
        <v>4</v>
      </c>
      <c r="AJ339" s="42"/>
      <c r="AK339" s="42"/>
    </row>
    <row r="340">
      <c r="A340" s="41" t="s">
        <v>917</v>
      </c>
      <c r="B340" s="41" t="s">
        <v>680</v>
      </c>
      <c r="C340" s="41" t="s">
        <v>842</v>
      </c>
      <c r="D340" s="41" t="s">
        <v>771</v>
      </c>
      <c r="E340" s="41" t="s">
        <v>595</v>
      </c>
      <c r="F340" s="42"/>
      <c r="G340" s="42"/>
      <c r="H340" s="42"/>
      <c r="I340" s="41" t="s">
        <v>918</v>
      </c>
      <c r="J340" s="41">
        <v>900.0</v>
      </c>
      <c r="K340" s="43" t="str">
        <f t="shared" si="1"/>
        <v>Requires Attunement, Tattoo, Healing, Resistance, 4</v>
      </c>
      <c r="L340" s="43" t="str">
        <f t="shared" si="2"/>
        <v>Requires Attunement</v>
      </c>
      <c r="M340" s="42"/>
      <c r="N340" s="42"/>
      <c r="O340" s="42"/>
      <c r="P340" s="42"/>
      <c r="Q340" s="44" t="s">
        <v>55</v>
      </c>
      <c r="R340" s="46" t="s">
        <v>46</v>
      </c>
      <c r="S340" s="44"/>
      <c r="T340" s="44"/>
      <c r="U340" s="42"/>
      <c r="V340" s="42"/>
      <c r="W340" s="41" t="s">
        <v>101</v>
      </c>
      <c r="X340" s="42"/>
      <c r="Y340" s="42"/>
      <c r="Z340" s="42"/>
      <c r="AA340" s="42"/>
      <c r="AB340" s="42"/>
      <c r="AC340" s="42"/>
      <c r="AD340" s="42"/>
      <c r="AE340" s="42"/>
      <c r="AF340" s="42"/>
      <c r="AG340" s="42"/>
      <c r="AH340" s="42"/>
      <c r="AI340" s="42">
        <f t="shared" si="3"/>
        <v>4</v>
      </c>
      <c r="AJ340" s="42"/>
      <c r="AK340" s="42"/>
    </row>
    <row r="341">
      <c r="A341" s="41" t="s">
        <v>919</v>
      </c>
      <c r="B341" s="41" t="s">
        <v>680</v>
      </c>
      <c r="C341" s="41" t="s">
        <v>842</v>
      </c>
      <c r="D341" s="41" t="s">
        <v>771</v>
      </c>
      <c r="E341" s="41" t="s">
        <v>595</v>
      </c>
      <c r="F341" s="42"/>
      <c r="G341" s="42"/>
      <c r="H341" s="42"/>
      <c r="I341" s="41" t="s">
        <v>920</v>
      </c>
      <c r="J341" s="41">
        <v>900.0</v>
      </c>
      <c r="K341" s="43" t="str">
        <f t="shared" si="1"/>
        <v>Requires Attunement, Tattoo, Healing, Resistance, 4</v>
      </c>
      <c r="L341" s="43" t="str">
        <f t="shared" si="2"/>
        <v>Requires Attunement</v>
      </c>
      <c r="M341" s="42"/>
      <c r="N341" s="42"/>
      <c r="O341" s="42"/>
      <c r="P341" s="42"/>
      <c r="Q341" s="44" t="s">
        <v>55</v>
      </c>
      <c r="R341" s="46" t="s">
        <v>46</v>
      </c>
      <c r="S341" s="44"/>
      <c r="T341" s="44"/>
      <c r="U341" s="42"/>
      <c r="V341" s="42"/>
      <c r="W341" s="41" t="s">
        <v>101</v>
      </c>
      <c r="X341" s="44"/>
      <c r="Y341" s="42"/>
      <c r="Z341" s="42"/>
      <c r="AA341" s="42"/>
      <c r="AB341" s="42"/>
      <c r="AC341" s="42"/>
      <c r="AD341" s="42"/>
      <c r="AE341" s="42"/>
      <c r="AF341" s="42"/>
      <c r="AG341" s="42"/>
      <c r="AH341" s="42"/>
      <c r="AI341" s="42">
        <f t="shared" si="3"/>
        <v>4</v>
      </c>
      <c r="AJ341" s="42"/>
      <c r="AK341" s="42"/>
    </row>
    <row r="342">
      <c r="A342" s="41" t="s">
        <v>921</v>
      </c>
      <c r="B342" s="41" t="s">
        <v>525</v>
      </c>
      <c r="C342" s="41" t="s">
        <v>842</v>
      </c>
      <c r="D342" s="41" t="s">
        <v>331</v>
      </c>
      <c r="E342" s="41" t="s">
        <v>595</v>
      </c>
      <c r="F342" s="41" t="s">
        <v>443</v>
      </c>
      <c r="G342" s="41" t="s">
        <v>922</v>
      </c>
      <c r="H342" s="41" t="s">
        <v>307</v>
      </c>
      <c r="I342" s="41" t="s">
        <v>923</v>
      </c>
      <c r="J342" s="41">
        <v>900.0</v>
      </c>
      <c r="K342" s="43" t="str">
        <f t="shared" si="1"/>
        <v>Requires Attunement, Effect, Simple Weapon, Grants Advantage, Melee Weapons, 4</v>
      </c>
      <c r="L342" s="43" t="str">
        <f t="shared" si="2"/>
        <v>Requires Attunement</v>
      </c>
      <c r="M342" s="41" t="s">
        <v>33</v>
      </c>
      <c r="N342" s="42"/>
      <c r="O342" s="42"/>
      <c r="P342" s="44" t="s">
        <v>336</v>
      </c>
      <c r="Q342" s="41"/>
      <c r="S342" s="42"/>
      <c r="T342" s="42"/>
      <c r="U342" s="44" t="s">
        <v>42</v>
      </c>
      <c r="V342" s="42"/>
      <c r="W342" s="42"/>
      <c r="X342" s="42"/>
      <c r="Y342" s="42"/>
      <c r="Z342" s="42"/>
      <c r="AA342" s="42"/>
      <c r="AB342" s="42"/>
      <c r="AC342" s="42"/>
      <c r="AD342" s="42"/>
      <c r="AE342" s="42"/>
      <c r="AF342" s="41" t="s">
        <v>107</v>
      </c>
      <c r="AG342" s="42"/>
      <c r="AH342" s="42"/>
      <c r="AI342" s="42">
        <f t="shared" si="3"/>
        <v>4</v>
      </c>
      <c r="AJ342" s="42"/>
      <c r="AK342" s="42"/>
    </row>
    <row r="343">
      <c r="A343" s="41" t="s">
        <v>924</v>
      </c>
      <c r="B343" s="41" t="s">
        <v>680</v>
      </c>
      <c r="C343" s="41" t="s">
        <v>842</v>
      </c>
      <c r="D343" s="41" t="s">
        <v>771</v>
      </c>
      <c r="E343" s="41" t="s">
        <v>595</v>
      </c>
      <c r="F343" s="42"/>
      <c r="G343" s="42"/>
      <c r="H343" s="42"/>
      <c r="I343" s="41" t="s">
        <v>925</v>
      </c>
      <c r="J343" s="41">
        <v>900.0</v>
      </c>
      <c r="K343" s="43" t="str">
        <f t="shared" si="1"/>
        <v>Requires Attunement, Tattoo, Healing, Resistance, 4</v>
      </c>
      <c r="L343" s="43" t="str">
        <f t="shared" si="2"/>
        <v>Requires Attunement</v>
      </c>
      <c r="M343" s="42"/>
      <c r="N343" s="42"/>
      <c r="O343" s="42"/>
      <c r="P343" s="42"/>
      <c r="Q343" s="44" t="s">
        <v>55</v>
      </c>
      <c r="R343" s="46" t="s">
        <v>46</v>
      </c>
      <c r="S343" s="44"/>
      <c r="T343" s="44"/>
      <c r="U343" s="42"/>
      <c r="V343" s="42"/>
      <c r="W343" s="41" t="s">
        <v>101</v>
      </c>
      <c r="X343" s="42"/>
      <c r="Y343" s="42"/>
      <c r="Z343" s="42"/>
      <c r="AA343" s="42"/>
      <c r="AB343" s="42"/>
      <c r="AC343" s="42"/>
      <c r="AD343" s="42"/>
      <c r="AE343" s="42"/>
      <c r="AF343" s="42"/>
      <c r="AG343" s="42"/>
      <c r="AH343" s="42"/>
      <c r="AI343" s="42">
        <f t="shared" si="3"/>
        <v>4</v>
      </c>
      <c r="AJ343" s="42"/>
      <c r="AK343" s="42"/>
    </row>
    <row r="344">
      <c r="A344" s="41" t="s">
        <v>926</v>
      </c>
      <c r="B344" s="41" t="s">
        <v>680</v>
      </c>
      <c r="C344" s="41" t="s">
        <v>842</v>
      </c>
      <c r="D344" s="41" t="s">
        <v>771</v>
      </c>
      <c r="E344" s="41" t="s">
        <v>595</v>
      </c>
      <c r="F344" s="42"/>
      <c r="G344" s="42"/>
      <c r="H344" s="42"/>
      <c r="I344" s="41" t="s">
        <v>927</v>
      </c>
      <c r="J344" s="41">
        <v>900.0</v>
      </c>
      <c r="K344" s="43" t="str">
        <f t="shared" si="1"/>
        <v>Requires Attunement, Tattoo, Healing, Resistance, 4</v>
      </c>
      <c r="L344" s="43" t="str">
        <f t="shared" si="2"/>
        <v>Requires Attunement</v>
      </c>
      <c r="M344" s="42"/>
      <c r="N344" s="42"/>
      <c r="O344" s="42"/>
      <c r="P344" s="42"/>
      <c r="Q344" s="44" t="s">
        <v>55</v>
      </c>
      <c r="R344" s="46" t="s">
        <v>46</v>
      </c>
      <c r="S344" s="44"/>
      <c r="T344" s="44"/>
      <c r="U344" s="42"/>
      <c r="V344" s="42"/>
      <c r="W344" s="41" t="s">
        <v>101</v>
      </c>
      <c r="X344" s="42"/>
      <c r="Y344" s="42"/>
      <c r="Z344" s="42"/>
      <c r="AA344" s="42"/>
      <c r="AB344" s="42"/>
      <c r="AC344" s="42"/>
      <c r="AD344" s="42"/>
      <c r="AE344" s="42"/>
      <c r="AF344" s="42"/>
      <c r="AG344" s="42"/>
      <c r="AH344" s="42"/>
      <c r="AI344" s="42">
        <f t="shared" si="3"/>
        <v>4</v>
      </c>
      <c r="AJ344" s="42"/>
      <c r="AK344" s="42"/>
    </row>
    <row r="345">
      <c r="A345" s="41" t="s">
        <v>928</v>
      </c>
      <c r="B345" s="41" t="s">
        <v>680</v>
      </c>
      <c r="C345" s="41" t="s">
        <v>653</v>
      </c>
      <c r="D345" s="41" t="s">
        <v>771</v>
      </c>
      <c r="E345" s="41" t="s">
        <v>595</v>
      </c>
      <c r="F345" s="42"/>
      <c r="G345" s="42"/>
      <c r="H345" s="42"/>
      <c r="I345" s="41" t="s">
        <v>929</v>
      </c>
      <c r="J345" s="41">
        <v>950.0</v>
      </c>
      <c r="K345" s="43" t="str">
        <f t="shared" si="1"/>
        <v>Requires Attunement, Medium Armor, Tattoo, Armors, 3</v>
      </c>
      <c r="L345" s="43" t="str">
        <f t="shared" si="2"/>
        <v>Requires Attunement</v>
      </c>
      <c r="M345" s="42"/>
      <c r="N345" s="42"/>
      <c r="O345" s="41" t="s">
        <v>17</v>
      </c>
      <c r="P345" s="42"/>
      <c r="Q345" s="44" t="s">
        <v>55</v>
      </c>
      <c r="R345" s="41"/>
      <c r="S345" s="44"/>
      <c r="T345" s="44"/>
      <c r="U345" s="42"/>
      <c r="V345" s="42"/>
      <c r="W345" s="42"/>
      <c r="X345" s="42"/>
      <c r="Y345" s="42"/>
      <c r="Z345" s="42"/>
      <c r="AA345" s="42"/>
      <c r="AB345" s="42"/>
      <c r="AC345" s="42"/>
      <c r="AD345" s="42"/>
      <c r="AE345" s="42"/>
      <c r="AF345" s="42"/>
      <c r="AG345" s="44" t="s">
        <v>108</v>
      </c>
      <c r="AH345" s="42"/>
      <c r="AI345" s="42">
        <f t="shared" si="3"/>
        <v>3</v>
      </c>
      <c r="AJ345" s="42"/>
      <c r="AK345" s="42"/>
    </row>
    <row r="346">
      <c r="A346" s="41" t="s">
        <v>930</v>
      </c>
      <c r="B346" s="41" t="s">
        <v>872</v>
      </c>
      <c r="C346" s="41" t="s">
        <v>653</v>
      </c>
      <c r="D346" s="41" t="s">
        <v>331</v>
      </c>
      <c r="E346" s="41" t="s">
        <v>595</v>
      </c>
      <c r="F346" s="41" t="s">
        <v>342</v>
      </c>
      <c r="G346" s="41" t="s">
        <v>931</v>
      </c>
      <c r="H346" s="42"/>
      <c r="I346" s="41" t="s">
        <v>932</v>
      </c>
      <c r="J346" s="41">
        <v>950.0</v>
      </c>
      <c r="K346" s="43" t="str">
        <f t="shared" si="1"/>
        <v>Requires Attunement, Effect, Simple Weapon, Melee Weapons, 3</v>
      </c>
      <c r="L346" s="43" t="str">
        <f t="shared" si="2"/>
        <v>Requires Attunement</v>
      </c>
      <c r="M346" s="41" t="s">
        <v>33</v>
      </c>
      <c r="N346" s="42"/>
      <c r="O346" s="42"/>
      <c r="P346" s="41" t="s">
        <v>336</v>
      </c>
      <c r="Q346" s="41"/>
      <c r="R346" s="42"/>
      <c r="S346" s="42"/>
      <c r="T346" s="42"/>
      <c r="U346" s="42"/>
      <c r="V346" s="42"/>
      <c r="W346" s="42"/>
      <c r="X346" s="42"/>
      <c r="Y346" s="42"/>
      <c r="Z346" s="42"/>
      <c r="AA346" s="42"/>
      <c r="AB346" s="42"/>
      <c r="AC346" s="42"/>
      <c r="AD346" s="42"/>
      <c r="AE346" s="42"/>
      <c r="AF346" s="41" t="s">
        <v>107</v>
      </c>
      <c r="AG346" s="42"/>
      <c r="AH346" s="42"/>
      <c r="AI346" s="42">
        <f t="shared" si="3"/>
        <v>3</v>
      </c>
      <c r="AJ346" s="42"/>
      <c r="AK346" s="42"/>
    </row>
    <row r="347">
      <c r="A347" s="41" t="s">
        <v>933</v>
      </c>
      <c r="B347" s="41" t="s">
        <v>525</v>
      </c>
      <c r="C347" s="41" t="s">
        <v>653</v>
      </c>
      <c r="D347" s="41" t="s">
        <v>331</v>
      </c>
      <c r="E347" s="42"/>
      <c r="F347" s="41" t="s">
        <v>342</v>
      </c>
      <c r="G347" s="41" t="s">
        <v>343</v>
      </c>
      <c r="H347" s="41" t="s">
        <v>344</v>
      </c>
      <c r="I347" s="41" t="s">
        <v>934</v>
      </c>
      <c r="J347" s="41">
        <v>950.0</v>
      </c>
      <c r="K347" s="43" t="str">
        <f t="shared" si="1"/>
        <v>No Attunement Required, Effect, Simple Weapon, Melee Weapons, 3</v>
      </c>
      <c r="L347" s="43" t="str">
        <f t="shared" si="2"/>
        <v>No Attunement Required</v>
      </c>
      <c r="M347" s="41" t="s">
        <v>33</v>
      </c>
      <c r="N347" s="42"/>
      <c r="O347" s="42"/>
      <c r="P347" s="41" t="s">
        <v>336</v>
      </c>
      <c r="Q347" s="41"/>
      <c r="R347" s="42"/>
      <c r="S347" s="42"/>
      <c r="T347" s="42"/>
      <c r="U347" s="42"/>
      <c r="V347" s="42"/>
      <c r="W347" s="42"/>
      <c r="X347" s="42"/>
      <c r="Y347" s="42"/>
      <c r="Z347" s="42"/>
      <c r="AA347" s="42"/>
      <c r="AB347" s="42"/>
      <c r="AC347" s="42"/>
      <c r="AD347" s="42"/>
      <c r="AE347" s="42"/>
      <c r="AF347" s="41" t="s">
        <v>107</v>
      </c>
      <c r="AG347" s="42"/>
      <c r="AH347" s="42"/>
      <c r="AI347" s="42">
        <f t="shared" si="3"/>
        <v>3</v>
      </c>
      <c r="AJ347" s="42"/>
      <c r="AK347" s="42"/>
    </row>
    <row r="348">
      <c r="A348" s="41" t="s">
        <v>935</v>
      </c>
      <c r="B348" s="41" t="s">
        <v>625</v>
      </c>
      <c r="C348" s="41" t="s">
        <v>653</v>
      </c>
      <c r="D348" s="41" t="s">
        <v>529</v>
      </c>
      <c r="E348" s="41" t="s">
        <v>595</v>
      </c>
      <c r="F348" s="42"/>
      <c r="G348" s="42"/>
      <c r="H348" s="42"/>
      <c r="I348" s="41" t="s">
        <v>936</v>
      </c>
      <c r="J348" s="41">
        <v>950.0</v>
      </c>
      <c r="K348" s="43" t="str">
        <f t="shared" si="1"/>
        <v>Requires Attunement, 3</v>
      </c>
      <c r="L348" s="43" t="str">
        <f t="shared" si="2"/>
        <v>Requires Attunement</v>
      </c>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f t="shared" si="3"/>
        <v>3</v>
      </c>
      <c r="AJ348" s="42"/>
      <c r="AK348" s="42"/>
    </row>
    <row r="349">
      <c r="A349" s="41" t="s">
        <v>937</v>
      </c>
      <c r="B349" s="41" t="s">
        <v>625</v>
      </c>
      <c r="C349" s="41" t="s">
        <v>653</v>
      </c>
      <c r="D349" s="41" t="s">
        <v>529</v>
      </c>
      <c r="E349" s="41" t="s">
        <v>595</v>
      </c>
      <c r="F349" s="42"/>
      <c r="G349" s="42"/>
      <c r="H349" s="42"/>
      <c r="I349" s="41" t="s">
        <v>938</v>
      </c>
      <c r="J349" s="41">
        <v>950.0</v>
      </c>
      <c r="K349" s="43" t="str">
        <f t="shared" si="1"/>
        <v>Requires Attunement, 3</v>
      </c>
      <c r="L349" s="43" t="str">
        <f t="shared" si="2"/>
        <v>Requires Attunement</v>
      </c>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f t="shared" si="3"/>
        <v>3</v>
      </c>
      <c r="AJ349" s="42"/>
      <c r="AK349" s="42"/>
    </row>
    <row r="350">
      <c r="A350" s="41" t="s">
        <v>939</v>
      </c>
      <c r="B350" s="41" t="s">
        <v>680</v>
      </c>
      <c r="C350" s="41" t="s">
        <v>653</v>
      </c>
      <c r="D350" s="41" t="s">
        <v>681</v>
      </c>
      <c r="E350" s="41" t="s">
        <v>766</v>
      </c>
      <c r="F350" s="42"/>
      <c r="G350" s="42"/>
      <c r="H350" s="42"/>
      <c r="I350" s="41" t="s">
        <v>940</v>
      </c>
      <c r="J350" s="41">
        <v>950.0</v>
      </c>
      <c r="K350" s="43" t="str">
        <f t="shared" si="1"/>
        <v>Requires Attunement, Effect, Wizard, Spellcasting Focus, 3</v>
      </c>
      <c r="L350" s="43" t="str">
        <f t="shared" si="2"/>
        <v>Requires Attunement</v>
      </c>
      <c r="M350" s="41" t="s">
        <v>33</v>
      </c>
      <c r="N350" s="41" t="s">
        <v>76</v>
      </c>
      <c r="O350" s="42"/>
      <c r="P350" s="42"/>
      <c r="Q350" s="42"/>
      <c r="R350" s="42"/>
      <c r="S350" s="41"/>
      <c r="T350" s="41"/>
      <c r="U350" s="42"/>
      <c r="V350" s="42"/>
      <c r="W350" s="42"/>
      <c r="X350" s="41" t="s">
        <v>24</v>
      </c>
      <c r="Y350" s="42"/>
      <c r="Z350" s="42"/>
      <c r="AA350" s="42"/>
      <c r="AB350" s="42"/>
      <c r="AC350" s="42"/>
      <c r="AD350" s="42"/>
      <c r="AE350" s="42"/>
      <c r="AF350" s="42"/>
      <c r="AG350" s="42"/>
      <c r="AH350" s="42"/>
      <c r="AI350" s="42">
        <f t="shared" si="3"/>
        <v>3</v>
      </c>
      <c r="AJ350" s="42"/>
      <c r="AK350" s="42"/>
    </row>
    <row r="351">
      <c r="A351" s="41" t="s">
        <v>941</v>
      </c>
      <c r="B351" s="41" t="s">
        <v>525</v>
      </c>
      <c r="C351" s="41" t="s">
        <v>653</v>
      </c>
      <c r="D351" s="41" t="s">
        <v>529</v>
      </c>
      <c r="E351" s="41" t="s">
        <v>595</v>
      </c>
      <c r="F351" s="42"/>
      <c r="G351" s="42"/>
      <c r="H351" s="42"/>
      <c r="I351" s="41" t="s">
        <v>942</v>
      </c>
      <c r="J351" s="41">
        <v>950.0</v>
      </c>
      <c r="K351" s="43" t="str">
        <f t="shared" si="1"/>
        <v>Requires Attunement, 3</v>
      </c>
      <c r="L351" s="43" t="str">
        <f t="shared" si="2"/>
        <v>Requires Attunement</v>
      </c>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f t="shared" si="3"/>
        <v>3</v>
      </c>
      <c r="AJ351" s="42"/>
      <c r="AK351" s="42"/>
    </row>
    <row r="352">
      <c r="A352" s="41" t="s">
        <v>943</v>
      </c>
      <c r="B352" s="41" t="s">
        <v>841</v>
      </c>
      <c r="C352" s="41" t="s">
        <v>653</v>
      </c>
      <c r="D352" s="41" t="s">
        <v>304</v>
      </c>
      <c r="E352" s="42"/>
      <c r="F352" s="41" t="s">
        <v>485</v>
      </c>
      <c r="G352" s="41" t="s">
        <v>830</v>
      </c>
      <c r="H352" s="42"/>
      <c r="I352" s="41" t="s">
        <v>944</v>
      </c>
      <c r="J352" s="41">
        <v>950.0</v>
      </c>
      <c r="K352" s="43" t="str">
        <f t="shared" si="1"/>
        <v>No Attunement Required, Effect, Martial Weapon, Bonus Damage, Melee Weapons, 3</v>
      </c>
      <c r="L352" s="43" t="str">
        <f t="shared" si="2"/>
        <v>No Attunement Required</v>
      </c>
      <c r="M352" s="41" t="s">
        <v>33</v>
      </c>
      <c r="N352" s="42"/>
      <c r="O352" s="42"/>
      <c r="P352" s="44" t="s">
        <v>309</v>
      </c>
      <c r="Q352" s="44"/>
      <c r="R352" s="44" t="s">
        <v>44</v>
      </c>
      <c r="S352" s="42"/>
      <c r="T352" s="42"/>
      <c r="U352" s="42"/>
      <c r="V352" s="42"/>
      <c r="W352" s="42"/>
      <c r="X352" s="42"/>
      <c r="Y352" s="42"/>
      <c r="Z352" s="42"/>
      <c r="AA352" s="42"/>
      <c r="AB352" s="42"/>
      <c r="AC352" s="42"/>
      <c r="AD352" s="42"/>
      <c r="AE352" s="42"/>
      <c r="AF352" s="41" t="s">
        <v>107</v>
      </c>
      <c r="AG352" s="42"/>
      <c r="AH352" s="42"/>
      <c r="AI352" s="42">
        <f t="shared" si="3"/>
        <v>3</v>
      </c>
      <c r="AJ352" s="42"/>
      <c r="AK352" s="42"/>
    </row>
    <row r="353">
      <c r="A353" s="41" t="s">
        <v>945</v>
      </c>
      <c r="B353" s="41" t="s">
        <v>680</v>
      </c>
      <c r="C353" s="41" t="s">
        <v>653</v>
      </c>
      <c r="D353" s="41" t="s">
        <v>681</v>
      </c>
      <c r="E353" s="41" t="s">
        <v>766</v>
      </c>
      <c r="F353" s="42"/>
      <c r="G353" s="42"/>
      <c r="H353" s="42"/>
      <c r="I353" s="41" t="s">
        <v>946</v>
      </c>
      <c r="J353" s="41">
        <v>950.0</v>
      </c>
      <c r="K353" s="43" t="str">
        <f t="shared" si="1"/>
        <v>Requires Attunement, Effect, Wizard, Spellcasting Focus, 3</v>
      </c>
      <c r="L353" s="43" t="str">
        <f t="shared" si="2"/>
        <v>Requires Attunement</v>
      </c>
      <c r="M353" s="41" t="s">
        <v>33</v>
      </c>
      <c r="N353" s="41" t="s">
        <v>76</v>
      </c>
      <c r="O353" s="42"/>
      <c r="P353" s="42"/>
      <c r="Q353" s="42"/>
      <c r="S353" s="42"/>
      <c r="T353" s="42"/>
      <c r="U353" s="42"/>
      <c r="V353" s="42"/>
      <c r="W353" s="42"/>
      <c r="X353" s="41" t="s">
        <v>24</v>
      </c>
      <c r="Y353" s="42"/>
      <c r="Z353" s="42"/>
      <c r="AA353" s="42"/>
      <c r="AB353" s="42"/>
      <c r="AC353" s="42"/>
      <c r="AD353" s="42"/>
      <c r="AE353" s="42"/>
      <c r="AF353" s="42"/>
      <c r="AG353" s="42"/>
      <c r="AH353" s="42"/>
      <c r="AI353" s="42">
        <f t="shared" si="3"/>
        <v>3</v>
      </c>
      <c r="AJ353" s="42"/>
      <c r="AK353" s="42"/>
    </row>
    <row r="354">
      <c r="A354" s="41" t="s">
        <v>947</v>
      </c>
      <c r="B354" s="41" t="s">
        <v>525</v>
      </c>
      <c r="C354" s="41" t="s">
        <v>653</v>
      </c>
      <c r="D354" s="41" t="s">
        <v>522</v>
      </c>
      <c r="E354" s="41" t="s">
        <v>595</v>
      </c>
      <c r="F354" s="42"/>
      <c r="G354" s="42"/>
      <c r="H354" s="42"/>
      <c r="I354" s="41" t="s">
        <v>948</v>
      </c>
      <c r="J354" s="41">
        <v>950.0</v>
      </c>
      <c r="K354" s="43" t="str">
        <f t="shared" si="1"/>
        <v>Requires Attunement, Utility Gear, Rings, 3</v>
      </c>
      <c r="L354" s="43" t="str">
        <f t="shared" si="2"/>
        <v>Requires Attunement</v>
      </c>
      <c r="M354" s="44"/>
      <c r="N354" s="44" t="s">
        <v>47</v>
      </c>
      <c r="O354" s="42"/>
      <c r="P354" s="42"/>
      <c r="Q354" s="42"/>
      <c r="S354" s="46" t="s">
        <v>36</v>
      </c>
      <c r="T354" s="42"/>
      <c r="U354" s="42"/>
      <c r="V354" s="42"/>
      <c r="W354" s="42"/>
      <c r="X354" s="42"/>
      <c r="Y354" s="42"/>
      <c r="Z354" s="42"/>
      <c r="AA354" s="42"/>
      <c r="AB354" s="42"/>
      <c r="AC354" s="42"/>
      <c r="AD354" s="42"/>
      <c r="AE354" s="42"/>
      <c r="AF354" s="42"/>
      <c r="AG354" s="42"/>
      <c r="AH354" s="42"/>
      <c r="AI354" s="42">
        <f t="shared" si="3"/>
        <v>3</v>
      </c>
      <c r="AJ354" s="42"/>
      <c r="AK354" s="42"/>
    </row>
    <row r="355">
      <c r="A355" s="41" t="s">
        <v>949</v>
      </c>
      <c r="B355" s="41" t="s">
        <v>609</v>
      </c>
      <c r="C355" s="41" t="s">
        <v>653</v>
      </c>
      <c r="D355" s="41" t="s">
        <v>526</v>
      </c>
      <c r="E355" s="41" t="s">
        <v>595</v>
      </c>
      <c r="F355" s="42"/>
      <c r="G355" s="42"/>
      <c r="H355" s="42"/>
      <c r="I355" s="41" t="s">
        <v>950</v>
      </c>
      <c r="J355" s="41">
        <v>950.0</v>
      </c>
      <c r="K355" s="43" t="str">
        <f t="shared" si="1"/>
        <v>Requires Attunement, Effect, Bonus Damage, Generic Variant, Ranged Weapons, Melee Weapons, 3</v>
      </c>
      <c r="L355" s="43" t="str">
        <f t="shared" si="2"/>
        <v>Requires Attunement</v>
      </c>
      <c r="M355" s="41" t="s">
        <v>33</v>
      </c>
      <c r="N355" s="42"/>
      <c r="O355" s="42"/>
      <c r="P355" s="42"/>
      <c r="Q355" s="42"/>
      <c r="R355" s="44" t="s">
        <v>44</v>
      </c>
      <c r="S355" s="41" t="s">
        <v>526</v>
      </c>
      <c r="T355" s="41"/>
      <c r="U355" s="42"/>
      <c r="V355" s="42"/>
      <c r="W355" s="42"/>
      <c r="X355" s="42"/>
      <c r="Y355" s="42"/>
      <c r="Z355" s="42"/>
      <c r="AA355" s="42"/>
      <c r="AB355" s="42"/>
      <c r="AC355" s="42"/>
      <c r="AD355" s="42"/>
      <c r="AE355" s="44" t="s">
        <v>106</v>
      </c>
      <c r="AF355" s="44" t="s">
        <v>107</v>
      </c>
      <c r="AG355" s="42"/>
      <c r="AH355" s="42"/>
      <c r="AI355" s="42">
        <f t="shared" si="3"/>
        <v>3</v>
      </c>
      <c r="AJ355" s="42"/>
      <c r="AK355" s="42"/>
    </row>
    <row r="356">
      <c r="A356" s="41" t="s">
        <v>951</v>
      </c>
      <c r="B356" s="41" t="s">
        <v>525</v>
      </c>
      <c r="C356" s="41" t="s">
        <v>112</v>
      </c>
      <c r="D356" s="41" t="s">
        <v>673</v>
      </c>
      <c r="E356" s="42"/>
      <c r="F356" s="42"/>
      <c r="G356" s="42"/>
      <c r="H356" s="42"/>
      <c r="I356" s="41" t="s">
        <v>952</v>
      </c>
      <c r="J356" s="41">
        <v>1000.0</v>
      </c>
      <c r="K356" s="43" t="str">
        <f t="shared" si="1"/>
        <v>No Attunement Required, Poisons, 0</v>
      </c>
      <c r="L356" s="43" t="str">
        <f t="shared" si="2"/>
        <v>No Attunement Required</v>
      </c>
      <c r="M356" s="42"/>
      <c r="N356" s="42"/>
      <c r="O356" s="42"/>
      <c r="P356" s="42"/>
      <c r="Q356" s="42"/>
      <c r="S356" s="44"/>
      <c r="T356" s="44"/>
      <c r="U356" s="42"/>
      <c r="V356" s="42"/>
      <c r="W356" s="42"/>
      <c r="X356" s="42"/>
      <c r="Y356" s="42"/>
      <c r="Z356" s="42"/>
      <c r="AA356" s="42"/>
      <c r="AB356" s="42"/>
      <c r="AC356" s="42"/>
      <c r="AD356" s="44" t="s">
        <v>58</v>
      </c>
      <c r="AE356" s="42"/>
      <c r="AF356" s="42"/>
      <c r="AG356" s="42"/>
      <c r="AH356" s="42"/>
      <c r="AI356" s="42">
        <f t="shared" si="3"/>
        <v>0</v>
      </c>
      <c r="AJ356" s="42"/>
      <c r="AK356" s="42"/>
    </row>
    <row r="357">
      <c r="A357" s="41" t="s">
        <v>953</v>
      </c>
      <c r="B357" s="41" t="s">
        <v>525</v>
      </c>
      <c r="C357" s="41" t="s">
        <v>600</v>
      </c>
      <c r="D357" s="41" t="s">
        <v>529</v>
      </c>
      <c r="E357" s="41" t="s">
        <v>595</v>
      </c>
      <c r="F357" s="42"/>
      <c r="G357" s="42"/>
      <c r="H357" s="42"/>
      <c r="I357" s="41" t="s">
        <v>954</v>
      </c>
      <c r="J357" s="41">
        <v>1000.0</v>
      </c>
      <c r="K357" s="43" t="str">
        <f t="shared" si="1"/>
        <v>Requires Attunement, 2</v>
      </c>
      <c r="L357" s="43" t="str">
        <f t="shared" si="2"/>
        <v>Requires Attunement</v>
      </c>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f t="shared" si="3"/>
        <v>2</v>
      </c>
      <c r="AJ357" s="42"/>
      <c r="AK357" s="42"/>
    </row>
    <row r="358">
      <c r="A358" s="41" t="s">
        <v>955</v>
      </c>
      <c r="B358" s="41" t="s">
        <v>525</v>
      </c>
      <c r="C358" s="41" t="s">
        <v>653</v>
      </c>
      <c r="D358" s="41" t="s">
        <v>529</v>
      </c>
      <c r="E358" s="41" t="s">
        <v>595</v>
      </c>
      <c r="F358" s="42"/>
      <c r="G358" s="42"/>
      <c r="H358" s="42"/>
      <c r="I358" s="41" t="s">
        <v>956</v>
      </c>
      <c r="J358" s="41">
        <v>1000.0</v>
      </c>
      <c r="K358" s="43" t="str">
        <f t="shared" si="1"/>
        <v>Requires Attunement, Utility Gear, Imposes Disadvantage, 3</v>
      </c>
      <c r="L358" s="43" t="str">
        <f t="shared" si="2"/>
        <v>Requires Attunement</v>
      </c>
      <c r="M358" s="44"/>
      <c r="N358" s="44" t="s">
        <v>47</v>
      </c>
      <c r="O358" s="42"/>
      <c r="P358" s="42"/>
      <c r="Q358" s="42"/>
      <c r="R358" s="42"/>
      <c r="S358" s="42"/>
      <c r="T358" s="42"/>
      <c r="U358" s="44" t="s">
        <v>43</v>
      </c>
      <c r="V358" s="42"/>
      <c r="W358" s="42"/>
      <c r="X358" s="42"/>
      <c r="Y358" s="42"/>
      <c r="Z358" s="42"/>
      <c r="AA358" s="42"/>
      <c r="AB358" s="42"/>
      <c r="AC358" s="42"/>
      <c r="AD358" s="42"/>
      <c r="AE358" s="42"/>
      <c r="AF358" s="42"/>
      <c r="AG358" s="42"/>
      <c r="AH358" s="42"/>
      <c r="AI358" s="42">
        <f t="shared" si="3"/>
        <v>3</v>
      </c>
      <c r="AJ358" s="42"/>
      <c r="AK358" s="42"/>
    </row>
    <row r="359">
      <c r="A359" s="41" t="s">
        <v>957</v>
      </c>
      <c r="B359" s="41" t="s">
        <v>628</v>
      </c>
      <c r="C359" s="41" t="s">
        <v>653</v>
      </c>
      <c r="D359" s="41" t="s">
        <v>529</v>
      </c>
      <c r="E359" s="41" t="s">
        <v>595</v>
      </c>
      <c r="F359" s="42"/>
      <c r="G359" s="42"/>
      <c r="H359" s="42"/>
      <c r="I359" s="41" t="s">
        <v>958</v>
      </c>
      <c r="J359" s="41">
        <v>1000.0</v>
      </c>
      <c r="K359" s="43" t="str">
        <f t="shared" si="1"/>
        <v>Requires Attunement, Utility Gear, Grants Advantage, 3</v>
      </c>
      <c r="L359" s="43" t="str">
        <f t="shared" si="2"/>
        <v>Requires Attunement</v>
      </c>
      <c r="M359" s="44"/>
      <c r="N359" s="44" t="s">
        <v>47</v>
      </c>
      <c r="O359" s="42"/>
      <c r="P359" s="42"/>
      <c r="Q359" s="42"/>
      <c r="R359" s="42"/>
      <c r="S359" s="42"/>
      <c r="T359" s="42"/>
      <c r="U359" s="44" t="s">
        <v>42</v>
      </c>
      <c r="V359" s="42"/>
      <c r="W359" s="42"/>
      <c r="X359" s="42"/>
      <c r="Y359" s="42"/>
      <c r="Z359" s="42"/>
      <c r="AA359" s="42"/>
      <c r="AB359" s="42"/>
      <c r="AC359" s="42"/>
      <c r="AD359" s="42"/>
      <c r="AE359" s="42"/>
      <c r="AF359" s="42"/>
      <c r="AG359" s="42"/>
      <c r="AH359" s="42"/>
      <c r="AI359" s="42">
        <f t="shared" si="3"/>
        <v>3</v>
      </c>
      <c r="AJ359" s="42"/>
      <c r="AK359" s="42"/>
    </row>
    <row r="360">
      <c r="A360" s="41" t="s">
        <v>959</v>
      </c>
      <c r="B360" s="41" t="s">
        <v>525</v>
      </c>
      <c r="C360" s="41" t="s">
        <v>653</v>
      </c>
      <c r="D360" s="41" t="s">
        <v>529</v>
      </c>
      <c r="E360" s="41" t="s">
        <v>595</v>
      </c>
      <c r="F360" s="44"/>
      <c r="G360" s="42"/>
      <c r="H360" s="42"/>
      <c r="I360" s="41" t="s">
        <v>960</v>
      </c>
      <c r="J360" s="41">
        <v>1000.0</v>
      </c>
      <c r="K360" s="43" t="str">
        <f t="shared" si="1"/>
        <v>Requires Attunement, Bonus AC, 3</v>
      </c>
      <c r="L360" s="43" t="str">
        <f t="shared" si="2"/>
        <v>Requires Attunement</v>
      </c>
      <c r="M360" s="42"/>
      <c r="N360" s="42"/>
      <c r="O360" s="42"/>
      <c r="P360" s="44" t="s">
        <v>45</v>
      </c>
      <c r="Q360" s="42"/>
      <c r="R360" s="42"/>
      <c r="S360" s="42"/>
      <c r="T360" s="42"/>
      <c r="U360" s="42"/>
      <c r="V360" s="42"/>
      <c r="W360" s="42"/>
      <c r="X360" s="42"/>
      <c r="Y360" s="42"/>
      <c r="Z360" s="42"/>
      <c r="AA360" s="42"/>
      <c r="AB360" s="42"/>
      <c r="AC360" s="42"/>
      <c r="AD360" s="42"/>
      <c r="AE360" s="42"/>
      <c r="AF360" s="42"/>
      <c r="AG360" s="42"/>
      <c r="AH360" s="42"/>
      <c r="AI360" s="42">
        <f t="shared" si="3"/>
        <v>3</v>
      </c>
      <c r="AJ360" s="42"/>
      <c r="AK360" s="42"/>
    </row>
    <row r="361">
      <c r="A361" s="41" t="s">
        <v>961</v>
      </c>
      <c r="B361" s="41" t="s">
        <v>841</v>
      </c>
      <c r="C361" s="41" t="s">
        <v>653</v>
      </c>
      <c r="D361" s="41" t="s">
        <v>529</v>
      </c>
      <c r="E361" s="41" t="s">
        <v>595</v>
      </c>
      <c r="F361" s="42"/>
      <c r="G361" s="42"/>
      <c r="H361" s="42"/>
      <c r="I361" s="41" t="s">
        <v>962</v>
      </c>
      <c r="J361" s="41">
        <v>1000.0</v>
      </c>
      <c r="K361" s="43" t="str">
        <f t="shared" si="1"/>
        <v>Requires Attunement, Enspelled, 3</v>
      </c>
      <c r="L361" s="43" t="str">
        <f t="shared" si="2"/>
        <v>Requires Attunement</v>
      </c>
      <c r="M361" s="42"/>
      <c r="N361" s="42"/>
      <c r="O361" s="42"/>
      <c r="P361" s="42"/>
      <c r="Q361" s="42"/>
      <c r="R361" s="44"/>
      <c r="S361" s="42"/>
      <c r="T361" s="44" t="s">
        <v>611</v>
      </c>
      <c r="U361" s="42"/>
      <c r="V361" s="42"/>
      <c r="W361" s="42"/>
      <c r="X361" s="42"/>
      <c r="Y361" s="42"/>
      <c r="Z361" s="42"/>
      <c r="AA361" s="42"/>
      <c r="AB361" s="42"/>
      <c r="AC361" s="42"/>
      <c r="AD361" s="42"/>
      <c r="AE361" s="42"/>
      <c r="AF361" s="42"/>
      <c r="AG361" s="42"/>
      <c r="AH361" s="42"/>
      <c r="AI361" s="42">
        <f t="shared" si="3"/>
        <v>3</v>
      </c>
      <c r="AJ361" s="42"/>
      <c r="AK361" s="42"/>
    </row>
    <row r="362">
      <c r="A362" s="41" t="s">
        <v>963</v>
      </c>
      <c r="B362" s="41" t="s">
        <v>841</v>
      </c>
      <c r="C362" s="41" t="s">
        <v>653</v>
      </c>
      <c r="D362" s="41" t="s">
        <v>529</v>
      </c>
      <c r="E362" s="41" t="s">
        <v>595</v>
      </c>
      <c r="F362" s="42"/>
      <c r="G362" s="42"/>
      <c r="H362" s="42"/>
      <c r="I362" s="41" t="s">
        <v>964</v>
      </c>
      <c r="J362" s="41">
        <v>1000.0</v>
      </c>
      <c r="K362" s="43" t="str">
        <f t="shared" si="1"/>
        <v>Requires Attunement, 3</v>
      </c>
      <c r="L362" s="43" t="str">
        <f t="shared" si="2"/>
        <v>Requires Attunement</v>
      </c>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f t="shared" si="3"/>
        <v>3</v>
      </c>
      <c r="AJ362" s="42"/>
      <c r="AK362" s="42"/>
    </row>
    <row r="363">
      <c r="A363" s="41" t="s">
        <v>965</v>
      </c>
      <c r="B363" s="41" t="s">
        <v>966</v>
      </c>
      <c r="C363" s="41" t="s">
        <v>653</v>
      </c>
      <c r="D363" s="41" t="s">
        <v>529</v>
      </c>
      <c r="E363" s="41" t="s">
        <v>595</v>
      </c>
      <c r="F363" s="42"/>
      <c r="G363" s="42"/>
      <c r="H363" s="42"/>
      <c r="I363" s="41" t="s">
        <v>967</v>
      </c>
      <c r="J363" s="41">
        <v>1000.0</v>
      </c>
      <c r="K363" s="43" t="str">
        <f t="shared" si="1"/>
        <v>Requires Attunement, Bonus Damage, 3</v>
      </c>
      <c r="L363" s="43" t="str">
        <f t="shared" si="2"/>
        <v>Requires Attunement</v>
      </c>
      <c r="M363" s="42"/>
      <c r="N363" s="42"/>
      <c r="O363" s="42"/>
      <c r="P363" s="44"/>
      <c r="Q363" s="42"/>
      <c r="R363" s="44" t="s">
        <v>44</v>
      </c>
      <c r="S363" s="42"/>
      <c r="T363" s="42"/>
      <c r="U363" s="42"/>
      <c r="V363" s="42"/>
      <c r="W363" s="42"/>
      <c r="X363" s="42"/>
      <c r="Y363" s="42"/>
      <c r="Z363" s="42"/>
      <c r="AA363" s="42"/>
      <c r="AB363" s="42"/>
      <c r="AC363" s="42"/>
      <c r="AD363" s="42"/>
      <c r="AE363" s="42"/>
      <c r="AF363" s="42"/>
      <c r="AG363" s="42"/>
      <c r="AH363" s="42"/>
      <c r="AI363" s="42">
        <f t="shared" si="3"/>
        <v>3</v>
      </c>
      <c r="AJ363" s="42"/>
      <c r="AK363" s="42"/>
    </row>
    <row r="364">
      <c r="A364" s="41" t="s">
        <v>968</v>
      </c>
      <c r="B364" s="41" t="s">
        <v>680</v>
      </c>
      <c r="C364" s="41" t="s">
        <v>653</v>
      </c>
      <c r="D364" s="41" t="s">
        <v>681</v>
      </c>
      <c r="E364" s="41" t="s">
        <v>766</v>
      </c>
      <c r="F364" s="42"/>
      <c r="G364" s="42"/>
      <c r="H364" s="42"/>
      <c r="I364" s="41" t="s">
        <v>969</v>
      </c>
      <c r="J364" s="41">
        <v>1000.0</v>
      </c>
      <c r="K364" s="43" t="str">
        <f t="shared" si="1"/>
        <v>Requires Attunement, Effect, Wizard, Imposes Disadvantage, Spellcasting Focus, 3</v>
      </c>
      <c r="L364" s="43" t="str">
        <f t="shared" si="2"/>
        <v>Requires Attunement</v>
      </c>
      <c r="M364" s="41" t="s">
        <v>33</v>
      </c>
      <c r="N364" s="41" t="s">
        <v>76</v>
      </c>
      <c r="O364" s="42"/>
      <c r="P364" s="42"/>
      <c r="Q364" s="42"/>
      <c r="R364" s="42"/>
      <c r="S364" s="42"/>
      <c r="T364" s="42"/>
      <c r="U364" s="44" t="s">
        <v>43</v>
      </c>
      <c r="V364" s="42"/>
      <c r="W364" s="42"/>
      <c r="X364" s="41" t="s">
        <v>24</v>
      </c>
      <c r="Y364" s="42"/>
      <c r="Z364" s="42"/>
      <c r="AA364" s="42"/>
      <c r="AB364" s="42"/>
      <c r="AC364" s="42"/>
      <c r="AD364" s="42"/>
      <c r="AE364" s="42"/>
      <c r="AF364" s="42"/>
      <c r="AG364" s="42"/>
      <c r="AH364" s="42"/>
      <c r="AI364" s="42">
        <f t="shared" si="3"/>
        <v>3</v>
      </c>
      <c r="AJ364" s="42"/>
      <c r="AK364" s="42"/>
    </row>
    <row r="365">
      <c r="A365" s="41" t="s">
        <v>970</v>
      </c>
      <c r="B365" s="41" t="s">
        <v>525</v>
      </c>
      <c r="C365" s="41" t="s">
        <v>653</v>
      </c>
      <c r="D365" s="41" t="s">
        <v>529</v>
      </c>
      <c r="E365" s="42"/>
      <c r="F365" s="42"/>
      <c r="G365" s="42"/>
      <c r="H365" s="42"/>
      <c r="I365" s="41" t="s">
        <v>971</v>
      </c>
      <c r="J365" s="41">
        <v>1000.0</v>
      </c>
      <c r="K365" s="43" t="str">
        <f t="shared" si="1"/>
        <v>No Attunement Required, Utility Gear, Utility Weapon, 3</v>
      </c>
      <c r="L365" s="43" t="str">
        <f t="shared" si="2"/>
        <v>No Attunement Required</v>
      </c>
      <c r="M365" s="44"/>
      <c r="N365" s="44" t="s">
        <v>47</v>
      </c>
      <c r="O365" s="42"/>
      <c r="P365" s="44"/>
      <c r="Q365" s="44" t="s">
        <v>54</v>
      </c>
      <c r="S365" s="42"/>
      <c r="T365" s="42"/>
      <c r="U365" s="42"/>
      <c r="V365" s="42"/>
      <c r="W365" s="42"/>
      <c r="X365" s="42"/>
      <c r="Y365" s="42"/>
      <c r="Z365" s="42"/>
      <c r="AA365" s="42"/>
      <c r="AB365" s="42"/>
      <c r="AC365" s="42"/>
      <c r="AD365" s="42"/>
      <c r="AE365" s="42"/>
      <c r="AF365" s="42"/>
      <c r="AG365" s="42"/>
      <c r="AH365" s="42"/>
      <c r="AI365" s="42">
        <f t="shared" si="3"/>
        <v>3</v>
      </c>
      <c r="AJ365" s="42"/>
      <c r="AK365" s="42"/>
    </row>
    <row r="366">
      <c r="A366" s="41" t="s">
        <v>972</v>
      </c>
      <c r="B366" s="41" t="s">
        <v>973</v>
      </c>
      <c r="C366" s="41" t="s">
        <v>653</v>
      </c>
      <c r="D366" s="41" t="s">
        <v>526</v>
      </c>
      <c r="E366" s="42"/>
      <c r="F366" s="42"/>
      <c r="G366" s="42"/>
      <c r="H366" s="42"/>
      <c r="I366" s="47" t="s">
        <v>974</v>
      </c>
      <c r="J366" s="41">
        <v>1000.0</v>
      </c>
      <c r="K366" s="43" t="str">
        <f t="shared" si="1"/>
        <v>No Attunement Required, Effect, Generic Variant, Armors, 3</v>
      </c>
      <c r="L366" s="43" t="str">
        <f t="shared" si="2"/>
        <v>No Attunement Required</v>
      </c>
      <c r="M366" s="41" t="s">
        <v>33</v>
      </c>
      <c r="N366" s="42"/>
      <c r="O366" s="42"/>
      <c r="P366" s="42"/>
      <c r="Q366" s="42"/>
      <c r="S366" s="41" t="s">
        <v>526</v>
      </c>
      <c r="T366" s="41"/>
      <c r="U366" s="42"/>
      <c r="V366" s="42"/>
      <c r="W366" s="42"/>
      <c r="X366" s="42"/>
      <c r="Y366" s="42"/>
      <c r="Z366" s="42"/>
      <c r="AA366" s="42"/>
      <c r="AB366" s="42"/>
      <c r="AC366" s="42"/>
      <c r="AD366" s="42"/>
      <c r="AE366" s="42"/>
      <c r="AF366" s="42"/>
      <c r="AG366" s="44" t="s">
        <v>108</v>
      </c>
      <c r="AH366" s="42"/>
      <c r="AI366" s="42">
        <f t="shared" si="3"/>
        <v>3</v>
      </c>
      <c r="AJ366" s="42"/>
      <c r="AK366" s="42"/>
    </row>
    <row r="367">
      <c r="A367" s="41" t="s">
        <v>975</v>
      </c>
      <c r="B367" s="41" t="s">
        <v>680</v>
      </c>
      <c r="C367" s="41" t="s">
        <v>653</v>
      </c>
      <c r="D367" s="41" t="s">
        <v>681</v>
      </c>
      <c r="E367" s="41" t="s">
        <v>800</v>
      </c>
      <c r="F367" s="42"/>
      <c r="G367" s="42"/>
      <c r="H367" s="42"/>
      <c r="I367" s="41" t="s">
        <v>976</v>
      </c>
      <c r="J367" s="41">
        <v>1000.0</v>
      </c>
      <c r="K367" s="43" t="str">
        <f t="shared" si="1"/>
        <v>Requires Attunement, Effect, Sorcerer, Spellcasting Focus, 3</v>
      </c>
      <c r="L367" s="43" t="str">
        <f t="shared" si="2"/>
        <v>Requires Attunement</v>
      </c>
      <c r="M367" s="41" t="s">
        <v>33</v>
      </c>
      <c r="N367" s="41" t="s">
        <v>74</v>
      </c>
      <c r="O367" s="42"/>
      <c r="P367" s="42"/>
      <c r="Q367" s="42"/>
      <c r="S367" s="42"/>
      <c r="T367" s="42"/>
      <c r="U367" s="42"/>
      <c r="V367" s="42"/>
      <c r="W367" s="42"/>
      <c r="X367" s="41" t="s">
        <v>24</v>
      </c>
      <c r="Y367" s="42"/>
      <c r="Z367" s="42"/>
      <c r="AA367" s="42"/>
      <c r="AB367" s="42"/>
      <c r="AC367" s="42"/>
      <c r="AD367" s="42"/>
      <c r="AE367" s="42"/>
      <c r="AF367" s="42"/>
      <c r="AG367" s="42"/>
      <c r="AH367" s="42"/>
      <c r="AI367" s="42">
        <f t="shared" si="3"/>
        <v>3</v>
      </c>
      <c r="AJ367" s="42"/>
      <c r="AK367" s="42"/>
    </row>
    <row r="368">
      <c r="A368" s="41" t="s">
        <v>977</v>
      </c>
      <c r="B368" s="41" t="s">
        <v>680</v>
      </c>
      <c r="C368" s="41" t="s">
        <v>653</v>
      </c>
      <c r="D368" s="41" t="s">
        <v>681</v>
      </c>
      <c r="E368" s="41" t="s">
        <v>766</v>
      </c>
      <c r="F368" s="42"/>
      <c r="G368" s="42"/>
      <c r="H368" s="42"/>
      <c r="I368" s="41" t="s">
        <v>978</v>
      </c>
      <c r="J368" s="41">
        <v>1000.0</v>
      </c>
      <c r="K368" s="43" t="str">
        <f t="shared" si="1"/>
        <v>Requires Attunement, Effect, Wizard, Spellcasting Focus, 3</v>
      </c>
      <c r="L368" s="43" t="str">
        <f t="shared" si="2"/>
        <v>Requires Attunement</v>
      </c>
      <c r="M368" s="41" t="s">
        <v>33</v>
      </c>
      <c r="N368" s="41" t="s">
        <v>76</v>
      </c>
      <c r="O368" s="42"/>
      <c r="P368" s="42"/>
      <c r="Q368" s="42"/>
      <c r="S368" s="42"/>
      <c r="T368" s="42"/>
      <c r="U368" s="42"/>
      <c r="V368" s="42"/>
      <c r="W368" s="42"/>
      <c r="X368" s="41" t="s">
        <v>24</v>
      </c>
      <c r="Y368" s="42"/>
      <c r="Z368" s="42"/>
      <c r="AA368" s="42"/>
      <c r="AB368" s="42"/>
      <c r="AC368" s="42"/>
      <c r="AD368" s="42"/>
      <c r="AE368" s="42"/>
      <c r="AF368" s="42"/>
      <c r="AG368" s="42"/>
      <c r="AH368" s="42"/>
      <c r="AI368" s="42">
        <f t="shared" si="3"/>
        <v>3</v>
      </c>
      <c r="AJ368" s="42"/>
      <c r="AK368" s="42"/>
    </row>
    <row r="369">
      <c r="A369" s="41" t="s">
        <v>979</v>
      </c>
      <c r="B369" s="41" t="s">
        <v>525</v>
      </c>
      <c r="C369" s="41" t="s">
        <v>653</v>
      </c>
      <c r="D369" s="41" t="s">
        <v>522</v>
      </c>
      <c r="E369" s="42"/>
      <c r="F369" s="42"/>
      <c r="G369" s="42"/>
      <c r="H369" s="42"/>
      <c r="I369" s="41" t="s">
        <v>980</v>
      </c>
      <c r="J369" s="41">
        <v>1000.0</v>
      </c>
      <c r="K369" s="43" t="str">
        <f t="shared" si="1"/>
        <v>No Attunement Required, Utility Gear, Rings, Resistance, 3</v>
      </c>
      <c r="L369" s="43" t="str">
        <f t="shared" si="2"/>
        <v>No Attunement Required</v>
      </c>
      <c r="M369" s="44"/>
      <c r="N369" s="44" t="s">
        <v>47</v>
      </c>
      <c r="O369" s="42"/>
      <c r="P369" s="45"/>
      <c r="Q369" s="42"/>
      <c r="S369" s="46" t="s">
        <v>36</v>
      </c>
      <c r="T369" s="42"/>
      <c r="U369" s="42"/>
      <c r="V369" s="42"/>
      <c r="W369" s="41" t="s">
        <v>101</v>
      </c>
      <c r="X369" s="42"/>
      <c r="Y369" s="42"/>
      <c r="Z369" s="42"/>
      <c r="AA369" s="42"/>
      <c r="AB369" s="42"/>
      <c r="AC369" s="42"/>
      <c r="AD369" s="42"/>
      <c r="AE369" s="42"/>
      <c r="AF369" s="42"/>
      <c r="AG369" s="42"/>
      <c r="AH369" s="42"/>
      <c r="AI369" s="42">
        <f t="shared" si="3"/>
        <v>3</v>
      </c>
      <c r="AJ369" s="42"/>
      <c r="AK369" s="42"/>
    </row>
    <row r="370">
      <c r="A370" s="41" t="s">
        <v>981</v>
      </c>
      <c r="B370" s="41" t="s">
        <v>525</v>
      </c>
      <c r="C370" s="41" t="s">
        <v>653</v>
      </c>
      <c r="D370" s="41" t="s">
        <v>522</v>
      </c>
      <c r="E370" s="42"/>
      <c r="F370" s="42"/>
      <c r="G370" s="42"/>
      <c r="H370" s="42"/>
      <c r="I370" s="41" t="s">
        <v>982</v>
      </c>
      <c r="J370" s="41">
        <v>1000.0</v>
      </c>
      <c r="K370" s="43" t="str">
        <f t="shared" si="1"/>
        <v>No Attunement Required, Utility Gear, Rings, Resistance, 3</v>
      </c>
      <c r="L370" s="43" t="str">
        <f t="shared" si="2"/>
        <v>No Attunement Required</v>
      </c>
      <c r="M370" s="44"/>
      <c r="N370" s="44" t="s">
        <v>47</v>
      </c>
      <c r="O370" s="42"/>
      <c r="P370" s="42"/>
      <c r="Q370" s="42"/>
      <c r="S370" s="46" t="s">
        <v>36</v>
      </c>
      <c r="T370" s="42"/>
      <c r="U370" s="42"/>
      <c r="V370" s="42"/>
      <c r="W370" s="41" t="s">
        <v>101</v>
      </c>
      <c r="X370" s="42"/>
      <c r="Y370" s="42"/>
      <c r="Z370" s="42"/>
      <c r="AA370" s="42"/>
      <c r="AB370" s="42"/>
      <c r="AC370" s="42"/>
      <c r="AD370" s="42"/>
      <c r="AE370" s="42"/>
      <c r="AF370" s="42"/>
      <c r="AG370" s="42"/>
      <c r="AH370" s="42"/>
      <c r="AI370" s="42">
        <f t="shared" si="3"/>
        <v>3</v>
      </c>
      <c r="AJ370" s="42"/>
      <c r="AK370" s="42"/>
    </row>
    <row r="371">
      <c r="A371" s="41" t="s">
        <v>983</v>
      </c>
      <c r="B371" s="41" t="s">
        <v>525</v>
      </c>
      <c r="C371" s="41" t="s">
        <v>653</v>
      </c>
      <c r="D371" s="41" t="s">
        <v>522</v>
      </c>
      <c r="E371" s="42"/>
      <c r="F371" s="42"/>
      <c r="G371" s="42"/>
      <c r="H371" s="42"/>
      <c r="I371" s="41" t="s">
        <v>984</v>
      </c>
      <c r="J371" s="41">
        <v>1000.0</v>
      </c>
      <c r="K371" s="43" t="str">
        <f t="shared" si="1"/>
        <v>No Attunement Required, Utility Gear, Rings, Resistance, 3</v>
      </c>
      <c r="L371" s="43" t="str">
        <f t="shared" si="2"/>
        <v>No Attunement Required</v>
      </c>
      <c r="M371" s="44"/>
      <c r="N371" s="44" t="s">
        <v>47</v>
      </c>
      <c r="O371" s="42"/>
      <c r="P371" s="42"/>
      <c r="Q371" s="42"/>
      <c r="S371" s="46" t="s">
        <v>36</v>
      </c>
      <c r="T371" s="42"/>
      <c r="U371" s="42"/>
      <c r="V371" s="42"/>
      <c r="W371" s="41" t="s">
        <v>101</v>
      </c>
      <c r="X371" s="42"/>
      <c r="Y371" s="42"/>
      <c r="Z371" s="42"/>
      <c r="AA371" s="42"/>
      <c r="AB371" s="42"/>
      <c r="AC371" s="42"/>
      <c r="AD371" s="42"/>
      <c r="AE371" s="42"/>
      <c r="AF371" s="42"/>
      <c r="AG371" s="42"/>
      <c r="AH371" s="42"/>
      <c r="AI371" s="42">
        <f t="shared" si="3"/>
        <v>3</v>
      </c>
      <c r="AJ371" s="42"/>
      <c r="AK371" s="42"/>
    </row>
    <row r="372">
      <c r="A372" s="41" t="s">
        <v>985</v>
      </c>
      <c r="B372" s="41" t="s">
        <v>525</v>
      </c>
      <c r="C372" s="41" t="s">
        <v>653</v>
      </c>
      <c r="D372" s="41" t="s">
        <v>522</v>
      </c>
      <c r="E372" s="42"/>
      <c r="F372" s="42"/>
      <c r="G372" s="42"/>
      <c r="H372" s="42"/>
      <c r="I372" s="41" t="s">
        <v>986</v>
      </c>
      <c r="J372" s="41">
        <v>1000.0</v>
      </c>
      <c r="K372" s="43" t="str">
        <f t="shared" si="1"/>
        <v>No Attunement Required, Utility Gear, Light Armor, Rings, Resistance, 3</v>
      </c>
      <c r="L372" s="43" t="str">
        <f t="shared" si="2"/>
        <v>No Attunement Required</v>
      </c>
      <c r="M372" s="44"/>
      <c r="N372" s="44" t="s">
        <v>47</v>
      </c>
      <c r="O372" s="41" t="s">
        <v>14</v>
      </c>
      <c r="P372" s="42"/>
      <c r="Q372" s="42"/>
      <c r="S372" s="46" t="s">
        <v>36</v>
      </c>
      <c r="T372" s="42"/>
      <c r="U372" s="42"/>
      <c r="V372" s="42"/>
      <c r="W372" s="41" t="s">
        <v>101</v>
      </c>
      <c r="X372" s="42"/>
      <c r="Y372" s="42"/>
      <c r="Z372" s="42"/>
      <c r="AA372" s="42"/>
      <c r="AB372" s="42"/>
      <c r="AC372" s="42"/>
      <c r="AD372" s="42"/>
      <c r="AE372" s="42"/>
      <c r="AF372" s="42"/>
      <c r="AG372" s="42"/>
      <c r="AH372" s="42"/>
      <c r="AI372" s="42">
        <f t="shared" si="3"/>
        <v>3</v>
      </c>
      <c r="AJ372" s="42"/>
      <c r="AK372" s="42"/>
    </row>
    <row r="373">
      <c r="A373" s="41" t="s">
        <v>987</v>
      </c>
      <c r="B373" s="41" t="s">
        <v>525</v>
      </c>
      <c r="C373" s="41" t="s">
        <v>653</v>
      </c>
      <c r="D373" s="41" t="s">
        <v>522</v>
      </c>
      <c r="E373" s="42"/>
      <c r="F373" s="42"/>
      <c r="G373" s="42"/>
      <c r="H373" s="42"/>
      <c r="I373" s="41" t="s">
        <v>988</v>
      </c>
      <c r="J373" s="41">
        <v>1000.0</v>
      </c>
      <c r="K373" s="43" t="str">
        <f t="shared" si="1"/>
        <v>No Attunement Required, Utility Gear, Rings, Resistance, 3</v>
      </c>
      <c r="L373" s="43" t="str">
        <f t="shared" si="2"/>
        <v>No Attunement Required</v>
      </c>
      <c r="M373" s="44"/>
      <c r="N373" s="44" t="s">
        <v>47</v>
      </c>
      <c r="O373" s="42"/>
      <c r="P373" s="42"/>
      <c r="Q373" s="42"/>
      <c r="S373" s="46" t="s">
        <v>36</v>
      </c>
      <c r="T373" s="42"/>
      <c r="U373" s="42"/>
      <c r="V373" s="42"/>
      <c r="W373" s="41" t="s">
        <v>101</v>
      </c>
      <c r="X373" s="42"/>
      <c r="Y373" s="42"/>
      <c r="Z373" s="42"/>
      <c r="AA373" s="42"/>
      <c r="AB373" s="42"/>
      <c r="AC373" s="42"/>
      <c r="AD373" s="42"/>
      <c r="AE373" s="42"/>
      <c r="AF373" s="42"/>
      <c r="AG373" s="42"/>
      <c r="AH373" s="42"/>
      <c r="AI373" s="42">
        <f t="shared" si="3"/>
        <v>3</v>
      </c>
      <c r="AJ373" s="42"/>
      <c r="AK373" s="42"/>
    </row>
    <row r="374">
      <c r="A374" s="41" t="s">
        <v>989</v>
      </c>
      <c r="B374" s="41" t="s">
        <v>525</v>
      </c>
      <c r="C374" s="41" t="s">
        <v>653</v>
      </c>
      <c r="D374" s="41" t="s">
        <v>522</v>
      </c>
      <c r="E374" s="41" t="s">
        <v>595</v>
      </c>
      <c r="F374" s="44"/>
      <c r="G374" s="42"/>
      <c r="H374" s="42"/>
      <c r="I374" s="41" t="s">
        <v>990</v>
      </c>
      <c r="J374" s="41">
        <v>1000.0</v>
      </c>
      <c r="K374" s="43" t="str">
        <f t="shared" si="1"/>
        <v>Requires Attunement, Utility Gear, Bonus AC, Rings, 3</v>
      </c>
      <c r="L374" s="43" t="str">
        <f t="shared" si="2"/>
        <v>Requires Attunement</v>
      </c>
      <c r="M374" s="44"/>
      <c r="N374" s="44" t="s">
        <v>47</v>
      </c>
      <c r="O374" s="42"/>
      <c r="P374" s="44" t="s">
        <v>45</v>
      </c>
      <c r="Q374" s="42"/>
      <c r="S374" s="46" t="s">
        <v>36</v>
      </c>
      <c r="T374" s="42"/>
      <c r="U374" s="42"/>
      <c r="V374" s="42"/>
      <c r="W374" s="42"/>
      <c r="X374" s="42"/>
      <c r="Y374" s="42"/>
      <c r="Z374" s="42"/>
      <c r="AA374" s="42"/>
      <c r="AB374" s="42"/>
      <c r="AC374" s="42"/>
      <c r="AD374" s="42"/>
      <c r="AE374" s="42"/>
      <c r="AF374" s="42"/>
      <c r="AG374" s="42"/>
      <c r="AH374" s="42"/>
      <c r="AI374" s="42">
        <f t="shared" si="3"/>
        <v>3</v>
      </c>
      <c r="AJ374" s="42"/>
      <c r="AK374" s="42"/>
    </row>
    <row r="375">
      <c r="A375" s="41" t="s">
        <v>991</v>
      </c>
      <c r="B375" s="41" t="s">
        <v>525</v>
      </c>
      <c r="C375" s="41" t="s">
        <v>653</v>
      </c>
      <c r="D375" s="41" t="s">
        <v>522</v>
      </c>
      <c r="E375" s="42"/>
      <c r="F375" s="42"/>
      <c r="G375" s="42"/>
      <c r="H375" s="42"/>
      <c r="I375" s="41" t="s">
        <v>992</v>
      </c>
      <c r="J375" s="41">
        <v>1000.0</v>
      </c>
      <c r="K375" s="43" t="str">
        <f t="shared" si="1"/>
        <v>No Attunement Required, Utility Gear, Rings, Resistance, 3</v>
      </c>
      <c r="L375" s="43" t="str">
        <f t="shared" si="2"/>
        <v>No Attunement Required</v>
      </c>
      <c r="M375" s="44"/>
      <c r="N375" s="44" t="s">
        <v>47</v>
      </c>
      <c r="O375" s="42"/>
      <c r="P375" s="42"/>
      <c r="Q375" s="42"/>
      <c r="S375" s="46" t="s">
        <v>36</v>
      </c>
      <c r="T375" s="42"/>
      <c r="U375" s="42"/>
      <c r="V375" s="42"/>
      <c r="W375" s="41" t="s">
        <v>101</v>
      </c>
      <c r="X375" s="42"/>
      <c r="Y375" s="42"/>
      <c r="Z375" s="42"/>
      <c r="AA375" s="42"/>
      <c r="AB375" s="42"/>
      <c r="AC375" s="42"/>
      <c r="AD375" s="42"/>
      <c r="AE375" s="42"/>
      <c r="AF375" s="42"/>
      <c r="AG375" s="42"/>
      <c r="AH375" s="42"/>
      <c r="AI375" s="42">
        <f t="shared" si="3"/>
        <v>3</v>
      </c>
      <c r="AJ375" s="42"/>
      <c r="AK375" s="42"/>
    </row>
    <row r="376">
      <c r="A376" s="41" t="s">
        <v>993</v>
      </c>
      <c r="B376" s="41" t="s">
        <v>525</v>
      </c>
      <c r="C376" s="41" t="s">
        <v>653</v>
      </c>
      <c r="D376" s="41" t="s">
        <v>522</v>
      </c>
      <c r="E376" s="42"/>
      <c r="F376" s="42"/>
      <c r="G376" s="42"/>
      <c r="H376" s="42"/>
      <c r="I376" s="41" t="s">
        <v>994</v>
      </c>
      <c r="J376" s="41">
        <v>1000.0</v>
      </c>
      <c r="K376" s="43" t="str">
        <f t="shared" si="1"/>
        <v>No Attunement Required, Utility Gear, Rings, Resistance, 3</v>
      </c>
      <c r="L376" s="43" t="str">
        <f t="shared" si="2"/>
        <v>No Attunement Required</v>
      </c>
      <c r="M376" s="44"/>
      <c r="N376" s="44" t="s">
        <v>47</v>
      </c>
      <c r="O376" s="42"/>
      <c r="P376" s="42"/>
      <c r="Q376" s="42"/>
      <c r="S376" s="46" t="s">
        <v>36</v>
      </c>
      <c r="T376" s="42"/>
      <c r="U376" s="42"/>
      <c r="V376" s="42"/>
      <c r="W376" s="41" t="s">
        <v>101</v>
      </c>
      <c r="X376" s="42"/>
      <c r="Y376" s="42"/>
      <c r="Z376" s="42"/>
      <c r="AA376" s="42"/>
      <c r="AB376" s="42"/>
      <c r="AC376" s="42"/>
      <c r="AD376" s="42"/>
      <c r="AE376" s="42"/>
      <c r="AF376" s="42"/>
      <c r="AG376" s="42"/>
      <c r="AH376" s="42"/>
      <c r="AI376" s="42">
        <f t="shared" si="3"/>
        <v>3</v>
      </c>
      <c r="AJ376" s="42"/>
      <c r="AK376" s="42"/>
    </row>
    <row r="377">
      <c r="A377" s="41" t="s">
        <v>995</v>
      </c>
      <c r="B377" s="41" t="s">
        <v>525</v>
      </c>
      <c r="C377" s="41" t="s">
        <v>653</v>
      </c>
      <c r="D377" s="41" t="s">
        <v>522</v>
      </c>
      <c r="E377" s="42"/>
      <c r="F377" s="42"/>
      <c r="G377" s="42"/>
      <c r="H377" s="42"/>
      <c r="I377" s="41" t="s">
        <v>996</v>
      </c>
      <c r="J377" s="41">
        <v>1000.0</v>
      </c>
      <c r="K377" s="43" t="str">
        <f t="shared" si="1"/>
        <v>No Attunement Required, Utility Gear, Rings, Resistance, 3</v>
      </c>
      <c r="L377" s="43" t="str">
        <f t="shared" si="2"/>
        <v>No Attunement Required</v>
      </c>
      <c r="M377" s="44"/>
      <c r="N377" s="44" t="s">
        <v>47</v>
      </c>
      <c r="O377" s="42"/>
      <c r="P377" s="42"/>
      <c r="Q377" s="42"/>
      <c r="S377" s="46" t="s">
        <v>36</v>
      </c>
      <c r="T377" s="42"/>
      <c r="U377" s="42"/>
      <c r="V377" s="42"/>
      <c r="W377" s="41" t="s">
        <v>101</v>
      </c>
      <c r="X377" s="42"/>
      <c r="Y377" s="42"/>
      <c r="Z377" s="42"/>
      <c r="AA377" s="42"/>
      <c r="AB377" s="42"/>
      <c r="AC377" s="42"/>
      <c r="AD377" s="42"/>
      <c r="AE377" s="42"/>
      <c r="AF377" s="42"/>
      <c r="AG377" s="42"/>
      <c r="AH377" s="42"/>
      <c r="AI377" s="42">
        <f t="shared" si="3"/>
        <v>3</v>
      </c>
      <c r="AJ377" s="42"/>
      <c r="AK377" s="42"/>
    </row>
    <row r="378">
      <c r="A378" s="41" t="s">
        <v>997</v>
      </c>
      <c r="B378" s="41" t="s">
        <v>525</v>
      </c>
      <c r="C378" s="41" t="s">
        <v>653</v>
      </c>
      <c r="D378" s="41" t="s">
        <v>529</v>
      </c>
      <c r="E378" s="41" t="s">
        <v>595</v>
      </c>
      <c r="F378" s="42"/>
      <c r="G378" s="42"/>
      <c r="H378" s="42"/>
      <c r="I378" s="41" t="s">
        <v>998</v>
      </c>
      <c r="J378" s="41">
        <v>1000.0</v>
      </c>
      <c r="K378" s="43" t="str">
        <f t="shared" si="1"/>
        <v>Requires Attunement, Utility Gear, Grants Advantage, 3</v>
      </c>
      <c r="L378" s="43" t="str">
        <f t="shared" si="2"/>
        <v>Requires Attunement</v>
      </c>
      <c r="M378" s="44"/>
      <c r="N378" s="44" t="s">
        <v>47</v>
      </c>
      <c r="O378" s="42"/>
      <c r="P378" s="42"/>
      <c r="Q378" s="42"/>
      <c r="S378" s="42"/>
      <c r="T378" s="42"/>
      <c r="U378" s="44" t="s">
        <v>42</v>
      </c>
      <c r="V378" s="42"/>
      <c r="W378" s="42"/>
      <c r="X378" s="42"/>
      <c r="Y378" s="42"/>
      <c r="Z378" s="42"/>
      <c r="AA378" s="42"/>
      <c r="AB378" s="42"/>
      <c r="AC378" s="42"/>
      <c r="AD378" s="42"/>
      <c r="AE378" s="42"/>
      <c r="AF378" s="42"/>
      <c r="AG378" s="42"/>
      <c r="AH378" s="42"/>
      <c r="AI378" s="42">
        <f t="shared" si="3"/>
        <v>3</v>
      </c>
      <c r="AJ378" s="42"/>
      <c r="AK378" s="42"/>
    </row>
    <row r="379">
      <c r="A379" s="41" t="s">
        <v>999</v>
      </c>
      <c r="B379" s="41" t="s">
        <v>841</v>
      </c>
      <c r="C379" s="41" t="s">
        <v>653</v>
      </c>
      <c r="D379" s="41" t="s">
        <v>529</v>
      </c>
      <c r="E379" s="42"/>
      <c r="F379" s="44"/>
      <c r="G379" s="42"/>
      <c r="H379" s="42"/>
      <c r="I379" s="41" t="s">
        <v>1000</v>
      </c>
      <c r="J379" s="41">
        <v>1000.0</v>
      </c>
      <c r="K379" s="43" t="str">
        <f t="shared" si="1"/>
        <v>No Attunement Required, Grants Advantage, 3</v>
      </c>
      <c r="L379" s="43" t="str">
        <f t="shared" si="2"/>
        <v>No Attunement Required</v>
      </c>
      <c r="M379" s="42"/>
      <c r="N379" s="42"/>
      <c r="O379" s="42"/>
      <c r="P379" s="42"/>
      <c r="Q379" s="42"/>
      <c r="R379" s="41"/>
      <c r="S379" s="42"/>
      <c r="T379" s="42"/>
      <c r="U379" s="44" t="s">
        <v>42</v>
      </c>
      <c r="V379" s="42"/>
      <c r="W379" s="42"/>
      <c r="X379" s="42"/>
      <c r="Y379" s="42"/>
      <c r="Z379" s="42"/>
      <c r="AA379" s="42"/>
      <c r="AB379" s="42"/>
      <c r="AC379" s="42"/>
      <c r="AD379" s="42"/>
      <c r="AE379" s="42"/>
      <c r="AF379" s="42"/>
      <c r="AG379" s="42"/>
      <c r="AH379" s="42"/>
      <c r="AI379" s="42">
        <f t="shared" si="3"/>
        <v>3</v>
      </c>
      <c r="AJ379" s="42"/>
      <c r="AK379" s="42"/>
    </row>
    <row r="380">
      <c r="A380" s="41" t="s">
        <v>1001</v>
      </c>
      <c r="B380" s="41" t="s">
        <v>525</v>
      </c>
      <c r="C380" s="41" t="s">
        <v>842</v>
      </c>
      <c r="D380" s="41" t="s">
        <v>23</v>
      </c>
      <c r="E380" s="41" t="s">
        <v>595</v>
      </c>
      <c r="F380" s="41" t="s">
        <v>477</v>
      </c>
      <c r="G380" s="42"/>
      <c r="H380" s="42"/>
      <c r="I380" s="41" t="s">
        <v>1002</v>
      </c>
      <c r="J380" s="41">
        <v>1000.0</v>
      </c>
      <c r="K380" s="43" t="str">
        <f t="shared" si="1"/>
        <v>Requires Attunement, Effect, Shield, Armors, 4</v>
      </c>
      <c r="L380" s="43" t="str">
        <f t="shared" si="2"/>
        <v>Requires Attunement</v>
      </c>
      <c r="M380" s="41" t="s">
        <v>33</v>
      </c>
      <c r="N380" s="42"/>
      <c r="O380" s="41" t="s">
        <v>23</v>
      </c>
      <c r="P380" s="44"/>
      <c r="Q380" s="42"/>
      <c r="R380" s="42"/>
      <c r="S380" s="42"/>
      <c r="T380" s="42"/>
      <c r="U380" s="42"/>
      <c r="V380" s="42"/>
      <c r="W380" s="42"/>
      <c r="X380" s="42"/>
      <c r="Y380" s="42"/>
      <c r="Z380" s="42"/>
      <c r="AA380" s="42"/>
      <c r="AB380" s="42"/>
      <c r="AC380" s="42"/>
      <c r="AD380" s="42"/>
      <c r="AE380" s="42"/>
      <c r="AF380" s="42"/>
      <c r="AG380" s="44" t="s">
        <v>108</v>
      </c>
      <c r="AH380" s="42"/>
      <c r="AI380" s="42">
        <f t="shared" si="3"/>
        <v>4</v>
      </c>
      <c r="AJ380" s="42"/>
      <c r="AK380" s="42"/>
    </row>
    <row r="381">
      <c r="A381" s="41" t="s">
        <v>1003</v>
      </c>
      <c r="B381" s="41" t="s">
        <v>680</v>
      </c>
      <c r="C381" s="41" t="s">
        <v>842</v>
      </c>
      <c r="D381" s="41" t="s">
        <v>771</v>
      </c>
      <c r="E381" s="41" t="s">
        <v>595</v>
      </c>
      <c r="F381" s="42"/>
      <c r="G381" s="42"/>
      <c r="H381" s="42"/>
      <c r="I381" s="41" t="s">
        <v>1004</v>
      </c>
      <c r="J381" s="41">
        <v>1000.0</v>
      </c>
      <c r="K381" s="43" t="str">
        <f t="shared" si="1"/>
        <v>Requires Attunement, Tattoo, Healing, Resistance, 4</v>
      </c>
      <c r="L381" s="43" t="str">
        <f t="shared" si="2"/>
        <v>Requires Attunement</v>
      </c>
      <c r="M381" s="42"/>
      <c r="N381" s="42"/>
      <c r="O381" s="42"/>
      <c r="P381" s="42"/>
      <c r="Q381" s="41" t="s">
        <v>55</v>
      </c>
      <c r="R381" s="44" t="s">
        <v>46</v>
      </c>
      <c r="S381" s="41"/>
      <c r="T381" s="41"/>
      <c r="U381" s="42"/>
      <c r="V381" s="42"/>
      <c r="W381" s="41" t="s">
        <v>101</v>
      </c>
      <c r="X381" s="42"/>
      <c r="Y381" s="42"/>
      <c r="Z381" s="42"/>
      <c r="AA381" s="42"/>
      <c r="AB381" s="42"/>
      <c r="AC381" s="42"/>
      <c r="AD381" s="42"/>
      <c r="AE381" s="42"/>
      <c r="AF381" s="42"/>
      <c r="AG381" s="42"/>
      <c r="AH381" s="42"/>
      <c r="AI381" s="42">
        <f t="shared" si="3"/>
        <v>4</v>
      </c>
      <c r="AJ381" s="42"/>
      <c r="AK381" s="42"/>
    </row>
    <row r="382">
      <c r="A382" s="41" t="s">
        <v>1005</v>
      </c>
      <c r="B382" s="41" t="s">
        <v>628</v>
      </c>
      <c r="C382" s="41" t="s">
        <v>842</v>
      </c>
      <c r="D382" s="41" t="s">
        <v>529</v>
      </c>
      <c r="E382" s="41" t="s">
        <v>595</v>
      </c>
      <c r="F382" s="42"/>
      <c r="G382" s="42"/>
      <c r="H382" s="42"/>
      <c r="I382" s="41" t="s">
        <v>1006</v>
      </c>
      <c r="J382" s="41">
        <v>1000.0</v>
      </c>
      <c r="K382" s="43" t="str">
        <f t="shared" si="1"/>
        <v>Requires Attunement, 4</v>
      </c>
      <c r="L382" s="43" t="str">
        <f t="shared" si="2"/>
        <v>Requires Attunement</v>
      </c>
      <c r="M382" s="42"/>
      <c r="N382" s="42"/>
      <c r="O382" s="42"/>
      <c r="P382" s="42"/>
      <c r="Q382" s="42"/>
      <c r="S382" s="42"/>
      <c r="T382" s="42"/>
      <c r="U382" s="42"/>
      <c r="V382" s="42"/>
      <c r="W382" s="42"/>
      <c r="X382" s="42"/>
      <c r="Y382" s="42"/>
      <c r="Z382" s="42"/>
      <c r="AA382" s="42"/>
      <c r="AB382" s="42"/>
      <c r="AC382" s="42"/>
      <c r="AD382" s="42"/>
      <c r="AE382" s="42"/>
      <c r="AF382" s="42"/>
      <c r="AG382" s="42"/>
      <c r="AH382" s="42"/>
      <c r="AI382" s="42">
        <f t="shared" si="3"/>
        <v>4</v>
      </c>
      <c r="AJ382" s="42"/>
      <c r="AK382" s="42"/>
    </row>
    <row r="383">
      <c r="A383" s="41" t="s">
        <v>1007</v>
      </c>
      <c r="B383" s="41" t="s">
        <v>525</v>
      </c>
      <c r="C383" s="41" t="s">
        <v>842</v>
      </c>
      <c r="D383" s="41" t="s">
        <v>556</v>
      </c>
      <c r="E383" s="42"/>
      <c r="F383" s="42"/>
      <c r="G383" s="42"/>
      <c r="H383" s="42"/>
      <c r="I383" s="41" t="s">
        <v>1008</v>
      </c>
      <c r="J383" s="41">
        <v>1000.0</v>
      </c>
      <c r="K383" s="43" t="str">
        <f t="shared" si="1"/>
        <v>No Attunement Required, Potions, Flying, 4</v>
      </c>
      <c r="L383" s="43" t="str">
        <f t="shared" si="2"/>
        <v>No Attunement Required</v>
      </c>
      <c r="M383" s="42"/>
      <c r="N383" s="42"/>
      <c r="O383" s="42"/>
      <c r="P383" s="42"/>
      <c r="Q383" s="42"/>
      <c r="S383" s="41" t="s">
        <v>57</v>
      </c>
      <c r="T383" s="41"/>
      <c r="U383" s="42"/>
      <c r="V383" s="41" t="s">
        <v>49</v>
      </c>
      <c r="W383" s="42"/>
      <c r="X383" s="42"/>
      <c r="Y383" s="42"/>
      <c r="Z383" s="42"/>
      <c r="AA383" s="42"/>
      <c r="AB383" s="42"/>
      <c r="AC383" s="42"/>
      <c r="AD383" s="42"/>
      <c r="AE383" s="42"/>
      <c r="AF383" s="42"/>
      <c r="AG383" s="42"/>
      <c r="AH383" s="42"/>
      <c r="AI383" s="42">
        <f t="shared" si="3"/>
        <v>4</v>
      </c>
      <c r="AJ383" s="42"/>
      <c r="AK383" s="42"/>
    </row>
    <row r="384">
      <c r="A384" s="41" t="s">
        <v>1009</v>
      </c>
      <c r="B384" s="41" t="s">
        <v>525</v>
      </c>
      <c r="C384" s="41" t="s">
        <v>842</v>
      </c>
      <c r="D384" s="41" t="s">
        <v>304</v>
      </c>
      <c r="E384" s="41" t="s">
        <v>595</v>
      </c>
      <c r="F384" s="41" t="s">
        <v>395</v>
      </c>
      <c r="G384" s="41" t="s">
        <v>475</v>
      </c>
      <c r="H384" s="41" t="s">
        <v>344</v>
      </c>
      <c r="I384" s="41" t="s">
        <v>1010</v>
      </c>
      <c r="J384" s="41">
        <v>1000.0</v>
      </c>
      <c r="K384" s="43" t="str">
        <f t="shared" si="1"/>
        <v>Requires Attunement, Effect, Martial Weapon, Melee Weapons, 4</v>
      </c>
      <c r="L384" s="43" t="str">
        <f t="shared" si="2"/>
        <v>Requires Attunement</v>
      </c>
      <c r="M384" s="41" t="s">
        <v>33</v>
      </c>
      <c r="N384" s="42"/>
      <c r="O384" s="42"/>
      <c r="P384" s="41" t="s">
        <v>309</v>
      </c>
      <c r="Q384" s="41"/>
      <c r="R384" s="42"/>
      <c r="S384" s="42"/>
      <c r="T384" s="42"/>
      <c r="U384" s="42"/>
      <c r="V384" s="42"/>
      <c r="W384" s="42"/>
      <c r="X384" s="42"/>
      <c r="Y384" s="42"/>
      <c r="Z384" s="42"/>
      <c r="AA384" s="42"/>
      <c r="AB384" s="42"/>
      <c r="AC384" s="42"/>
      <c r="AD384" s="42"/>
      <c r="AE384" s="42"/>
      <c r="AF384" s="41" t="s">
        <v>107</v>
      </c>
      <c r="AG384" s="42"/>
      <c r="AH384" s="42"/>
      <c r="AI384" s="42">
        <f t="shared" si="3"/>
        <v>4</v>
      </c>
      <c r="AJ384" s="42"/>
      <c r="AK384" s="42"/>
    </row>
    <row r="385">
      <c r="A385" s="41" t="s">
        <v>1011</v>
      </c>
      <c r="B385" s="41" t="s">
        <v>525</v>
      </c>
      <c r="C385" s="41" t="s">
        <v>653</v>
      </c>
      <c r="D385" s="41" t="s">
        <v>529</v>
      </c>
      <c r="E385" s="41" t="s">
        <v>595</v>
      </c>
      <c r="F385" s="42"/>
      <c r="G385" s="42"/>
      <c r="H385" s="42"/>
      <c r="I385" s="41" t="s">
        <v>1012</v>
      </c>
      <c r="J385" s="41">
        <v>1100.0</v>
      </c>
      <c r="K385" s="43" t="str">
        <f t="shared" si="1"/>
        <v>Requires Attunement, Utility Gear, Grants Advantage, Stat Increasers, Ioun Stones, 3</v>
      </c>
      <c r="L385" s="43" t="str">
        <f t="shared" si="2"/>
        <v>Requires Attunement</v>
      </c>
      <c r="M385" s="44"/>
      <c r="N385" s="44" t="s">
        <v>47</v>
      </c>
      <c r="O385" s="42"/>
      <c r="P385" s="42"/>
      <c r="Q385" s="42"/>
      <c r="R385" s="42"/>
      <c r="S385" s="42"/>
      <c r="T385" s="42"/>
      <c r="U385" s="44" t="s">
        <v>42</v>
      </c>
      <c r="V385" s="42"/>
      <c r="W385" s="42"/>
      <c r="X385" s="42"/>
      <c r="Y385" s="41" t="s">
        <v>103</v>
      </c>
      <c r="Z385" s="42"/>
      <c r="AA385" s="42"/>
      <c r="AB385" s="42"/>
      <c r="AC385" s="42"/>
      <c r="AD385" s="42"/>
      <c r="AE385" s="42"/>
      <c r="AF385" s="42"/>
      <c r="AG385" s="42"/>
      <c r="AH385" s="44" t="s">
        <v>53</v>
      </c>
      <c r="AI385" s="42">
        <f t="shared" si="3"/>
        <v>3</v>
      </c>
      <c r="AJ385" s="42"/>
      <c r="AK385" s="42"/>
    </row>
    <row r="386">
      <c r="A386" s="41" t="s">
        <v>1013</v>
      </c>
      <c r="B386" s="41" t="s">
        <v>525</v>
      </c>
      <c r="C386" s="41" t="s">
        <v>653</v>
      </c>
      <c r="D386" s="41" t="s">
        <v>522</v>
      </c>
      <c r="E386" s="41" t="s">
        <v>595</v>
      </c>
      <c r="F386" s="42"/>
      <c r="G386" s="42"/>
      <c r="H386" s="42"/>
      <c r="I386" s="41" t="s">
        <v>1014</v>
      </c>
      <c r="J386" s="41">
        <v>1100.0</v>
      </c>
      <c r="K386" s="43" t="str">
        <f t="shared" si="1"/>
        <v>Requires Attunement, Utility Gear, Rings, 3</v>
      </c>
      <c r="L386" s="43" t="str">
        <f t="shared" si="2"/>
        <v>Requires Attunement</v>
      </c>
      <c r="M386" s="44"/>
      <c r="N386" s="44" t="s">
        <v>47</v>
      </c>
      <c r="O386" s="42"/>
      <c r="P386" s="42"/>
      <c r="Q386" s="42"/>
      <c r="S386" s="46" t="s">
        <v>36</v>
      </c>
      <c r="T386" s="42"/>
      <c r="U386" s="42"/>
      <c r="V386" s="42"/>
      <c r="W386" s="42"/>
      <c r="X386" s="42"/>
      <c r="Y386" s="42"/>
      <c r="Z386" s="42"/>
      <c r="AA386" s="42"/>
      <c r="AB386" s="42"/>
      <c r="AC386" s="42"/>
      <c r="AD386" s="42"/>
      <c r="AE386" s="42"/>
      <c r="AF386" s="42"/>
      <c r="AG386" s="42"/>
      <c r="AH386" s="42"/>
      <c r="AI386" s="42">
        <f t="shared" si="3"/>
        <v>3</v>
      </c>
      <c r="AJ386" s="42"/>
      <c r="AK386" s="42"/>
    </row>
    <row r="387">
      <c r="A387" s="41" t="s">
        <v>1015</v>
      </c>
      <c r="B387" s="41" t="s">
        <v>625</v>
      </c>
      <c r="C387" s="41" t="s">
        <v>653</v>
      </c>
      <c r="D387" s="41" t="s">
        <v>526</v>
      </c>
      <c r="E387" s="41" t="s">
        <v>595</v>
      </c>
      <c r="F387" s="42"/>
      <c r="G387" s="42"/>
      <c r="H387" s="42"/>
      <c r="I387" s="47" t="s">
        <v>1016</v>
      </c>
      <c r="J387" s="41">
        <v>1100.0</v>
      </c>
      <c r="K387" s="43" t="str">
        <f t="shared" si="1"/>
        <v>Requires Attunement, Effect, Healing, Generic Variant, Ranged Weapons, 3</v>
      </c>
      <c r="L387" s="43" t="str">
        <f t="shared" si="2"/>
        <v>Requires Attunement</v>
      </c>
      <c r="M387" s="41" t="s">
        <v>33</v>
      </c>
      <c r="N387" s="42"/>
      <c r="O387" s="42"/>
      <c r="P387" s="41"/>
      <c r="Q387" s="41"/>
      <c r="R387" s="44" t="s">
        <v>46</v>
      </c>
      <c r="S387" s="44" t="s">
        <v>526</v>
      </c>
      <c r="T387" s="44"/>
      <c r="U387" s="42"/>
      <c r="V387" s="42"/>
      <c r="W387" s="42"/>
      <c r="X387" s="42"/>
      <c r="Y387" s="42"/>
      <c r="Z387" s="42"/>
      <c r="AA387" s="42"/>
      <c r="AB387" s="42"/>
      <c r="AC387" s="42"/>
      <c r="AD387" s="42"/>
      <c r="AE387" s="44" t="s">
        <v>106</v>
      </c>
      <c r="AF387" s="42"/>
      <c r="AG387" s="42"/>
      <c r="AH387" s="42"/>
      <c r="AI387" s="42">
        <f t="shared" si="3"/>
        <v>3</v>
      </c>
      <c r="AJ387" s="42"/>
      <c r="AK387" s="42"/>
    </row>
    <row r="388">
      <c r="A388" s="41" t="s">
        <v>1017</v>
      </c>
      <c r="B388" s="41" t="s">
        <v>625</v>
      </c>
      <c r="C388" s="41" t="s">
        <v>842</v>
      </c>
      <c r="D388" s="41" t="s">
        <v>331</v>
      </c>
      <c r="E388" s="41" t="s">
        <v>595</v>
      </c>
      <c r="F388" s="41" t="s">
        <v>342</v>
      </c>
      <c r="G388" s="41" t="s">
        <v>1018</v>
      </c>
      <c r="H388" s="42"/>
      <c r="I388" s="41" t="s">
        <v>1019</v>
      </c>
      <c r="J388" s="41">
        <v>1100.0</v>
      </c>
      <c r="K388" s="43" t="str">
        <f t="shared" si="1"/>
        <v>Requires Attunement, Effect, Simple Weapon, Bonus Damage, Melee Weapons, 4</v>
      </c>
      <c r="L388" s="43" t="str">
        <f t="shared" si="2"/>
        <v>Requires Attunement</v>
      </c>
      <c r="M388" s="41" t="s">
        <v>33</v>
      </c>
      <c r="N388" s="42"/>
      <c r="O388" s="42"/>
      <c r="P388" s="44" t="s">
        <v>336</v>
      </c>
      <c r="Q388" s="44"/>
      <c r="R388" s="46" t="s">
        <v>44</v>
      </c>
      <c r="S388" s="42"/>
      <c r="T388" s="42"/>
      <c r="U388" s="42"/>
      <c r="V388" s="42"/>
      <c r="W388" s="42"/>
      <c r="X388" s="44"/>
      <c r="Y388" s="42"/>
      <c r="Z388" s="42"/>
      <c r="AA388" s="42"/>
      <c r="AB388" s="42"/>
      <c r="AC388" s="42"/>
      <c r="AD388" s="42"/>
      <c r="AE388" s="42"/>
      <c r="AF388" s="41" t="s">
        <v>107</v>
      </c>
      <c r="AG388" s="42"/>
      <c r="AH388" s="42"/>
      <c r="AI388" s="42">
        <f t="shared" si="3"/>
        <v>4</v>
      </c>
      <c r="AJ388" s="42"/>
      <c r="AK388" s="42"/>
    </row>
    <row r="389">
      <c r="A389" s="41" t="s">
        <v>1020</v>
      </c>
      <c r="B389" s="41" t="s">
        <v>1021</v>
      </c>
      <c r="C389" s="41" t="s">
        <v>112</v>
      </c>
      <c r="D389" s="41" t="s">
        <v>656</v>
      </c>
      <c r="E389" s="42"/>
      <c r="F389" s="42"/>
      <c r="G389" s="42"/>
      <c r="H389" s="42"/>
      <c r="I389" s="41" t="s">
        <v>1022</v>
      </c>
      <c r="J389" s="41">
        <v>1200.0</v>
      </c>
      <c r="K389" s="43" t="str">
        <f t="shared" si="1"/>
        <v>No Attunement Required, Poisons, 0</v>
      </c>
      <c r="L389" s="43" t="str">
        <f t="shared" si="2"/>
        <v>No Attunement Required</v>
      </c>
      <c r="M389" s="42"/>
      <c r="N389" s="42"/>
      <c r="O389" s="42"/>
      <c r="P389" s="42"/>
      <c r="Q389" s="42"/>
      <c r="R389" s="42"/>
      <c r="S389" s="42"/>
      <c r="T389" s="42"/>
      <c r="U389" s="42"/>
      <c r="V389" s="42"/>
      <c r="W389" s="42"/>
      <c r="X389" s="42"/>
      <c r="Y389" s="42"/>
      <c r="Z389" s="42"/>
      <c r="AA389" s="42"/>
      <c r="AB389" s="42"/>
      <c r="AC389" s="42"/>
      <c r="AD389" s="44" t="s">
        <v>58</v>
      </c>
      <c r="AE389" s="42"/>
      <c r="AF389" s="42"/>
      <c r="AG389" s="42"/>
      <c r="AH389" s="42"/>
      <c r="AI389" s="42">
        <f t="shared" si="3"/>
        <v>0</v>
      </c>
      <c r="AJ389" s="42"/>
      <c r="AK389" s="42"/>
    </row>
    <row r="390">
      <c r="A390" s="41" t="s">
        <v>1023</v>
      </c>
      <c r="B390" s="41" t="s">
        <v>525</v>
      </c>
      <c r="C390" s="41" t="s">
        <v>600</v>
      </c>
      <c r="D390" s="41" t="s">
        <v>569</v>
      </c>
      <c r="E390" s="42"/>
      <c r="F390" s="42"/>
      <c r="G390" s="42"/>
      <c r="H390" s="42"/>
      <c r="I390" s="41" t="s">
        <v>1024</v>
      </c>
      <c r="J390" s="41">
        <v>1200.0</v>
      </c>
      <c r="K390" s="43" t="str">
        <f t="shared" si="1"/>
        <v>No Attunement Required, Effect, Wand, Enspelled, 2</v>
      </c>
      <c r="L390" s="43" t="str">
        <f t="shared" si="2"/>
        <v>No Attunement Required</v>
      </c>
      <c r="M390" s="41" t="s">
        <v>33</v>
      </c>
      <c r="N390" s="42"/>
      <c r="O390" s="42"/>
      <c r="P390" s="42"/>
      <c r="Q390" s="42"/>
      <c r="R390" s="44"/>
      <c r="S390" s="41" t="s">
        <v>569</v>
      </c>
      <c r="T390" s="44" t="s">
        <v>611</v>
      </c>
      <c r="U390" s="42"/>
      <c r="V390" s="42"/>
      <c r="W390" s="42"/>
      <c r="X390" s="42"/>
      <c r="Y390" s="42"/>
      <c r="Z390" s="42"/>
      <c r="AA390" s="42"/>
      <c r="AB390" s="42"/>
      <c r="AC390" s="42"/>
      <c r="AD390" s="42"/>
      <c r="AE390" s="42"/>
      <c r="AF390" s="42"/>
      <c r="AG390" s="42"/>
      <c r="AH390" s="42"/>
      <c r="AI390" s="42">
        <f t="shared" si="3"/>
        <v>2</v>
      </c>
      <c r="AJ390" s="42"/>
      <c r="AK390" s="42"/>
    </row>
    <row r="391">
      <c r="A391" s="41" t="s">
        <v>1025</v>
      </c>
      <c r="B391" s="41" t="s">
        <v>525</v>
      </c>
      <c r="C391" s="41" t="s">
        <v>600</v>
      </c>
      <c r="D391" s="41" t="s">
        <v>526</v>
      </c>
      <c r="E391" s="41" t="s">
        <v>595</v>
      </c>
      <c r="F391" s="42"/>
      <c r="G391" s="42"/>
      <c r="H391" s="42"/>
      <c r="I391" s="47" t="s">
        <v>1026</v>
      </c>
      <c r="J391" s="41">
        <v>1200.0</v>
      </c>
      <c r="K391" s="43" t="str">
        <f t="shared" si="1"/>
        <v>Requires Attunement, Effect, Generic Variant, Grants Advantage, Ranged Weapons, Melee Weapons, 2</v>
      </c>
      <c r="L391" s="43" t="str">
        <f t="shared" si="2"/>
        <v>Requires Attunement</v>
      </c>
      <c r="M391" s="41" t="s">
        <v>33</v>
      </c>
      <c r="N391" s="42"/>
      <c r="O391" s="42"/>
      <c r="P391" s="42"/>
      <c r="Q391" s="42"/>
      <c r="R391" s="42"/>
      <c r="S391" s="44" t="s">
        <v>526</v>
      </c>
      <c r="T391" s="44"/>
      <c r="U391" s="44" t="s">
        <v>42</v>
      </c>
      <c r="V391" s="42"/>
      <c r="W391" s="42"/>
      <c r="X391" s="42"/>
      <c r="Y391" s="42"/>
      <c r="Z391" s="42"/>
      <c r="AA391" s="42"/>
      <c r="AB391" s="42"/>
      <c r="AC391" s="42"/>
      <c r="AD391" s="42"/>
      <c r="AE391" s="44" t="s">
        <v>106</v>
      </c>
      <c r="AF391" s="44" t="s">
        <v>107</v>
      </c>
      <c r="AG391" s="42"/>
      <c r="AH391" s="42"/>
      <c r="AI391" s="42">
        <f t="shared" si="3"/>
        <v>2</v>
      </c>
      <c r="AJ391" s="42"/>
      <c r="AK391" s="42"/>
    </row>
    <row r="392">
      <c r="A392" s="49" t="s">
        <v>1027</v>
      </c>
      <c r="B392" s="44" t="s">
        <v>637</v>
      </c>
      <c r="C392" s="44" t="s">
        <v>1028</v>
      </c>
      <c r="D392" s="44" t="s">
        <v>526</v>
      </c>
      <c r="E392" s="42"/>
      <c r="F392" s="42"/>
      <c r="G392" s="42"/>
      <c r="H392" s="42"/>
      <c r="I392" s="41" t="s">
        <v>1029</v>
      </c>
      <c r="J392" s="41">
        <v>1200.0</v>
      </c>
      <c r="K392" s="43" t="str">
        <f t="shared" si="1"/>
        <v>No Attunement Required, Power, 3</v>
      </c>
      <c r="L392" s="43" t="str">
        <f t="shared" si="2"/>
        <v>No Attunement Required</v>
      </c>
      <c r="M392" s="44" t="s">
        <v>32</v>
      </c>
      <c r="N392" s="42"/>
      <c r="O392" s="42"/>
      <c r="P392" s="42"/>
      <c r="Q392" s="42"/>
      <c r="R392" s="42"/>
      <c r="S392" s="42"/>
      <c r="T392" s="42"/>
      <c r="U392" s="42"/>
      <c r="V392" s="42"/>
      <c r="W392" s="42"/>
      <c r="X392" s="42"/>
      <c r="Y392" s="42"/>
      <c r="Z392" s="42"/>
      <c r="AA392" s="42"/>
      <c r="AB392" s="42"/>
      <c r="AC392" s="42"/>
      <c r="AD392" s="42"/>
      <c r="AE392" s="42"/>
      <c r="AF392" s="42"/>
      <c r="AG392" s="42"/>
      <c r="AH392" s="42"/>
      <c r="AI392" s="42">
        <f t="shared" si="3"/>
        <v>3</v>
      </c>
      <c r="AJ392" s="42"/>
      <c r="AK392" s="42"/>
    </row>
    <row r="393">
      <c r="A393" s="41" t="s">
        <v>1030</v>
      </c>
      <c r="B393" s="41" t="s">
        <v>525</v>
      </c>
      <c r="C393" s="41" t="s">
        <v>653</v>
      </c>
      <c r="D393" s="41" t="s">
        <v>23</v>
      </c>
      <c r="E393" s="41" t="s">
        <v>595</v>
      </c>
      <c r="F393" s="41" t="s">
        <v>477</v>
      </c>
      <c r="G393" s="42"/>
      <c r="H393" s="42"/>
      <c r="I393" s="41" t="s">
        <v>1031</v>
      </c>
      <c r="J393" s="41">
        <v>1200.0</v>
      </c>
      <c r="K393" s="43" t="str">
        <f t="shared" si="1"/>
        <v>Requires Attunement, Effect, Shield, Bonus AC, Armors, 3</v>
      </c>
      <c r="L393" s="43" t="str">
        <f t="shared" si="2"/>
        <v>Requires Attunement</v>
      </c>
      <c r="M393" s="41" t="s">
        <v>33</v>
      </c>
      <c r="N393" s="42"/>
      <c r="O393" s="41" t="s">
        <v>23</v>
      </c>
      <c r="P393" s="44" t="s">
        <v>45</v>
      </c>
      <c r="Q393" s="42"/>
      <c r="R393" s="42"/>
      <c r="S393" s="41"/>
      <c r="T393" s="41"/>
      <c r="U393" s="42"/>
      <c r="V393" s="42"/>
      <c r="W393" s="42"/>
      <c r="X393" s="42"/>
      <c r="Y393" s="42"/>
      <c r="Z393" s="42"/>
      <c r="AA393" s="42"/>
      <c r="AB393" s="42"/>
      <c r="AC393" s="42"/>
      <c r="AD393" s="42"/>
      <c r="AE393" s="42"/>
      <c r="AF393" s="42"/>
      <c r="AG393" s="44" t="s">
        <v>108</v>
      </c>
      <c r="AH393" s="42"/>
      <c r="AI393" s="42">
        <f t="shared" si="3"/>
        <v>3</v>
      </c>
      <c r="AJ393" s="42"/>
      <c r="AK393" s="42"/>
    </row>
    <row r="394">
      <c r="A394" s="41" t="s">
        <v>1032</v>
      </c>
      <c r="B394" s="41" t="s">
        <v>680</v>
      </c>
      <c r="C394" s="41" t="s">
        <v>653</v>
      </c>
      <c r="D394" s="41" t="s">
        <v>681</v>
      </c>
      <c r="E394" s="41" t="s">
        <v>766</v>
      </c>
      <c r="F394" s="42"/>
      <c r="G394" s="42"/>
      <c r="H394" s="42"/>
      <c r="I394" s="41" t="s">
        <v>1033</v>
      </c>
      <c r="J394" s="41">
        <v>1200.0</v>
      </c>
      <c r="K394" s="43" t="str">
        <f t="shared" si="1"/>
        <v>Requires Attunement, Effect, Wizard, Spellcasting Focus, 3</v>
      </c>
      <c r="L394" s="43" t="str">
        <f t="shared" si="2"/>
        <v>Requires Attunement</v>
      </c>
      <c r="M394" s="41" t="s">
        <v>33</v>
      </c>
      <c r="N394" s="41" t="s">
        <v>76</v>
      </c>
      <c r="O394" s="42"/>
      <c r="P394" s="42"/>
      <c r="Q394" s="42"/>
      <c r="R394" s="42"/>
      <c r="S394" s="42"/>
      <c r="T394" s="42"/>
      <c r="U394" s="42"/>
      <c r="V394" s="42"/>
      <c r="W394" s="42"/>
      <c r="X394" s="41" t="s">
        <v>24</v>
      </c>
      <c r="Y394" s="42"/>
      <c r="Z394" s="42"/>
      <c r="AA394" s="42"/>
      <c r="AB394" s="42"/>
      <c r="AC394" s="42"/>
      <c r="AD394" s="42"/>
      <c r="AE394" s="42"/>
      <c r="AF394" s="42"/>
      <c r="AG394" s="42"/>
      <c r="AH394" s="42"/>
      <c r="AI394" s="42">
        <f t="shared" si="3"/>
        <v>3</v>
      </c>
      <c r="AJ394" s="42"/>
      <c r="AK394" s="42"/>
    </row>
    <row r="395">
      <c r="A395" s="41" t="s">
        <v>1034</v>
      </c>
      <c r="B395" s="41" t="s">
        <v>625</v>
      </c>
      <c r="C395" s="41" t="s">
        <v>653</v>
      </c>
      <c r="D395" s="41" t="s">
        <v>526</v>
      </c>
      <c r="E395" s="41" t="s">
        <v>595</v>
      </c>
      <c r="F395" s="42"/>
      <c r="G395" s="42"/>
      <c r="H395" s="42"/>
      <c r="I395" s="47" t="s">
        <v>1035</v>
      </c>
      <c r="J395" s="41">
        <v>1200.0</v>
      </c>
      <c r="K395" s="43" t="str">
        <f t="shared" si="1"/>
        <v>Requires Attunement, Effect, Bonus Damage, Generic Variant, Ranged Weapons, 3</v>
      </c>
      <c r="L395" s="43" t="str">
        <f t="shared" si="2"/>
        <v>Requires Attunement</v>
      </c>
      <c r="M395" s="41" t="s">
        <v>33</v>
      </c>
      <c r="N395" s="42"/>
      <c r="O395" s="42"/>
      <c r="P395" s="42"/>
      <c r="Q395" s="42"/>
      <c r="R395" s="46" t="s">
        <v>44</v>
      </c>
      <c r="S395" s="44" t="s">
        <v>526</v>
      </c>
      <c r="T395" s="44"/>
      <c r="U395" s="42"/>
      <c r="V395" s="42"/>
      <c r="W395" s="42"/>
      <c r="X395" s="42"/>
      <c r="Y395" s="42"/>
      <c r="Z395" s="42"/>
      <c r="AA395" s="42"/>
      <c r="AB395" s="42"/>
      <c r="AC395" s="42"/>
      <c r="AD395" s="42"/>
      <c r="AE395" s="44" t="s">
        <v>106</v>
      </c>
      <c r="AF395" s="42"/>
      <c r="AG395" s="42"/>
      <c r="AH395" s="42"/>
      <c r="AI395" s="42">
        <f t="shared" si="3"/>
        <v>3</v>
      </c>
      <c r="AJ395" s="42"/>
      <c r="AK395" s="42"/>
    </row>
    <row r="396">
      <c r="A396" s="41" t="s">
        <v>1036</v>
      </c>
      <c r="B396" s="41" t="s">
        <v>609</v>
      </c>
      <c r="C396" s="41" t="s">
        <v>653</v>
      </c>
      <c r="D396" s="41" t="s">
        <v>526</v>
      </c>
      <c r="E396" s="41" t="s">
        <v>595</v>
      </c>
      <c r="F396" s="42"/>
      <c r="G396" s="42"/>
      <c r="H396" s="42"/>
      <c r="I396" s="47" t="s">
        <v>1037</v>
      </c>
      <c r="J396" s="41">
        <v>1200.0</v>
      </c>
      <c r="K396" s="43" t="str">
        <f t="shared" si="1"/>
        <v>Requires Attunement, Effect, Healing, Bonus Damage, Generic Variant, Melee Weapons, 3</v>
      </c>
      <c r="L396" s="43" t="str">
        <f t="shared" si="2"/>
        <v>Requires Attunement</v>
      </c>
      <c r="M396" s="41" t="s">
        <v>33</v>
      </c>
      <c r="N396" s="42"/>
      <c r="O396" s="42"/>
      <c r="P396" s="42"/>
      <c r="Q396" s="42"/>
      <c r="R396" s="46" t="s">
        <v>1038</v>
      </c>
      <c r="S396" s="44" t="s">
        <v>526</v>
      </c>
      <c r="T396" s="44"/>
      <c r="U396" s="42"/>
      <c r="V396" s="42"/>
      <c r="W396" s="42"/>
      <c r="X396" s="42"/>
      <c r="Y396" s="42"/>
      <c r="Z396" s="42"/>
      <c r="AA396" s="42"/>
      <c r="AB396" s="42"/>
      <c r="AC396" s="42"/>
      <c r="AD396" s="42"/>
      <c r="AE396" s="42"/>
      <c r="AF396" s="44" t="s">
        <v>107</v>
      </c>
      <c r="AG396" s="42"/>
      <c r="AH396" s="42"/>
      <c r="AI396" s="42">
        <f t="shared" si="3"/>
        <v>3</v>
      </c>
      <c r="AJ396" s="42"/>
      <c r="AK396" s="42"/>
    </row>
    <row r="397">
      <c r="A397" s="41" t="s">
        <v>1039</v>
      </c>
      <c r="B397" s="41" t="s">
        <v>680</v>
      </c>
      <c r="C397" s="41" t="s">
        <v>653</v>
      </c>
      <c r="D397" s="41" t="s">
        <v>304</v>
      </c>
      <c r="E397" s="41" t="s">
        <v>743</v>
      </c>
      <c r="F397" s="41" t="s">
        <v>363</v>
      </c>
      <c r="G397" s="42"/>
      <c r="H397" s="42"/>
      <c r="I397" s="41" t="s">
        <v>1040</v>
      </c>
      <c r="J397" s="41">
        <v>1200.0</v>
      </c>
      <c r="K397" s="43" t="str">
        <f t="shared" si="1"/>
        <v>Requires Attunement, Effect, Cleric, Paladin, Martial Weapon, Healing, Bonus Damage, Spellcasting Focus, Melee Weapons, 3</v>
      </c>
      <c r="L397" s="43" t="str">
        <f t="shared" si="2"/>
        <v>Requires Attunement</v>
      </c>
      <c r="M397" s="41" t="s">
        <v>33</v>
      </c>
      <c r="N397" s="41" t="s">
        <v>745</v>
      </c>
      <c r="O397" s="42"/>
      <c r="P397" s="44" t="s">
        <v>309</v>
      </c>
      <c r="Q397" s="44"/>
      <c r="R397" s="46" t="s">
        <v>1038</v>
      </c>
      <c r="S397" s="42"/>
      <c r="T397" s="42"/>
      <c r="U397" s="42"/>
      <c r="V397" s="42"/>
      <c r="W397" s="42"/>
      <c r="X397" s="41" t="s">
        <v>24</v>
      </c>
      <c r="Y397" s="42"/>
      <c r="Z397" s="42"/>
      <c r="AA397" s="42"/>
      <c r="AB397" s="42"/>
      <c r="AC397" s="42"/>
      <c r="AD397" s="42"/>
      <c r="AE397" s="42"/>
      <c r="AF397" s="41" t="s">
        <v>107</v>
      </c>
      <c r="AG397" s="42"/>
      <c r="AH397" s="42"/>
      <c r="AI397" s="42">
        <f t="shared" si="3"/>
        <v>3</v>
      </c>
      <c r="AJ397" s="42"/>
      <c r="AK397" s="42"/>
    </row>
    <row r="398">
      <c r="A398" s="41" t="s">
        <v>1041</v>
      </c>
      <c r="B398" s="41" t="s">
        <v>680</v>
      </c>
      <c r="C398" s="41" t="s">
        <v>653</v>
      </c>
      <c r="D398" s="41" t="s">
        <v>681</v>
      </c>
      <c r="E398" s="41" t="s">
        <v>800</v>
      </c>
      <c r="F398" s="42"/>
      <c r="G398" s="42"/>
      <c r="H398" s="42"/>
      <c r="I398" s="41" t="s">
        <v>1042</v>
      </c>
      <c r="J398" s="41">
        <v>1200.0</v>
      </c>
      <c r="K398" s="43" t="str">
        <f t="shared" si="1"/>
        <v>Requires Attunement, Effect, Sorcerer, Flying, Spellcasting Focus, 3</v>
      </c>
      <c r="L398" s="43" t="str">
        <f t="shared" si="2"/>
        <v>Requires Attunement</v>
      </c>
      <c r="M398" s="41" t="s">
        <v>33</v>
      </c>
      <c r="N398" s="41" t="s">
        <v>74</v>
      </c>
      <c r="O398" s="42"/>
      <c r="P398" s="41"/>
      <c r="Q398" s="41"/>
      <c r="R398" s="42"/>
      <c r="S398" s="42"/>
      <c r="T398" s="42"/>
      <c r="U398" s="42"/>
      <c r="V398" s="41" t="s">
        <v>49</v>
      </c>
      <c r="W398" s="42"/>
      <c r="X398" s="41" t="s">
        <v>24</v>
      </c>
      <c r="Y398" s="42"/>
      <c r="Z398" s="42"/>
      <c r="AA398" s="42"/>
      <c r="AB398" s="42"/>
      <c r="AC398" s="42"/>
      <c r="AD398" s="42"/>
      <c r="AE398" s="42"/>
      <c r="AF398" s="42"/>
      <c r="AG398" s="42"/>
      <c r="AH398" s="42"/>
      <c r="AI398" s="42">
        <f t="shared" si="3"/>
        <v>3</v>
      </c>
      <c r="AJ398" s="42"/>
      <c r="AK398" s="42"/>
    </row>
    <row r="399">
      <c r="A399" s="41" t="s">
        <v>1043</v>
      </c>
      <c r="B399" s="41" t="s">
        <v>680</v>
      </c>
      <c r="C399" s="41" t="s">
        <v>653</v>
      </c>
      <c r="D399" s="41" t="s">
        <v>681</v>
      </c>
      <c r="E399" s="41" t="s">
        <v>800</v>
      </c>
      <c r="F399" s="42"/>
      <c r="G399" s="42"/>
      <c r="H399" s="42"/>
      <c r="I399" s="41" t="s">
        <v>1044</v>
      </c>
      <c r="J399" s="41">
        <v>1200.0</v>
      </c>
      <c r="K399" s="43" t="str">
        <f t="shared" si="1"/>
        <v>Requires Attunement, Effect, Sorcerer, Resistance, Spellcasting Focus, 3</v>
      </c>
      <c r="L399" s="43" t="str">
        <f t="shared" si="2"/>
        <v>Requires Attunement</v>
      </c>
      <c r="M399" s="41" t="s">
        <v>33</v>
      </c>
      <c r="N399" s="41" t="s">
        <v>74</v>
      </c>
      <c r="O399" s="42"/>
      <c r="P399" s="42"/>
      <c r="Q399" s="42"/>
      <c r="R399" s="42"/>
      <c r="S399" s="42"/>
      <c r="T399" s="42"/>
      <c r="U399" s="42"/>
      <c r="V399" s="42"/>
      <c r="W399" s="41" t="s">
        <v>101</v>
      </c>
      <c r="X399" s="41" t="s">
        <v>24</v>
      </c>
      <c r="Y399" s="42"/>
      <c r="Z399" s="42"/>
      <c r="AA399" s="42"/>
      <c r="AB399" s="42"/>
      <c r="AC399" s="42"/>
      <c r="AD399" s="42"/>
      <c r="AE399" s="42"/>
      <c r="AF399" s="42"/>
      <c r="AG399" s="42"/>
      <c r="AH399" s="42"/>
      <c r="AI399" s="42">
        <f t="shared" si="3"/>
        <v>3</v>
      </c>
      <c r="AJ399" s="42"/>
      <c r="AK399" s="42"/>
    </row>
    <row r="400">
      <c r="A400" s="41" t="s">
        <v>1045</v>
      </c>
      <c r="B400" s="41" t="s">
        <v>680</v>
      </c>
      <c r="C400" s="41" t="s">
        <v>653</v>
      </c>
      <c r="D400" s="41" t="s">
        <v>681</v>
      </c>
      <c r="E400" s="41" t="s">
        <v>800</v>
      </c>
      <c r="F400" s="42"/>
      <c r="G400" s="42"/>
      <c r="H400" s="42"/>
      <c r="I400" s="41" t="s">
        <v>1046</v>
      </c>
      <c r="J400" s="41">
        <v>1200.0</v>
      </c>
      <c r="K400" s="43" t="str">
        <f t="shared" si="1"/>
        <v>Requires Attunement, Effect, Sorcerer, Spellcasting Focus, 3</v>
      </c>
      <c r="L400" s="43" t="str">
        <f t="shared" si="2"/>
        <v>Requires Attunement</v>
      </c>
      <c r="M400" s="41" t="s">
        <v>33</v>
      </c>
      <c r="N400" s="41" t="s">
        <v>74</v>
      </c>
      <c r="O400" s="42"/>
      <c r="P400" s="42"/>
      <c r="Q400" s="42"/>
      <c r="R400" s="42"/>
      <c r="S400" s="42"/>
      <c r="T400" s="42"/>
      <c r="U400" s="42"/>
      <c r="V400" s="42"/>
      <c r="W400" s="42"/>
      <c r="X400" s="41" t="s">
        <v>24</v>
      </c>
      <c r="Y400" s="42"/>
      <c r="Z400" s="42"/>
      <c r="AA400" s="42"/>
      <c r="AB400" s="42"/>
      <c r="AC400" s="42"/>
      <c r="AD400" s="42"/>
      <c r="AE400" s="42"/>
      <c r="AF400" s="42"/>
      <c r="AG400" s="42"/>
      <c r="AH400" s="42"/>
      <c r="AI400" s="42">
        <f t="shared" si="3"/>
        <v>3</v>
      </c>
      <c r="AJ400" s="42"/>
      <c r="AK400" s="42"/>
    </row>
    <row r="401">
      <c r="A401" s="41" t="s">
        <v>1047</v>
      </c>
      <c r="B401" s="41" t="s">
        <v>625</v>
      </c>
      <c r="C401" s="41" t="s">
        <v>653</v>
      </c>
      <c r="D401" s="41" t="s">
        <v>526</v>
      </c>
      <c r="E401" s="41" t="s">
        <v>595</v>
      </c>
      <c r="F401" s="42"/>
      <c r="G401" s="42"/>
      <c r="H401" s="42"/>
      <c r="I401" s="41" t="s">
        <v>1048</v>
      </c>
      <c r="J401" s="41">
        <v>1200.0</v>
      </c>
      <c r="K401" s="43" t="str">
        <f t="shared" si="1"/>
        <v>Requires Attunement, Effect, Bonus Damage, Generic Variant, Resistance, Ranged Weapons, 3</v>
      </c>
      <c r="L401" s="43" t="str">
        <f t="shared" si="2"/>
        <v>Requires Attunement</v>
      </c>
      <c r="M401" s="41" t="s">
        <v>33</v>
      </c>
      <c r="N401" s="42"/>
      <c r="O401" s="42"/>
      <c r="P401" s="42"/>
      <c r="Q401" s="42"/>
      <c r="R401" s="46" t="s">
        <v>44</v>
      </c>
      <c r="S401" s="44" t="s">
        <v>526</v>
      </c>
      <c r="T401" s="44"/>
      <c r="U401" s="42"/>
      <c r="V401" s="42"/>
      <c r="W401" s="41" t="s">
        <v>101</v>
      </c>
      <c r="X401" s="42"/>
      <c r="Y401" s="42"/>
      <c r="Z401" s="42"/>
      <c r="AA401" s="42"/>
      <c r="AB401" s="42"/>
      <c r="AC401" s="42"/>
      <c r="AD401" s="42"/>
      <c r="AE401" s="44" t="s">
        <v>106</v>
      </c>
      <c r="AF401" s="42"/>
      <c r="AG401" s="42"/>
      <c r="AH401" s="42"/>
      <c r="AI401" s="42">
        <f t="shared" si="3"/>
        <v>3</v>
      </c>
      <c r="AJ401" s="42"/>
      <c r="AK401" s="42"/>
    </row>
    <row r="402">
      <c r="A402" s="41" t="s">
        <v>1049</v>
      </c>
      <c r="B402" s="41" t="s">
        <v>525</v>
      </c>
      <c r="C402" s="41" t="s">
        <v>653</v>
      </c>
      <c r="D402" s="41" t="s">
        <v>522</v>
      </c>
      <c r="E402" s="42"/>
      <c r="F402" s="42"/>
      <c r="G402" s="42"/>
      <c r="H402" s="42"/>
      <c r="I402" s="41" t="s">
        <v>1050</v>
      </c>
      <c r="J402" s="41">
        <v>1200.0</v>
      </c>
      <c r="K402" s="43" t="str">
        <f t="shared" si="1"/>
        <v>No Attunement Required, Utility Gear, Rings, Resistance, 3</v>
      </c>
      <c r="L402" s="43" t="str">
        <f t="shared" si="2"/>
        <v>No Attunement Required</v>
      </c>
      <c r="M402" s="44"/>
      <c r="N402" s="44" t="s">
        <v>47</v>
      </c>
      <c r="O402" s="42"/>
      <c r="P402" s="42"/>
      <c r="Q402" s="42"/>
      <c r="S402" s="46" t="s">
        <v>36</v>
      </c>
      <c r="T402" s="42"/>
      <c r="U402" s="42"/>
      <c r="V402" s="42"/>
      <c r="W402" s="41" t="s">
        <v>101</v>
      </c>
      <c r="X402" s="42"/>
      <c r="Y402" s="42"/>
      <c r="Z402" s="42"/>
      <c r="AA402" s="42"/>
      <c r="AB402" s="42"/>
      <c r="AC402" s="42"/>
      <c r="AD402" s="42"/>
      <c r="AE402" s="42"/>
      <c r="AF402" s="42"/>
      <c r="AG402" s="42"/>
      <c r="AH402" s="42"/>
      <c r="AI402" s="42">
        <f t="shared" si="3"/>
        <v>3</v>
      </c>
      <c r="AJ402" s="42"/>
      <c r="AK402" s="42"/>
    </row>
    <row r="403">
      <c r="A403" s="41" t="s">
        <v>1051</v>
      </c>
      <c r="B403" s="41" t="s">
        <v>1052</v>
      </c>
      <c r="C403" s="41" t="s">
        <v>653</v>
      </c>
      <c r="D403" s="41" t="s">
        <v>304</v>
      </c>
      <c r="E403" s="42"/>
      <c r="F403" s="41" t="s">
        <v>305</v>
      </c>
      <c r="G403" s="41" t="s">
        <v>1053</v>
      </c>
      <c r="H403" s="42"/>
      <c r="I403" s="41" t="s">
        <v>1054</v>
      </c>
      <c r="J403" s="41">
        <v>1200.0</v>
      </c>
      <c r="K403" s="43" t="str">
        <f t="shared" si="1"/>
        <v>No Attunement Required, Effect, Martial Weapon, Bonus Damage, Melee Weapons, 3</v>
      </c>
      <c r="L403" s="43" t="str">
        <f t="shared" si="2"/>
        <v>No Attunement Required</v>
      </c>
      <c r="M403" s="41" t="s">
        <v>33</v>
      </c>
      <c r="N403" s="42"/>
      <c r="O403" s="42"/>
      <c r="P403" s="44" t="s">
        <v>309</v>
      </c>
      <c r="Q403" s="44"/>
      <c r="R403" s="44" t="s">
        <v>44</v>
      </c>
      <c r="S403" s="42"/>
      <c r="T403" s="42"/>
      <c r="U403" s="42"/>
      <c r="V403" s="42"/>
      <c r="W403" s="42"/>
      <c r="X403" s="42"/>
      <c r="Y403" s="42"/>
      <c r="Z403" s="42"/>
      <c r="AA403" s="42"/>
      <c r="AB403" s="42"/>
      <c r="AC403" s="42"/>
      <c r="AD403" s="42"/>
      <c r="AE403" s="42"/>
      <c r="AF403" s="41" t="s">
        <v>107</v>
      </c>
      <c r="AG403" s="42"/>
      <c r="AH403" s="42"/>
      <c r="AI403" s="42">
        <f t="shared" si="3"/>
        <v>3</v>
      </c>
      <c r="AJ403" s="42"/>
      <c r="AK403" s="42"/>
    </row>
    <row r="404">
      <c r="A404" s="41" t="s">
        <v>1055</v>
      </c>
      <c r="B404" s="41" t="s">
        <v>609</v>
      </c>
      <c r="C404" s="41" t="s">
        <v>653</v>
      </c>
      <c r="D404" s="41" t="s">
        <v>681</v>
      </c>
      <c r="E404" s="41" t="s">
        <v>617</v>
      </c>
      <c r="F404" s="42"/>
      <c r="G404" s="42"/>
      <c r="H404" s="42"/>
      <c r="I404" s="41" t="s">
        <v>1056</v>
      </c>
      <c r="J404" s="41">
        <v>1200.0</v>
      </c>
      <c r="K404" s="43" t="str">
        <f t="shared" si="1"/>
        <v>Requires Attunement, Effect, Spellcaster, Grants Advantage, Spellcasting Focus, 3</v>
      </c>
      <c r="L404" s="43" t="str">
        <f t="shared" si="2"/>
        <v>Requires Attunement</v>
      </c>
      <c r="M404" s="41" t="s">
        <v>33</v>
      </c>
      <c r="N404" s="41" t="s">
        <v>619</v>
      </c>
      <c r="O404" s="42"/>
      <c r="P404" s="42"/>
      <c r="Q404" s="42"/>
      <c r="R404" s="42"/>
      <c r="S404" s="41"/>
      <c r="T404" s="41"/>
      <c r="U404" s="44" t="s">
        <v>42</v>
      </c>
      <c r="V404" s="42"/>
      <c r="W404" s="42"/>
      <c r="X404" s="41" t="s">
        <v>24</v>
      </c>
      <c r="Y404" s="42"/>
      <c r="Z404" s="42"/>
      <c r="AA404" s="42"/>
      <c r="AB404" s="42"/>
      <c r="AC404" s="42"/>
      <c r="AD404" s="42"/>
      <c r="AE404" s="42"/>
      <c r="AF404" s="42"/>
      <c r="AG404" s="42"/>
      <c r="AH404" s="42"/>
      <c r="AI404" s="42">
        <f t="shared" si="3"/>
        <v>3</v>
      </c>
      <c r="AJ404" s="42"/>
      <c r="AK404" s="42"/>
    </row>
    <row r="405">
      <c r="A405" s="41" t="s">
        <v>1057</v>
      </c>
      <c r="B405" s="41" t="s">
        <v>525</v>
      </c>
      <c r="C405" s="41" t="s">
        <v>653</v>
      </c>
      <c r="D405" s="41" t="s">
        <v>725</v>
      </c>
      <c r="E405" s="41" t="s">
        <v>595</v>
      </c>
      <c r="F405" s="42"/>
      <c r="G405" s="42"/>
      <c r="H405" s="42"/>
      <c r="I405" s="41" t="s">
        <v>1058</v>
      </c>
      <c r="J405" s="41">
        <v>1200.0</v>
      </c>
      <c r="K405" s="43" t="str">
        <f t="shared" si="1"/>
        <v>Requires Attunement, Rod, 3</v>
      </c>
      <c r="L405" s="43" t="str">
        <f t="shared" si="2"/>
        <v>Requires Attunement</v>
      </c>
      <c r="M405" s="42"/>
      <c r="N405" s="42"/>
      <c r="O405" s="42"/>
      <c r="P405" s="42"/>
      <c r="Q405" s="42"/>
      <c r="R405" s="41"/>
      <c r="S405" s="44" t="s">
        <v>725</v>
      </c>
      <c r="T405" s="44"/>
      <c r="U405" s="42"/>
      <c r="V405" s="42"/>
      <c r="W405" s="42"/>
      <c r="X405" s="42"/>
      <c r="Y405" s="42"/>
      <c r="Z405" s="42"/>
      <c r="AA405" s="42"/>
      <c r="AB405" s="42"/>
      <c r="AC405" s="42"/>
      <c r="AD405" s="42"/>
      <c r="AE405" s="42"/>
      <c r="AF405" s="42"/>
      <c r="AG405" s="42"/>
      <c r="AH405" s="42"/>
      <c r="AI405" s="42">
        <f t="shared" si="3"/>
        <v>3</v>
      </c>
      <c r="AJ405" s="42"/>
      <c r="AK405" s="42"/>
    </row>
    <row r="406">
      <c r="A406" s="41" t="s">
        <v>1059</v>
      </c>
      <c r="B406" s="41" t="s">
        <v>525</v>
      </c>
      <c r="C406" s="41" t="s">
        <v>842</v>
      </c>
      <c r="D406" s="41" t="s">
        <v>526</v>
      </c>
      <c r="E406" s="41" t="s">
        <v>595</v>
      </c>
      <c r="F406" s="42"/>
      <c r="G406" s="42"/>
      <c r="H406" s="42"/>
      <c r="I406" s="47" t="s">
        <v>1060</v>
      </c>
      <c r="J406" s="41">
        <v>1200.0</v>
      </c>
      <c r="K406" s="43" t="str">
        <f t="shared" si="1"/>
        <v>Requires Attunement, Effect, Generic Variant, Melee Weapons, 4</v>
      </c>
      <c r="L406" s="43" t="str">
        <f t="shared" si="2"/>
        <v>Requires Attunement</v>
      </c>
      <c r="M406" s="41" t="s">
        <v>33</v>
      </c>
      <c r="N406" s="42"/>
      <c r="O406" s="42"/>
      <c r="P406" s="41"/>
      <c r="Q406" s="41"/>
      <c r="R406" s="42"/>
      <c r="S406" s="44" t="s">
        <v>526</v>
      </c>
      <c r="T406" s="44"/>
      <c r="U406" s="42"/>
      <c r="V406" s="42"/>
      <c r="W406" s="42"/>
      <c r="X406" s="42"/>
      <c r="Y406" s="42"/>
      <c r="Z406" s="42"/>
      <c r="AA406" s="42"/>
      <c r="AB406" s="42"/>
      <c r="AC406" s="42"/>
      <c r="AD406" s="42"/>
      <c r="AE406" s="42"/>
      <c r="AF406" s="44" t="s">
        <v>107</v>
      </c>
      <c r="AG406" s="42"/>
      <c r="AH406" s="42"/>
      <c r="AI406" s="42">
        <f t="shared" si="3"/>
        <v>4</v>
      </c>
      <c r="AJ406" s="42"/>
      <c r="AK406" s="42"/>
    </row>
    <row r="407">
      <c r="A407" s="41" t="s">
        <v>1061</v>
      </c>
      <c r="B407" s="41" t="s">
        <v>841</v>
      </c>
      <c r="C407" s="41" t="s">
        <v>842</v>
      </c>
      <c r="D407" s="41" t="s">
        <v>529</v>
      </c>
      <c r="E407" s="41" t="s">
        <v>595</v>
      </c>
      <c r="F407" s="42"/>
      <c r="G407" s="42"/>
      <c r="H407" s="42"/>
      <c r="I407" s="41" t="s">
        <v>1062</v>
      </c>
      <c r="J407" s="41">
        <v>1200.0</v>
      </c>
      <c r="K407" s="43" t="str">
        <f t="shared" si="1"/>
        <v>Requires Attunement, Flying, Resistance, 4</v>
      </c>
      <c r="L407" s="43" t="str">
        <f t="shared" si="2"/>
        <v>Requires Attunement</v>
      </c>
      <c r="M407" s="42"/>
      <c r="N407" s="42"/>
      <c r="O407" s="42"/>
      <c r="P407" s="42"/>
      <c r="Q407" s="42"/>
      <c r="S407" s="42"/>
      <c r="T407" s="42"/>
      <c r="U407" s="42"/>
      <c r="V407" s="41" t="s">
        <v>49</v>
      </c>
      <c r="W407" s="41" t="s">
        <v>101</v>
      </c>
      <c r="X407" s="42"/>
      <c r="Y407" s="42"/>
      <c r="Z407" s="42"/>
      <c r="AA407" s="42"/>
      <c r="AB407" s="42"/>
      <c r="AC407" s="42"/>
      <c r="AD407" s="42"/>
      <c r="AE407" s="42"/>
      <c r="AF407" s="42"/>
      <c r="AG407" s="42"/>
      <c r="AH407" s="42"/>
      <c r="AI407" s="42">
        <f t="shared" si="3"/>
        <v>4</v>
      </c>
      <c r="AJ407" s="42"/>
      <c r="AK407" s="42"/>
    </row>
    <row r="408">
      <c r="A408" s="41" t="s">
        <v>1063</v>
      </c>
      <c r="B408" s="41" t="s">
        <v>1064</v>
      </c>
      <c r="C408" s="41" t="s">
        <v>653</v>
      </c>
      <c r="D408" s="41" t="s">
        <v>526</v>
      </c>
      <c r="E408" s="41" t="s">
        <v>595</v>
      </c>
      <c r="F408" s="42"/>
      <c r="G408" s="42"/>
      <c r="H408" s="42"/>
      <c r="I408" s="41" t="s">
        <v>1065</v>
      </c>
      <c r="J408" s="41">
        <v>1350.0</v>
      </c>
      <c r="K408" s="43" t="str">
        <f t="shared" si="1"/>
        <v>Requires Attunement, Effect, Generic Variant, Resistance, Armors, 3</v>
      </c>
      <c r="L408" s="43" t="str">
        <f t="shared" si="2"/>
        <v>Requires Attunement</v>
      </c>
      <c r="M408" s="41" t="s">
        <v>33</v>
      </c>
      <c r="N408" s="42"/>
      <c r="O408" s="42"/>
      <c r="P408" s="42"/>
      <c r="Q408" s="42"/>
      <c r="S408" s="41" t="s">
        <v>526</v>
      </c>
      <c r="T408" s="41"/>
      <c r="U408" s="42"/>
      <c r="V408" s="42"/>
      <c r="W408" s="41" t="s">
        <v>101</v>
      </c>
      <c r="X408" s="42"/>
      <c r="Y408" s="42"/>
      <c r="Z408" s="42"/>
      <c r="AA408" s="42"/>
      <c r="AB408" s="42"/>
      <c r="AC408" s="42"/>
      <c r="AD408" s="42"/>
      <c r="AE408" s="42"/>
      <c r="AF408" s="42"/>
      <c r="AG408" s="44" t="s">
        <v>108</v>
      </c>
      <c r="AH408" s="42"/>
      <c r="AI408" s="42">
        <f t="shared" si="3"/>
        <v>3</v>
      </c>
      <c r="AJ408" s="42"/>
      <c r="AK408" s="42"/>
    </row>
    <row r="409">
      <c r="A409" s="41" t="s">
        <v>1066</v>
      </c>
      <c r="B409" s="41" t="s">
        <v>625</v>
      </c>
      <c r="C409" s="41" t="s">
        <v>842</v>
      </c>
      <c r="D409" s="41" t="s">
        <v>526</v>
      </c>
      <c r="E409" s="41" t="s">
        <v>595</v>
      </c>
      <c r="F409" s="42"/>
      <c r="G409" s="42"/>
      <c r="H409" s="42"/>
      <c r="I409" s="47" t="s">
        <v>1067</v>
      </c>
      <c r="J409" s="41">
        <v>1350.0</v>
      </c>
      <c r="K409" s="43" t="str">
        <f t="shared" si="1"/>
        <v>Requires Attunement, Effect, Generic Variant, Armors, 4</v>
      </c>
      <c r="L409" s="43" t="str">
        <f t="shared" si="2"/>
        <v>Requires Attunement</v>
      </c>
      <c r="M409" s="41" t="s">
        <v>33</v>
      </c>
      <c r="N409" s="42"/>
      <c r="O409" s="42"/>
      <c r="P409" s="42"/>
      <c r="Q409" s="42"/>
      <c r="R409" s="42"/>
      <c r="S409" s="44" t="s">
        <v>526</v>
      </c>
      <c r="T409" s="44"/>
      <c r="U409" s="42"/>
      <c r="V409" s="42"/>
      <c r="W409" s="42"/>
      <c r="X409" s="42"/>
      <c r="Y409" s="42"/>
      <c r="Z409" s="42"/>
      <c r="AA409" s="42"/>
      <c r="AB409" s="42"/>
      <c r="AC409" s="42"/>
      <c r="AD409" s="42"/>
      <c r="AE409" s="42"/>
      <c r="AF409" s="42"/>
      <c r="AG409" s="44" t="s">
        <v>108</v>
      </c>
      <c r="AH409" s="42"/>
      <c r="AI409" s="42">
        <f t="shared" si="3"/>
        <v>4</v>
      </c>
      <c r="AJ409" s="42"/>
      <c r="AK409" s="42"/>
    </row>
    <row r="410">
      <c r="A410" s="41" t="s">
        <v>1068</v>
      </c>
      <c r="B410" s="41" t="s">
        <v>738</v>
      </c>
      <c r="C410" s="41" t="s">
        <v>842</v>
      </c>
      <c r="D410" s="41" t="s">
        <v>331</v>
      </c>
      <c r="E410" s="41" t="s">
        <v>595</v>
      </c>
      <c r="F410" s="41" t="s">
        <v>443</v>
      </c>
      <c r="G410" s="41" t="s">
        <v>1069</v>
      </c>
      <c r="H410" s="42"/>
      <c r="I410" s="41" t="s">
        <v>1070</v>
      </c>
      <c r="J410" s="41">
        <v>1350.0</v>
      </c>
      <c r="K410" s="43" t="str">
        <f t="shared" si="1"/>
        <v>Requires Attunement, Effect, Simple Weapon, Bonus Damage, Melee Weapons, 4</v>
      </c>
      <c r="L410" s="43" t="str">
        <f t="shared" si="2"/>
        <v>Requires Attunement</v>
      </c>
      <c r="M410" s="41" t="s">
        <v>33</v>
      </c>
      <c r="N410" s="42"/>
      <c r="O410" s="42"/>
      <c r="P410" s="44" t="s">
        <v>336</v>
      </c>
      <c r="Q410" s="44"/>
      <c r="R410" s="44" t="s">
        <v>44</v>
      </c>
      <c r="S410" s="41"/>
      <c r="T410" s="41"/>
      <c r="U410" s="42"/>
      <c r="V410" s="42"/>
      <c r="W410" s="42"/>
      <c r="X410" s="42"/>
      <c r="Y410" s="42"/>
      <c r="Z410" s="42"/>
      <c r="AA410" s="42"/>
      <c r="AB410" s="42"/>
      <c r="AC410" s="42"/>
      <c r="AD410" s="42"/>
      <c r="AE410" s="42"/>
      <c r="AF410" s="41" t="s">
        <v>107</v>
      </c>
      <c r="AG410" s="42"/>
      <c r="AH410" s="42"/>
      <c r="AI410" s="42">
        <f t="shared" si="3"/>
        <v>4</v>
      </c>
      <c r="AJ410" s="42"/>
      <c r="AK410" s="42"/>
    </row>
    <row r="411">
      <c r="A411" s="41" t="s">
        <v>1071</v>
      </c>
      <c r="B411" s="41" t="s">
        <v>525</v>
      </c>
      <c r="C411" s="41" t="s">
        <v>842</v>
      </c>
      <c r="D411" s="41" t="s">
        <v>526</v>
      </c>
      <c r="E411" s="41" t="s">
        <v>595</v>
      </c>
      <c r="F411" s="42"/>
      <c r="G411" s="42"/>
      <c r="H411" s="42"/>
      <c r="I411" s="41" t="s">
        <v>1072</v>
      </c>
      <c r="J411" s="41">
        <v>1350.0</v>
      </c>
      <c r="K411" s="43" t="str">
        <f t="shared" si="1"/>
        <v>Requires Attunement, Effect, Generic Variant, Ranged Weapons, 4</v>
      </c>
      <c r="L411" s="43" t="str">
        <f t="shared" si="2"/>
        <v>Requires Attunement</v>
      </c>
      <c r="M411" s="41" t="s">
        <v>33</v>
      </c>
      <c r="N411" s="42"/>
      <c r="O411" s="42"/>
      <c r="P411" s="42"/>
      <c r="Q411" s="42"/>
      <c r="R411" s="42"/>
      <c r="S411" s="44" t="s">
        <v>526</v>
      </c>
      <c r="T411" s="44"/>
      <c r="U411" s="42"/>
      <c r="V411" s="42"/>
      <c r="W411" s="42"/>
      <c r="X411" s="42"/>
      <c r="Y411" s="42"/>
      <c r="Z411" s="42"/>
      <c r="AA411" s="42"/>
      <c r="AB411" s="42"/>
      <c r="AC411" s="42"/>
      <c r="AD411" s="42"/>
      <c r="AE411" s="44" t="s">
        <v>106</v>
      </c>
      <c r="AF411" s="42"/>
      <c r="AG411" s="42"/>
      <c r="AH411" s="42"/>
      <c r="AI411" s="42">
        <f t="shared" si="3"/>
        <v>4</v>
      </c>
      <c r="AJ411" s="42"/>
      <c r="AK411" s="42"/>
    </row>
    <row r="412">
      <c r="A412" s="41" t="s">
        <v>1073</v>
      </c>
      <c r="B412" s="41" t="s">
        <v>525</v>
      </c>
      <c r="C412" s="41" t="s">
        <v>653</v>
      </c>
      <c r="D412" s="41" t="s">
        <v>529</v>
      </c>
      <c r="E412" s="41" t="s">
        <v>595</v>
      </c>
      <c r="F412" s="42"/>
      <c r="G412" s="42"/>
      <c r="H412" s="42"/>
      <c r="I412" s="41" t="s">
        <v>1074</v>
      </c>
      <c r="J412" s="41">
        <v>1400.0</v>
      </c>
      <c r="K412" s="43" t="str">
        <f t="shared" si="1"/>
        <v>Requires Attunement, Utility Gear, Grants Advantage, 3</v>
      </c>
      <c r="L412" s="43" t="str">
        <f t="shared" si="2"/>
        <v>Requires Attunement</v>
      </c>
      <c r="M412" s="44"/>
      <c r="N412" s="44" t="s">
        <v>47</v>
      </c>
      <c r="O412" s="42"/>
      <c r="P412" s="42"/>
      <c r="Q412" s="42"/>
      <c r="S412" s="42"/>
      <c r="T412" s="42"/>
      <c r="U412" s="44" t="s">
        <v>42</v>
      </c>
      <c r="V412" s="42"/>
      <c r="W412" s="42"/>
      <c r="X412" s="42"/>
      <c r="Y412" s="42"/>
      <c r="Z412" s="42"/>
      <c r="AA412" s="42"/>
      <c r="AB412" s="42"/>
      <c r="AC412" s="42"/>
      <c r="AD412" s="42"/>
      <c r="AE412" s="42"/>
      <c r="AF412" s="42"/>
      <c r="AG412" s="42"/>
      <c r="AH412" s="42"/>
      <c r="AI412" s="42">
        <f t="shared" si="3"/>
        <v>3</v>
      </c>
      <c r="AJ412" s="42"/>
      <c r="AK412" s="42"/>
    </row>
    <row r="413">
      <c r="A413" s="41" t="s">
        <v>1075</v>
      </c>
      <c r="B413" s="41" t="s">
        <v>680</v>
      </c>
      <c r="C413" s="41" t="s">
        <v>653</v>
      </c>
      <c r="D413" s="41" t="s">
        <v>681</v>
      </c>
      <c r="E413" s="41" t="s">
        <v>800</v>
      </c>
      <c r="F413" s="42"/>
      <c r="G413" s="42"/>
      <c r="H413" s="42"/>
      <c r="I413" s="41" t="s">
        <v>1076</v>
      </c>
      <c r="J413" s="41">
        <v>1400.0</v>
      </c>
      <c r="K413" s="43" t="str">
        <f t="shared" si="1"/>
        <v>Requires Attunement, Effect, Sorcerer, Imposes Disadvantage, Spellcasting Focus, 3</v>
      </c>
      <c r="L413" s="43" t="str">
        <f t="shared" si="2"/>
        <v>Requires Attunement</v>
      </c>
      <c r="M413" s="41" t="s">
        <v>33</v>
      </c>
      <c r="N413" s="41" t="s">
        <v>74</v>
      </c>
      <c r="O413" s="42"/>
      <c r="P413" s="42"/>
      <c r="Q413" s="42"/>
      <c r="R413" s="42"/>
      <c r="S413" s="41"/>
      <c r="T413" s="41"/>
      <c r="U413" s="44" t="s">
        <v>43</v>
      </c>
      <c r="V413" s="42"/>
      <c r="W413" s="42"/>
      <c r="X413" s="41" t="s">
        <v>24</v>
      </c>
      <c r="Y413" s="42"/>
      <c r="Z413" s="42"/>
      <c r="AA413" s="42"/>
      <c r="AB413" s="42"/>
      <c r="AC413" s="42"/>
      <c r="AD413" s="42"/>
      <c r="AE413" s="42"/>
      <c r="AF413" s="42"/>
      <c r="AG413" s="42"/>
      <c r="AH413" s="42"/>
      <c r="AI413" s="42">
        <f t="shared" si="3"/>
        <v>3</v>
      </c>
      <c r="AJ413" s="42"/>
      <c r="AK413" s="42"/>
    </row>
    <row r="414">
      <c r="A414" s="41" t="s">
        <v>1077</v>
      </c>
      <c r="B414" s="41" t="s">
        <v>625</v>
      </c>
      <c r="C414" s="41" t="s">
        <v>653</v>
      </c>
      <c r="D414" s="41" t="s">
        <v>331</v>
      </c>
      <c r="E414" s="41" t="s">
        <v>1078</v>
      </c>
      <c r="F414" s="41" t="s">
        <v>443</v>
      </c>
      <c r="G414" s="41" t="s">
        <v>1069</v>
      </c>
      <c r="H414" s="42"/>
      <c r="I414" s="41" t="s">
        <v>1079</v>
      </c>
      <c r="J414" s="41">
        <v>1400.0</v>
      </c>
      <c r="K414" s="43" t="str">
        <f t="shared" si="1"/>
        <v>Requires Attunement, Effect, Cleric, Druid, Wizard, Simple Weapon, Bonus Damage, Spellcasting Focus, Melee Weapons, 3</v>
      </c>
      <c r="L414" s="43" t="str">
        <f t="shared" si="2"/>
        <v>Requires Attunement</v>
      </c>
      <c r="M414" s="41" t="s">
        <v>33</v>
      </c>
      <c r="N414" s="41" t="s">
        <v>1080</v>
      </c>
      <c r="O414" s="42"/>
      <c r="P414" s="44" t="s">
        <v>336</v>
      </c>
      <c r="Q414" s="44"/>
      <c r="R414" s="44" t="s">
        <v>44</v>
      </c>
      <c r="S414" s="42"/>
      <c r="T414" s="42"/>
      <c r="U414" s="42"/>
      <c r="V414" s="42"/>
      <c r="W414" s="42"/>
      <c r="X414" s="41" t="s">
        <v>24</v>
      </c>
      <c r="Y414" s="42"/>
      <c r="Z414" s="42"/>
      <c r="AA414" s="42"/>
      <c r="AB414" s="42"/>
      <c r="AC414" s="42"/>
      <c r="AD414" s="42"/>
      <c r="AE414" s="42"/>
      <c r="AF414" s="41" t="s">
        <v>107</v>
      </c>
      <c r="AG414" s="42"/>
      <c r="AH414" s="42"/>
      <c r="AI414" s="42">
        <f t="shared" si="3"/>
        <v>3</v>
      </c>
      <c r="AJ414" s="42"/>
      <c r="AK414" s="42"/>
    </row>
    <row r="415">
      <c r="A415" s="41" t="s">
        <v>1081</v>
      </c>
      <c r="B415" s="41" t="s">
        <v>628</v>
      </c>
      <c r="C415" s="41" t="s">
        <v>842</v>
      </c>
      <c r="D415" s="41" t="s">
        <v>529</v>
      </c>
      <c r="E415" s="41" t="s">
        <v>595</v>
      </c>
      <c r="F415" s="42"/>
      <c r="G415" s="42"/>
      <c r="H415" s="42"/>
      <c r="I415" s="41" t="s">
        <v>1082</v>
      </c>
      <c r="J415" s="41">
        <v>1400.0</v>
      </c>
      <c r="K415" s="43" t="str">
        <f t="shared" si="1"/>
        <v>Requires Attunement, Utility Gear, Grants Advantage, Resistance, 4</v>
      </c>
      <c r="L415" s="43" t="str">
        <f t="shared" si="2"/>
        <v>Requires Attunement</v>
      </c>
      <c r="M415" s="44"/>
      <c r="N415" s="44" t="s">
        <v>47</v>
      </c>
      <c r="O415" s="42"/>
      <c r="P415" s="42"/>
      <c r="Q415" s="42"/>
      <c r="S415" s="42"/>
      <c r="T415" s="42"/>
      <c r="U415" s="44" t="s">
        <v>42</v>
      </c>
      <c r="V415" s="42"/>
      <c r="W415" s="41" t="s">
        <v>101</v>
      </c>
      <c r="X415" s="42"/>
      <c r="Y415" s="42"/>
      <c r="Z415" s="42"/>
      <c r="AA415" s="42"/>
      <c r="AB415" s="42"/>
      <c r="AC415" s="42"/>
      <c r="AD415" s="42"/>
      <c r="AE415" s="42"/>
      <c r="AF415" s="42"/>
      <c r="AG415" s="42"/>
      <c r="AH415" s="42"/>
      <c r="AI415" s="42">
        <f t="shared" si="3"/>
        <v>4</v>
      </c>
      <c r="AJ415" s="42"/>
      <c r="AK415" s="42"/>
    </row>
    <row r="416">
      <c r="A416" s="41" t="s">
        <v>1083</v>
      </c>
      <c r="B416" s="41" t="s">
        <v>1052</v>
      </c>
      <c r="C416" s="41" t="s">
        <v>842</v>
      </c>
      <c r="D416" s="41" t="s">
        <v>331</v>
      </c>
      <c r="E416" s="41" t="s">
        <v>595</v>
      </c>
      <c r="F416" s="41" t="s">
        <v>443</v>
      </c>
      <c r="G416" s="41" t="s">
        <v>1069</v>
      </c>
      <c r="H416" s="42"/>
      <c r="I416" s="41" t="s">
        <v>1084</v>
      </c>
      <c r="J416" s="41">
        <v>1400.0</v>
      </c>
      <c r="K416" s="43" t="str">
        <f t="shared" si="1"/>
        <v>Requires Attunement, Effect, Simple Weapon, Melee Weapons, 4</v>
      </c>
      <c r="L416" s="43" t="str">
        <f t="shared" si="2"/>
        <v>Requires Attunement</v>
      </c>
      <c r="M416" s="41" t="s">
        <v>33</v>
      </c>
      <c r="N416" s="42"/>
      <c r="O416" s="42"/>
      <c r="P416" s="44" t="s">
        <v>336</v>
      </c>
      <c r="Q416" s="44"/>
      <c r="R416" s="41"/>
      <c r="S416" s="42"/>
      <c r="T416" s="42"/>
      <c r="U416" s="42"/>
      <c r="V416" s="42"/>
      <c r="W416" s="42"/>
      <c r="X416" s="42"/>
      <c r="Y416" s="42"/>
      <c r="Z416" s="42"/>
      <c r="AA416" s="42"/>
      <c r="AB416" s="42"/>
      <c r="AC416" s="42"/>
      <c r="AD416" s="42"/>
      <c r="AE416" s="42"/>
      <c r="AF416" s="41" t="s">
        <v>107</v>
      </c>
      <c r="AG416" s="42"/>
      <c r="AH416" s="42"/>
      <c r="AI416" s="42">
        <f t="shared" si="3"/>
        <v>4</v>
      </c>
      <c r="AJ416" s="42"/>
      <c r="AK416" s="42"/>
    </row>
    <row r="417">
      <c r="A417" s="41" t="s">
        <v>1085</v>
      </c>
      <c r="B417" s="41" t="s">
        <v>525</v>
      </c>
      <c r="C417" s="41" t="s">
        <v>600</v>
      </c>
      <c r="D417" s="41" t="s">
        <v>529</v>
      </c>
      <c r="E417" s="42"/>
      <c r="F417" s="42"/>
      <c r="G417" s="42"/>
      <c r="H417" s="42"/>
      <c r="I417" s="41" t="s">
        <v>1086</v>
      </c>
      <c r="J417" s="41">
        <v>1500.0</v>
      </c>
      <c r="K417" s="43" t="str">
        <f t="shared" si="1"/>
        <v>No Attunement Required, Utility Gear, Utility Weapon, 2</v>
      </c>
      <c r="L417" s="43" t="str">
        <f t="shared" si="2"/>
        <v>No Attunement Required</v>
      </c>
      <c r="M417" s="44"/>
      <c r="N417" s="44" t="s">
        <v>47</v>
      </c>
      <c r="O417" s="42"/>
      <c r="P417" s="44"/>
      <c r="Q417" s="44" t="s">
        <v>54</v>
      </c>
      <c r="S417" s="42"/>
      <c r="T417" s="42"/>
      <c r="U417" s="42"/>
      <c r="V417" s="42"/>
      <c r="W417" s="42"/>
      <c r="X417" s="42"/>
      <c r="Y417" s="42"/>
      <c r="Z417" s="42"/>
      <c r="AA417" s="42"/>
      <c r="AB417" s="42"/>
      <c r="AC417" s="42"/>
      <c r="AD417" s="42"/>
      <c r="AE417" s="42"/>
      <c r="AF417" s="42"/>
      <c r="AG417" s="42"/>
      <c r="AH417" s="42"/>
      <c r="AI417" s="42">
        <f t="shared" si="3"/>
        <v>2</v>
      </c>
      <c r="AJ417" s="42"/>
      <c r="AK417" s="42"/>
    </row>
    <row r="418">
      <c r="A418" s="41" t="s">
        <v>1087</v>
      </c>
      <c r="B418" s="41" t="s">
        <v>525</v>
      </c>
      <c r="C418" s="41" t="s">
        <v>600</v>
      </c>
      <c r="D418" s="41" t="s">
        <v>23</v>
      </c>
      <c r="E418" s="42"/>
      <c r="F418" s="41" t="s">
        <v>477</v>
      </c>
      <c r="G418" s="42"/>
      <c r="H418" s="42"/>
      <c r="I418" s="41" t="s">
        <v>1088</v>
      </c>
      <c r="J418" s="41">
        <v>1500.0</v>
      </c>
      <c r="K418" s="43" t="str">
        <f t="shared" si="1"/>
        <v>No Attunement Required, Effect, Shield, Grants Advantage, Armors, 2</v>
      </c>
      <c r="L418" s="43" t="str">
        <f t="shared" si="2"/>
        <v>No Attunement Required</v>
      </c>
      <c r="M418" s="41" t="s">
        <v>33</v>
      </c>
      <c r="N418" s="42"/>
      <c r="O418" s="46" t="s">
        <v>23</v>
      </c>
      <c r="P418" s="42"/>
      <c r="Q418" s="42"/>
      <c r="R418" s="47"/>
      <c r="S418" s="42"/>
      <c r="T418" s="42"/>
      <c r="U418" s="44" t="s">
        <v>42</v>
      </c>
      <c r="V418" s="42"/>
      <c r="W418" s="42"/>
      <c r="X418" s="42"/>
      <c r="Y418" s="42"/>
      <c r="Z418" s="42"/>
      <c r="AA418" s="42"/>
      <c r="AB418" s="42"/>
      <c r="AC418" s="42"/>
      <c r="AD418" s="42"/>
      <c r="AE418" s="42"/>
      <c r="AF418" s="42"/>
      <c r="AG418" s="44" t="s">
        <v>108</v>
      </c>
      <c r="AH418" s="42"/>
      <c r="AI418" s="42">
        <f t="shared" si="3"/>
        <v>2</v>
      </c>
      <c r="AJ418" s="42"/>
      <c r="AK418" s="42"/>
    </row>
    <row r="419">
      <c r="A419" s="41" t="s">
        <v>1089</v>
      </c>
      <c r="B419" s="41" t="s">
        <v>1052</v>
      </c>
      <c r="C419" s="41" t="s">
        <v>600</v>
      </c>
      <c r="D419" s="41" t="s">
        <v>17</v>
      </c>
      <c r="E419" s="42"/>
      <c r="F419" s="41" t="s">
        <v>1090</v>
      </c>
      <c r="G419" s="42"/>
      <c r="H419" s="42"/>
      <c r="I419" s="41" t="s">
        <v>1091</v>
      </c>
      <c r="J419" s="41">
        <v>1500.0</v>
      </c>
      <c r="K419" s="43" t="str">
        <f t="shared" si="1"/>
        <v>No Attunement Required, Effect, Medium Armor, Armors, 2</v>
      </c>
      <c r="L419" s="43" t="str">
        <f t="shared" si="2"/>
        <v>No Attunement Required</v>
      </c>
      <c r="M419" s="41" t="s">
        <v>33</v>
      </c>
      <c r="N419" s="42"/>
      <c r="O419" s="46" t="s">
        <v>17</v>
      </c>
      <c r="P419" s="42"/>
      <c r="Q419" s="42"/>
      <c r="R419" s="43"/>
      <c r="S419" s="42"/>
      <c r="T419" s="42"/>
      <c r="U419" s="42"/>
      <c r="V419" s="42"/>
      <c r="W419" s="42"/>
      <c r="X419" s="42"/>
      <c r="Y419" s="42"/>
      <c r="Z419" s="42"/>
      <c r="AA419" s="42"/>
      <c r="AB419" s="42"/>
      <c r="AC419" s="42"/>
      <c r="AD419" s="42"/>
      <c r="AE419" s="42"/>
      <c r="AF419" s="42"/>
      <c r="AG419" s="44" t="s">
        <v>108</v>
      </c>
      <c r="AH419" s="42"/>
      <c r="AI419" s="42">
        <f t="shared" si="3"/>
        <v>2</v>
      </c>
      <c r="AJ419" s="42"/>
      <c r="AK419" s="42"/>
    </row>
    <row r="420">
      <c r="A420" s="41" t="s">
        <v>1092</v>
      </c>
      <c r="B420" s="41" t="s">
        <v>525</v>
      </c>
      <c r="C420" s="41" t="s">
        <v>653</v>
      </c>
      <c r="D420" s="41" t="s">
        <v>526</v>
      </c>
      <c r="E420" s="41" t="s">
        <v>595</v>
      </c>
      <c r="F420" s="42"/>
      <c r="G420" s="42"/>
      <c r="H420" s="42"/>
      <c r="I420" s="47" t="s">
        <v>1093</v>
      </c>
      <c r="J420" s="41">
        <v>1500.0</v>
      </c>
      <c r="K420" s="43" t="str">
        <f t="shared" si="1"/>
        <v>Requires Attunement, Effect, Generic Variant, Enspelled, 3</v>
      </c>
      <c r="L420" s="43" t="str">
        <f t="shared" si="2"/>
        <v>Requires Attunement</v>
      </c>
      <c r="M420" s="41" t="s">
        <v>33</v>
      </c>
      <c r="N420" s="42"/>
      <c r="O420" s="42"/>
      <c r="P420" s="42"/>
      <c r="Q420" s="42"/>
      <c r="R420" s="44"/>
      <c r="S420" s="41" t="s">
        <v>526</v>
      </c>
      <c r="T420" s="44" t="s">
        <v>611</v>
      </c>
      <c r="U420" s="42"/>
      <c r="V420" s="42"/>
      <c r="W420" s="42"/>
      <c r="X420" s="42"/>
      <c r="Y420" s="42"/>
      <c r="Z420" s="42"/>
      <c r="AA420" s="42"/>
      <c r="AB420" s="42"/>
      <c r="AC420" s="42"/>
      <c r="AD420" s="42"/>
      <c r="AE420" s="42"/>
      <c r="AF420" s="42"/>
      <c r="AG420" s="42"/>
      <c r="AH420" s="42"/>
      <c r="AI420" s="42">
        <f t="shared" si="3"/>
        <v>3</v>
      </c>
      <c r="AJ420" s="42"/>
      <c r="AK420" s="42"/>
    </row>
    <row r="421">
      <c r="A421" s="41" t="s">
        <v>1094</v>
      </c>
      <c r="B421" s="41" t="s">
        <v>525</v>
      </c>
      <c r="C421" s="41" t="s">
        <v>653</v>
      </c>
      <c r="D421" s="41" t="s">
        <v>331</v>
      </c>
      <c r="E421" s="41" t="s">
        <v>805</v>
      </c>
      <c r="F421" s="41" t="s">
        <v>443</v>
      </c>
      <c r="G421" s="41" t="s">
        <v>468</v>
      </c>
      <c r="H421" s="41" t="s">
        <v>307</v>
      </c>
      <c r="I421" s="41" t="s">
        <v>1095</v>
      </c>
      <c r="J421" s="41">
        <v>1500.0</v>
      </c>
      <c r="K421" s="43" t="str">
        <f t="shared" si="1"/>
        <v>Requires Attunement, Effect, Spellcaster, Simple Weapon, Enspelled, Melee Weapons, 3</v>
      </c>
      <c r="L421" s="43" t="str">
        <f t="shared" si="2"/>
        <v>Requires Attunement</v>
      </c>
      <c r="M421" s="41" t="s">
        <v>33</v>
      </c>
      <c r="N421" s="41" t="s">
        <v>619</v>
      </c>
      <c r="O421" s="42"/>
      <c r="P421" s="41" t="s">
        <v>336</v>
      </c>
      <c r="Q421" s="41"/>
      <c r="R421" s="44"/>
      <c r="S421" s="42"/>
      <c r="T421" s="44" t="s">
        <v>611</v>
      </c>
      <c r="U421" s="42"/>
      <c r="V421" s="42"/>
      <c r="W421" s="42"/>
      <c r="X421" s="42"/>
      <c r="Y421" s="42"/>
      <c r="Z421" s="42"/>
      <c r="AA421" s="42"/>
      <c r="AB421" s="42"/>
      <c r="AC421" s="42"/>
      <c r="AD421" s="42"/>
      <c r="AE421" s="42"/>
      <c r="AF421" s="41" t="s">
        <v>107</v>
      </c>
      <c r="AG421" s="42"/>
      <c r="AH421" s="42"/>
      <c r="AI421" s="42">
        <f t="shared" si="3"/>
        <v>3</v>
      </c>
      <c r="AJ421" s="42"/>
      <c r="AK421" s="42"/>
    </row>
    <row r="422">
      <c r="A422" s="41" t="s">
        <v>1096</v>
      </c>
      <c r="B422" s="41" t="s">
        <v>525</v>
      </c>
      <c r="C422" s="41" t="s">
        <v>653</v>
      </c>
      <c r="D422" s="41" t="s">
        <v>526</v>
      </c>
      <c r="E422" s="41" t="s">
        <v>595</v>
      </c>
      <c r="F422" s="42"/>
      <c r="G422" s="42"/>
      <c r="H422" s="42"/>
      <c r="I422" s="47" t="s">
        <v>1097</v>
      </c>
      <c r="J422" s="41">
        <v>1500.0</v>
      </c>
      <c r="K422" s="43" t="str">
        <f t="shared" si="1"/>
        <v>Requires Attunement, Effect, Generic Variant, Enspelled, 3</v>
      </c>
      <c r="L422" s="43" t="str">
        <f t="shared" si="2"/>
        <v>Requires Attunement</v>
      </c>
      <c r="M422" s="41" t="s">
        <v>33</v>
      </c>
      <c r="N422" s="42"/>
      <c r="O422" s="42"/>
      <c r="P422" s="42"/>
      <c r="Q422" s="42"/>
      <c r="R422" s="44"/>
      <c r="S422" s="41" t="s">
        <v>526</v>
      </c>
      <c r="T422" s="44" t="s">
        <v>611</v>
      </c>
      <c r="U422" s="42"/>
      <c r="V422" s="42"/>
      <c r="W422" s="42"/>
      <c r="X422" s="42"/>
      <c r="Y422" s="42"/>
      <c r="Z422" s="42"/>
      <c r="AA422" s="42"/>
      <c r="AB422" s="42"/>
      <c r="AC422" s="42"/>
      <c r="AD422" s="42"/>
      <c r="AE422" s="42"/>
      <c r="AF422" s="42"/>
      <c r="AG422" s="42"/>
      <c r="AH422" s="42"/>
      <c r="AI422" s="42">
        <f t="shared" si="3"/>
        <v>3</v>
      </c>
      <c r="AJ422" s="42"/>
      <c r="AK422" s="42"/>
    </row>
    <row r="423">
      <c r="A423" s="41" t="s">
        <v>1098</v>
      </c>
      <c r="B423" s="41" t="s">
        <v>609</v>
      </c>
      <c r="C423" s="41" t="s">
        <v>653</v>
      </c>
      <c r="D423" s="41" t="s">
        <v>529</v>
      </c>
      <c r="E423" s="41" t="s">
        <v>595</v>
      </c>
      <c r="F423" s="44"/>
      <c r="G423" s="42"/>
      <c r="H423" s="42"/>
      <c r="I423" s="41" t="s">
        <v>1099</v>
      </c>
      <c r="J423" s="41">
        <v>1500.0</v>
      </c>
      <c r="K423" s="43" t="str">
        <f t="shared" si="1"/>
        <v>Requires Attunement, Utility Gear, Grants Advantage, 3</v>
      </c>
      <c r="L423" s="43" t="str">
        <f t="shared" si="2"/>
        <v>Requires Attunement</v>
      </c>
      <c r="M423" s="41"/>
      <c r="N423" s="44" t="s">
        <v>47</v>
      </c>
      <c r="O423" s="42"/>
      <c r="P423" s="42"/>
      <c r="Q423" s="42"/>
      <c r="R423" s="42"/>
      <c r="S423" s="42"/>
      <c r="T423" s="42"/>
      <c r="U423" s="44" t="s">
        <v>42</v>
      </c>
      <c r="V423" s="42"/>
      <c r="W423" s="42"/>
      <c r="X423" s="44"/>
      <c r="Y423" s="42"/>
      <c r="Z423" s="42"/>
      <c r="AA423" s="42"/>
      <c r="AB423" s="42"/>
      <c r="AC423" s="42"/>
      <c r="AD423" s="42"/>
      <c r="AE423" s="42"/>
      <c r="AF423" s="42"/>
      <c r="AG423" s="42"/>
      <c r="AH423" s="42"/>
      <c r="AI423" s="42">
        <f t="shared" si="3"/>
        <v>3</v>
      </c>
      <c r="AJ423" s="42"/>
      <c r="AK423" s="42"/>
    </row>
    <row r="424">
      <c r="A424" s="41" t="s">
        <v>1100</v>
      </c>
      <c r="B424" s="41" t="s">
        <v>525</v>
      </c>
      <c r="C424" s="41" t="s">
        <v>842</v>
      </c>
      <c r="D424" s="41" t="s">
        <v>526</v>
      </c>
      <c r="E424" s="41" t="s">
        <v>595</v>
      </c>
      <c r="F424" s="42"/>
      <c r="G424" s="42"/>
      <c r="H424" s="42"/>
      <c r="I424" s="47" t="s">
        <v>1101</v>
      </c>
      <c r="J424" s="41">
        <v>1500.0</v>
      </c>
      <c r="K424" s="43" t="str">
        <f t="shared" si="1"/>
        <v>Requires Attunement, Effect, Bonus Damage, Generic Variant, Resistance, Melee Weapons, 4</v>
      </c>
      <c r="L424" s="43" t="str">
        <f t="shared" si="2"/>
        <v>Requires Attunement</v>
      </c>
      <c r="M424" s="41" t="s">
        <v>33</v>
      </c>
      <c r="N424" s="42"/>
      <c r="O424" s="42"/>
      <c r="P424" s="42"/>
      <c r="Q424" s="42"/>
      <c r="R424" s="46" t="s">
        <v>44</v>
      </c>
      <c r="S424" s="44" t="s">
        <v>526</v>
      </c>
      <c r="T424" s="44"/>
      <c r="U424" s="42"/>
      <c r="V424" s="42"/>
      <c r="W424" s="41" t="s">
        <v>101</v>
      </c>
      <c r="X424" s="42"/>
      <c r="Y424" s="42"/>
      <c r="Z424" s="42"/>
      <c r="AA424" s="42"/>
      <c r="AB424" s="42"/>
      <c r="AC424" s="42"/>
      <c r="AD424" s="42"/>
      <c r="AE424" s="42"/>
      <c r="AF424" s="44" t="s">
        <v>107</v>
      </c>
      <c r="AG424" s="42"/>
      <c r="AH424" s="42"/>
      <c r="AI424" s="42">
        <f t="shared" si="3"/>
        <v>4</v>
      </c>
      <c r="AJ424" s="42"/>
      <c r="AK424" s="42"/>
    </row>
    <row r="425">
      <c r="A425" s="41" t="s">
        <v>1102</v>
      </c>
      <c r="B425" s="41" t="s">
        <v>973</v>
      </c>
      <c r="C425" s="41" t="s">
        <v>842</v>
      </c>
      <c r="D425" s="41" t="s">
        <v>304</v>
      </c>
      <c r="E425" s="41" t="s">
        <v>595</v>
      </c>
      <c r="F425" s="41" t="s">
        <v>305</v>
      </c>
      <c r="G425" s="41" t="s">
        <v>1053</v>
      </c>
      <c r="H425" s="42"/>
      <c r="I425" s="41" t="s">
        <v>1103</v>
      </c>
      <c r="J425" s="41">
        <v>1500.0</v>
      </c>
      <c r="K425" s="43" t="str">
        <f t="shared" si="1"/>
        <v>Requires Attunement, Effect, Martial Weapon, Melee Weapons, 4</v>
      </c>
      <c r="L425" s="43" t="str">
        <f t="shared" si="2"/>
        <v>Requires Attunement</v>
      </c>
      <c r="M425" s="41" t="s">
        <v>33</v>
      </c>
      <c r="N425" s="42"/>
      <c r="O425" s="42"/>
      <c r="P425" s="44" t="s">
        <v>309</v>
      </c>
      <c r="Q425" s="44"/>
      <c r="R425" s="42"/>
      <c r="S425" s="42"/>
      <c r="T425" s="42"/>
      <c r="U425" s="42"/>
      <c r="V425" s="42"/>
      <c r="W425" s="42"/>
      <c r="X425" s="42"/>
      <c r="Y425" s="42"/>
      <c r="Z425" s="42"/>
      <c r="AA425" s="42"/>
      <c r="AB425" s="42"/>
      <c r="AC425" s="42"/>
      <c r="AD425" s="42"/>
      <c r="AE425" s="42"/>
      <c r="AF425" s="41" t="s">
        <v>107</v>
      </c>
      <c r="AG425" s="42"/>
      <c r="AH425" s="42"/>
      <c r="AI425" s="42">
        <f t="shared" si="3"/>
        <v>4</v>
      </c>
      <c r="AJ425" s="42"/>
      <c r="AK425" s="42"/>
    </row>
    <row r="426">
      <c r="A426" s="41" t="s">
        <v>1104</v>
      </c>
      <c r="B426" s="41" t="s">
        <v>525</v>
      </c>
      <c r="C426" s="41" t="s">
        <v>600</v>
      </c>
      <c r="D426" s="41" t="s">
        <v>529</v>
      </c>
      <c r="E426" s="41" t="s">
        <v>595</v>
      </c>
      <c r="F426" s="42"/>
      <c r="G426" s="42"/>
      <c r="H426" s="42"/>
      <c r="I426" s="41" t="s">
        <v>1105</v>
      </c>
      <c r="J426" s="41">
        <v>1600.0</v>
      </c>
      <c r="K426" s="43" t="str">
        <f t="shared" si="1"/>
        <v>Requires Attunement, Flying, 2</v>
      </c>
      <c r="L426" s="43" t="str">
        <f t="shared" si="2"/>
        <v>Requires Attunement</v>
      </c>
      <c r="M426" s="42"/>
      <c r="N426" s="42"/>
      <c r="O426" s="42"/>
      <c r="P426" s="41"/>
      <c r="Q426" s="41"/>
      <c r="R426" s="42"/>
      <c r="S426" s="42"/>
      <c r="T426" s="42"/>
      <c r="U426" s="42"/>
      <c r="V426" s="41" t="s">
        <v>49</v>
      </c>
      <c r="W426" s="42"/>
      <c r="X426" s="42"/>
      <c r="Y426" s="42"/>
      <c r="Z426" s="42"/>
      <c r="AA426" s="42"/>
      <c r="AB426" s="42"/>
      <c r="AC426" s="42"/>
      <c r="AD426" s="42"/>
      <c r="AE426" s="42"/>
      <c r="AF426" s="42"/>
      <c r="AG426" s="42"/>
      <c r="AH426" s="42"/>
      <c r="AI426" s="42">
        <f t="shared" si="3"/>
        <v>2</v>
      </c>
      <c r="AJ426" s="42"/>
      <c r="AK426" s="42"/>
    </row>
    <row r="427">
      <c r="A427" s="41" t="s">
        <v>1106</v>
      </c>
      <c r="B427" s="41" t="s">
        <v>525</v>
      </c>
      <c r="C427" s="41" t="s">
        <v>653</v>
      </c>
      <c r="D427" s="41" t="s">
        <v>529</v>
      </c>
      <c r="E427" s="41" t="s">
        <v>595</v>
      </c>
      <c r="F427" s="42"/>
      <c r="G427" s="42"/>
      <c r="H427" s="42"/>
      <c r="I427" s="41" t="s">
        <v>1107</v>
      </c>
      <c r="J427" s="41">
        <v>1600.0</v>
      </c>
      <c r="K427" s="43" t="str">
        <f t="shared" si="1"/>
        <v>Requires Attunement, 3</v>
      </c>
      <c r="L427" s="43" t="str">
        <f t="shared" si="2"/>
        <v>Requires Attunement</v>
      </c>
      <c r="M427" s="42"/>
      <c r="N427" s="42"/>
      <c r="O427" s="42"/>
      <c r="P427" s="42"/>
      <c r="Q427" s="42"/>
      <c r="S427" s="42"/>
      <c r="T427" s="42"/>
      <c r="U427" s="42"/>
      <c r="V427" s="42"/>
      <c r="W427" s="42"/>
      <c r="X427" s="42"/>
      <c r="Y427" s="42"/>
      <c r="Z427" s="42"/>
      <c r="AA427" s="42"/>
      <c r="AB427" s="42"/>
      <c r="AC427" s="42"/>
      <c r="AD427" s="42"/>
      <c r="AE427" s="42"/>
      <c r="AF427" s="42"/>
      <c r="AG427" s="42"/>
      <c r="AH427" s="42"/>
      <c r="AI427" s="42">
        <f t="shared" si="3"/>
        <v>3</v>
      </c>
      <c r="AJ427" s="42"/>
      <c r="AK427" s="42"/>
    </row>
    <row r="428">
      <c r="A428" s="41" t="s">
        <v>1108</v>
      </c>
      <c r="B428" s="41" t="s">
        <v>525</v>
      </c>
      <c r="C428" s="41" t="s">
        <v>842</v>
      </c>
      <c r="D428" s="41" t="s">
        <v>529</v>
      </c>
      <c r="E428" s="41" t="s">
        <v>595</v>
      </c>
      <c r="F428" s="42"/>
      <c r="G428" s="42"/>
      <c r="H428" s="42"/>
      <c r="I428" s="41" t="s">
        <v>1109</v>
      </c>
      <c r="J428" s="41">
        <v>1600.0</v>
      </c>
      <c r="K428" s="43" t="str">
        <f t="shared" si="1"/>
        <v>Requires Attunement, Enspelled, Resistance, 4</v>
      </c>
      <c r="L428" s="43" t="str">
        <f t="shared" si="2"/>
        <v>Requires Attunement</v>
      </c>
      <c r="M428" s="42"/>
      <c r="N428" s="42"/>
      <c r="O428" s="42"/>
      <c r="P428" s="42"/>
      <c r="Q428" s="42"/>
      <c r="R428" s="44"/>
      <c r="S428" s="42"/>
      <c r="T428" s="44" t="s">
        <v>611</v>
      </c>
      <c r="U428" s="42"/>
      <c r="V428" s="42"/>
      <c r="W428" s="41" t="s">
        <v>101</v>
      </c>
      <c r="X428" s="42"/>
      <c r="Y428" s="42"/>
      <c r="Z428" s="42"/>
      <c r="AA428" s="42"/>
      <c r="AB428" s="42"/>
      <c r="AC428" s="42"/>
      <c r="AD428" s="42"/>
      <c r="AE428" s="42"/>
      <c r="AF428" s="42"/>
      <c r="AG428" s="42"/>
      <c r="AH428" s="42"/>
      <c r="AI428" s="42">
        <f t="shared" si="3"/>
        <v>4</v>
      </c>
      <c r="AJ428" s="42"/>
      <c r="AK428" s="42"/>
    </row>
    <row r="429">
      <c r="A429" s="41" t="s">
        <v>1110</v>
      </c>
      <c r="B429" s="41" t="s">
        <v>841</v>
      </c>
      <c r="C429" s="41" t="s">
        <v>842</v>
      </c>
      <c r="D429" s="41" t="s">
        <v>529</v>
      </c>
      <c r="E429" s="41" t="s">
        <v>595</v>
      </c>
      <c r="F429" s="42"/>
      <c r="G429" s="42"/>
      <c r="H429" s="42"/>
      <c r="I429" s="41" t="s">
        <v>1111</v>
      </c>
      <c r="J429" s="41">
        <v>1600.0</v>
      </c>
      <c r="K429" s="43" t="str">
        <f t="shared" si="1"/>
        <v>Requires Attunement, Enspelled, Resistance, 4</v>
      </c>
      <c r="L429" s="43" t="str">
        <f t="shared" si="2"/>
        <v>Requires Attunement</v>
      </c>
      <c r="M429" s="42"/>
      <c r="N429" s="42"/>
      <c r="O429" s="42"/>
      <c r="P429" s="42"/>
      <c r="Q429" s="42"/>
      <c r="R429" s="44"/>
      <c r="S429" s="42"/>
      <c r="T429" s="44" t="s">
        <v>611</v>
      </c>
      <c r="U429" s="42"/>
      <c r="V429" s="42"/>
      <c r="W429" s="41" t="s">
        <v>101</v>
      </c>
      <c r="X429" s="42"/>
      <c r="Y429" s="42"/>
      <c r="Z429" s="42"/>
      <c r="AA429" s="42"/>
      <c r="AB429" s="42"/>
      <c r="AC429" s="42"/>
      <c r="AD429" s="42"/>
      <c r="AE429" s="42"/>
      <c r="AF429" s="42"/>
      <c r="AG429" s="42"/>
      <c r="AH429" s="42"/>
      <c r="AI429" s="42">
        <f t="shared" si="3"/>
        <v>4</v>
      </c>
      <c r="AJ429" s="42"/>
      <c r="AK429" s="42"/>
    </row>
    <row r="430">
      <c r="A430" s="41" t="s">
        <v>1112</v>
      </c>
      <c r="B430" s="41" t="s">
        <v>525</v>
      </c>
      <c r="C430" s="41" t="s">
        <v>842</v>
      </c>
      <c r="D430" s="41" t="s">
        <v>529</v>
      </c>
      <c r="E430" s="41" t="s">
        <v>595</v>
      </c>
      <c r="F430" s="42"/>
      <c r="G430" s="42"/>
      <c r="H430" s="42"/>
      <c r="I430" s="41" t="s">
        <v>1113</v>
      </c>
      <c r="J430" s="41">
        <v>1600.0</v>
      </c>
      <c r="K430" s="43" t="str">
        <f t="shared" si="1"/>
        <v>Requires Attunement, Utility Gear, Imposes Disadvantage, 4</v>
      </c>
      <c r="L430" s="43" t="str">
        <f t="shared" si="2"/>
        <v>Requires Attunement</v>
      </c>
      <c r="M430" s="44"/>
      <c r="N430" s="44" t="s">
        <v>47</v>
      </c>
      <c r="O430" s="42"/>
      <c r="P430" s="42"/>
      <c r="Q430" s="42"/>
      <c r="S430" s="42"/>
      <c r="T430" s="42"/>
      <c r="U430" s="44" t="s">
        <v>43</v>
      </c>
      <c r="V430" s="42"/>
      <c r="W430" s="42"/>
      <c r="X430" s="42"/>
      <c r="Y430" s="42"/>
      <c r="Z430" s="42"/>
      <c r="AA430" s="42"/>
      <c r="AB430" s="42"/>
      <c r="AC430" s="42"/>
      <c r="AD430" s="42"/>
      <c r="AE430" s="42"/>
      <c r="AF430" s="42"/>
      <c r="AG430" s="42"/>
      <c r="AH430" s="42"/>
      <c r="AI430" s="42">
        <f t="shared" si="3"/>
        <v>4</v>
      </c>
      <c r="AJ430" s="42"/>
      <c r="AK430" s="42"/>
    </row>
    <row r="431">
      <c r="A431" s="41" t="s">
        <v>1114</v>
      </c>
      <c r="B431" s="41" t="s">
        <v>841</v>
      </c>
      <c r="C431" s="41" t="s">
        <v>842</v>
      </c>
      <c r="D431" s="41" t="s">
        <v>529</v>
      </c>
      <c r="E431" s="41" t="s">
        <v>595</v>
      </c>
      <c r="F431" s="42"/>
      <c r="G431" s="42"/>
      <c r="H431" s="42"/>
      <c r="I431" s="41" t="s">
        <v>1115</v>
      </c>
      <c r="J431" s="41">
        <v>1600.0</v>
      </c>
      <c r="K431" s="43" t="str">
        <f t="shared" si="1"/>
        <v>Requires Attunement, Enspelled, Resistance, 4</v>
      </c>
      <c r="L431" s="43" t="str">
        <f t="shared" si="2"/>
        <v>Requires Attunement</v>
      </c>
      <c r="M431" s="42"/>
      <c r="N431" s="42"/>
      <c r="O431" s="42"/>
      <c r="P431" s="42"/>
      <c r="Q431" s="42"/>
      <c r="R431" s="44"/>
      <c r="S431" s="42"/>
      <c r="T431" s="44" t="s">
        <v>611</v>
      </c>
      <c r="U431" s="42"/>
      <c r="V431" s="42"/>
      <c r="W431" s="41" t="s">
        <v>101</v>
      </c>
      <c r="X431" s="42"/>
      <c r="Y431" s="42"/>
      <c r="Z431" s="42"/>
      <c r="AA431" s="42"/>
      <c r="AB431" s="42"/>
      <c r="AC431" s="42"/>
      <c r="AD431" s="42"/>
      <c r="AE431" s="42"/>
      <c r="AF431" s="42"/>
      <c r="AG431" s="42"/>
      <c r="AH431" s="42"/>
      <c r="AI431" s="42">
        <f t="shared" si="3"/>
        <v>4</v>
      </c>
      <c r="AJ431" s="42"/>
      <c r="AK431" s="42"/>
    </row>
    <row r="432">
      <c r="A432" s="41" t="s">
        <v>1116</v>
      </c>
      <c r="B432" s="41" t="s">
        <v>841</v>
      </c>
      <c r="C432" s="41" t="s">
        <v>897</v>
      </c>
      <c r="D432" s="41" t="s">
        <v>304</v>
      </c>
      <c r="E432" s="41" t="s">
        <v>595</v>
      </c>
      <c r="F432" s="41" t="s">
        <v>432</v>
      </c>
      <c r="G432" s="42"/>
      <c r="H432" s="42"/>
      <c r="I432" s="41" t="s">
        <v>1117</v>
      </c>
      <c r="J432" s="41">
        <v>1600.0</v>
      </c>
      <c r="K432" s="43" t="str">
        <f t="shared" si="1"/>
        <v>Requires Attunement, Effect, Martial Weapon, Melee Weapons, 5</v>
      </c>
      <c r="L432" s="43" t="str">
        <f t="shared" si="2"/>
        <v>Requires Attunement</v>
      </c>
      <c r="M432" s="41" t="s">
        <v>33</v>
      </c>
      <c r="N432" s="42"/>
      <c r="O432" s="42"/>
      <c r="P432" s="44" t="s">
        <v>309</v>
      </c>
      <c r="Q432" s="44"/>
      <c r="S432" s="42"/>
      <c r="T432" s="42"/>
      <c r="U432" s="42"/>
      <c r="V432" s="42"/>
      <c r="W432" s="42"/>
      <c r="X432" s="42"/>
      <c r="Y432" s="42"/>
      <c r="Z432" s="42"/>
      <c r="AA432" s="42"/>
      <c r="AB432" s="42"/>
      <c r="AC432" s="42"/>
      <c r="AD432" s="42"/>
      <c r="AE432" s="42"/>
      <c r="AF432" s="41" t="s">
        <v>107</v>
      </c>
      <c r="AG432" s="42"/>
      <c r="AH432" s="42"/>
      <c r="AI432" s="42">
        <f t="shared" si="3"/>
        <v>5</v>
      </c>
      <c r="AJ432" s="42"/>
      <c r="AK432" s="42"/>
    </row>
    <row r="433">
      <c r="A433" s="49" t="s">
        <v>1118</v>
      </c>
      <c r="B433" s="44" t="s">
        <v>637</v>
      </c>
      <c r="C433" s="44" t="s">
        <v>1028</v>
      </c>
      <c r="D433" s="44" t="s">
        <v>526</v>
      </c>
      <c r="E433" s="42"/>
      <c r="F433" s="42"/>
      <c r="G433" s="42"/>
      <c r="H433" s="42"/>
      <c r="I433" s="41" t="s">
        <v>1119</v>
      </c>
      <c r="J433" s="41">
        <v>1800.0</v>
      </c>
      <c r="K433" s="43" t="str">
        <f t="shared" si="1"/>
        <v>No Attunement Required, Power, 3</v>
      </c>
      <c r="L433" s="43" t="str">
        <f t="shared" si="2"/>
        <v>No Attunement Required</v>
      </c>
      <c r="M433" s="44" t="s">
        <v>32</v>
      </c>
      <c r="N433" s="42"/>
      <c r="O433" s="42"/>
      <c r="P433" s="42"/>
      <c r="Q433" s="42"/>
      <c r="R433" s="42"/>
      <c r="S433" s="42"/>
      <c r="T433" s="42"/>
      <c r="U433" s="42"/>
      <c r="V433" s="42"/>
      <c r="W433" s="42"/>
      <c r="X433" s="42"/>
      <c r="Y433" s="42"/>
      <c r="Z433" s="42"/>
      <c r="AA433" s="42"/>
      <c r="AB433" s="42"/>
      <c r="AC433" s="42"/>
      <c r="AD433" s="42"/>
      <c r="AE433" s="42"/>
      <c r="AF433" s="42"/>
      <c r="AG433" s="42"/>
      <c r="AH433" s="42"/>
      <c r="AI433" s="42">
        <f t="shared" si="3"/>
        <v>3</v>
      </c>
      <c r="AJ433" s="42"/>
      <c r="AK433" s="42"/>
    </row>
    <row r="434">
      <c r="A434" s="51" t="s">
        <v>1120</v>
      </c>
      <c r="B434" s="44" t="s">
        <v>637</v>
      </c>
      <c r="C434" s="44" t="s">
        <v>1028</v>
      </c>
      <c r="D434" s="44" t="s">
        <v>526</v>
      </c>
      <c r="E434" s="42"/>
      <c r="F434" s="42"/>
      <c r="G434" s="42"/>
      <c r="H434" s="42"/>
      <c r="I434" s="48" t="s">
        <v>1121</v>
      </c>
      <c r="J434" s="41">
        <v>1800.0</v>
      </c>
      <c r="K434" s="43" t="str">
        <f t="shared" si="1"/>
        <v>No Attunement Required, Power, Bonus Damage, 3</v>
      </c>
      <c r="L434" s="43" t="str">
        <f t="shared" si="2"/>
        <v>No Attunement Required</v>
      </c>
      <c r="M434" s="44" t="s">
        <v>32</v>
      </c>
      <c r="N434" s="42"/>
      <c r="O434" s="42"/>
      <c r="P434" s="41"/>
      <c r="Q434" s="41"/>
      <c r="R434" s="46" t="s">
        <v>44</v>
      </c>
      <c r="S434" s="42"/>
      <c r="T434" s="42"/>
      <c r="U434" s="42"/>
      <c r="V434" s="42"/>
      <c r="W434" s="42"/>
      <c r="X434" s="42"/>
      <c r="Y434" s="42"/>
      <c r="Z434" s="42"/>
      <c r="AA434" s="42"/>
      <c r="AB434" s="42"/>
      <c r="AC434" s="42"/>
      <c r="AD434" s="42"/>
      <c r="AE434" s="42"/>
      <c r="AF434" s="42"/>
      <c r="AG434" s="42"/>
      <c r="AH434" s="42"/>
      <c r="AI434" s="42">
        <f t="shared" si="3"/>
        <v>3</v>
      </c>
      <c r="AJ434" s="42"/>
      <c r="AK434" s="42"/>
    </row>
    <row r="435">
      <c r="A435" s="41" t="s">
        <v>1122</v>
      </c>
      <c r="B435" s="41" t="s">
        <v>525</v>
      </c>
      <c r="C435" s="41" t="s">
        <v>653</v>
      </c>
      <c r="D435" s="41" t="s">
        <v>526</v>
      </c>
      <c r="E435" s="42"/>
      <c r="F435" s="42"/>
      <c r="G435" s="42"/>
      <c r="H435" s="42"/>
      <c r="I435" s="41" t="s">
        <v>1123</v>
      </c>
      <c r="J435" s="41">
        <v>1800.0</v>
      </c>
      <c r="K435" s="43" t="str">
        <f t="shared" si="1"/>
        <v>No Attunement Required, Power, Bonus Damage, Generic Variant, Ranged Weapons, Melee Weapons, 3</v>
      </c>
      <c r="L435" s="43" t="str">
        <f t="shared" si="2"/>
        <v>No Attunement Required</v>
      </c>
      <c r="M435" s="41" t="s">
        <v>32</v>
      </c>
      <c r="N435" s="42"/>
      <c r="O435" s="42"/>
      <c r="P435" s="44"/>
      <c r="Q435" s="42"/>
      <c r="R435" s="44" t="s">
        <v>44</v>
      </c>
      <c r="S435" s="44" t="s">
        <v>526</v>
      </c>
      <c r="T435" s="44"/>
      <c r="U435" s="42"/>
      <c r="V435" s="42"/>
      <c r="W435" s="42"/>
      <c r="X435" s="42"/>
      <c r="Y435" s="42"/>
      <c r="Z435" s="42"/>
      <c r="AA435" s="42"/>
      <c r="AB435" s="42"/>
      <c r="AC435" s="42"/>
      <c r="AD435" s="42"/>
      <c r="AE435" s="44" t="s">
        <v>106</v>
      </c>
      <c r="AF435" s="44" t="s">
        <v>107</v>
      </c>
      <c r="AG435" s="42"/>
      <c r="AH435" s="42"/>
      <c r="AI435" s="42">
        <f t="shared" si="3"/>
        <v>3</v>
      </c>
      <c r="AJ435" s="42"/>
      <c r="AK435" s="42"/>
    </row>
    <row r="436">
      <c r="A436" s="49" t="s">
        <v>1124</v>
      </c>
      <c r="B436" s="44" t="s">
        <v>525</v>
      </c>
      <c r="C436" s="44" t="s">
        <v>1125</v>
      </c>
      <c r="D436" s="44" t="s">
        <v>529</v>
      </c>
      <c r="E436" s="42"/>
      <c r="F436" s="42"/>
      <c r="G436" s="42"/>
      <c r="H436" s="42"/>
      <c r="I436" s="48" t="s">
        <v>1126</v>
      </c>
      <c r="J436" s="41">
        <v>1800.0</v>
      </c>
      <c r="K436" s="43" t="str">
        <f t="shared" si="1"/>
        <v>No Attunement Required, 4</v>
      </c>
      <c r="L436" s="43" t="str">
        <f t="shared" si="2"/>
        <v>No Attunement Required</v>
      </c>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f t="shared" si="3"/>
        <v>4</v>
      </c>
      <c r="AJ436" s="42"/>
      <c r="AK436" s="42"/>
    </row>
    <row r="437">
      <c r="A437" s="41" t="s">
        <v>1127</v>
      </c>
      <c r="B437" s="41" t="s">
        <v>628</v>
      </c>
      <c r="C437" s="41" t="s">
        <v>842</v>
      </c>
      <c r="D437" s="41" t="s">
        <v>529</v>
      </c>
      <c r="E437" s="41" t="s">
        <v>595</v>
      </c>
      <c r="F437" s="42"/>
      <c r="G437" s="42"/>
      <c r="H437" s="42"/>
      <c r="I437" s="41" t="s">
        <v>1128</v>
      </c>
      <c r="J437" s="41">
        <v>1800.0</v>
      </c>
      <c r="K437" s="43" t="str">
        <f t="shared" si="1"/>
        <v>Requires Attunement, Utility Gear, Grants Advantage, 4</v>
      </c>
      <c r="L437" s="43" t="str">
        <f t="shared" si="2"/>
        <v>Requires Attunement</v>
      </c>
      <c r="M437" s="44"/>
      <c r="N437" s="44" t="s">
        <v>47</v>
      </c>
      <c r="O437" s="42"/>
      <c r="P437" s="42"/>
      <c r="Q437" s="42"/>
      <c r="R437" s="42"/>
      <c r="S437" s="42"/>
      <c r="T437" s="42"/>
      <c r="U437" s="44" t="s">
        <v>42</v>
      </c>
      <c r="V437" s="42"/>
      <c r="W437" s="42"/>
      <c r="X437" s="42"/>
      <c r="Y437" s="42"/>
      <c r="Z437" s="42"/>
      <c r="AA437" s="42"/>
      <c r="AB437" s="42"/>
      <c r="AC437" s="42"/>
      <c r="AD437" s="42"/>
      <c r="AE437" s="42"/>
      <c r="AF437" s="42"/>
      <c r="AG437" s="42"/>
      <c r="AH437" s="42"/>
      <c r="AI437" s="42">
        <f t="shared" si="3"/>
        <v>4</v>
      </c>
      <c r="AJ437" s="42"/>
      <c r="AK437" s="42"/>
    </row>
    <row r="438">
      <c r="A438" s="41" t="s">
        <v>1129</v>
      </c>
      <c r="B438" s="41" t="s">
        <v>525</v>
      </c>
      <c r="C438" s="41" t="s">
        <v>842</v>
      </c>
      <c r="D438" s="41" t="s">
        <v>529</v>
      </c>
      <c r="E438" s="41" t="s">
        <v>595</v>
      </c>
      <c r="F438" s="42"/>
      <c r="G438" s="42"/>
      <c r="H438" s="42"/>
      <c r="I438" s="41" t="s">
        <v>1130</v>
      </c>
      <c r="J438" s="41">
        <v>1800.0</v>
      </c>
      <c r="K438" s="43" t="str">
        <f t="shared" si="1"/>
        <v>Requires Attunement, Stat Increasers, Ioun Stones, 4</v>
      </c>
      <c r="L438" s="43" t="str">
        <f t="shared" si="2"/>
        <v>Requires Attunement</v>
      </c>
      <c r="M438" s="42"/>
      <c r="N438" s="42"/>
      <c r="O438" s="42"/>
      <c r="P438" s="42"/>
      <c r="Q438" s="42"/>
      <c r="R438" s="42"/>
      <c r="S438" s="42"/>
      <c r="T438" s="42"/>
      <c r="U438" s="42"/>
      <c r="V438" s="42"/>
      <c r="W438" s="42"/>
      <c r="X438" s="42"/>
      <c r="Y438" s="41" t="s">
        <v>103</v>
      </c>
      <c r="Z438" s="42"/>
      <c r="AA438" s="42"/>
      <c r="AB438" s="42"/>
      <c r="AC438" s="42"/>
      <c r="AD438" s="42"/>
      <c r="AE438" s="42"/>
      <c r="AF438" s="42"/>
      <c r="AG438" s="42"/>
      <c r="AH438" s="44" t="s">
        <v>53</v>
      </c>
      <c r="AI438" s="42">
        <f t="shared" si="3"/>
        <v>4</v>
      </c>
      <c r="AJ438" s="42"/>
      <c r="AK438" s="42"/>
    </row>
    <row r="439">
      <c r="A439" s="41" t="s">
        <v>1131</v>
      </c>
      <c r="B439" s="41" t="s">
        <v>525</v>
      </c>
      <c r="C439" s="41" t="s">
        <v>842</v>
      </c>
      <c r="D439" s="41" t="s">
        <v>529</v>
      </c>
      <c r="E439" s="41" t="s">
        <v>595</v>
      </c>
      <c r="F439" s="42"/>
      <c r="G439" s="42"/>
      <c r="H439" s="42"/>
      <c r="I439" s="41" t="s">
        <v>1132</v>
      </c>
      <c r="J439" s="41">
        <v>1800.0</v>
      </c>
      <c r="K439" s="43" t="str">
        <f t="shared" si="1"/>
        <v>Requires Attunement, Stat Increasers, Ioun Stones, 4</v>
      </c>
      <c r="L439" s="43" t="str">
        <f t="shared" si="2"/>
        <v>Requires Attunement</v>
      </c>
      <c r="M439" s="42"/>
      <c r="N439" s="42"/>
      <c r="O439" s="42"/>
      <c r="P439" s="42"/>
      <c r="Q439" s="42"/>
      <c r="R439" s="42"/>
      <c r="S439" s="42"/>
      <c r="T439" s="42"/>
      <c r="U439" s="42"/>
      <c r="V439" s="42"/>
      <c r="W439" s="42"/>
      <c r="X439" s="42"/>
      <c r="Y439" s="41" t="s">
        <v>103</v>
      </c>
      <c r="Z439" s="42"/>
      <c r="AA439" s="42"/>
      <c r="AB439" s="42"/>
      <c r="AC439" s="42"/>
      <c r="AD439" s="42"/>
      <c r="AE439" s="42"/>
      <c r="AF439" s="42"/>
      <c r="AG439" s="42"/>
      <c r="AH439" s="44" t="s">
        <v>53</v>
      </c>
      <c r="AI439" s="42">
        <f t="shared" si="3"/>
        <v>4</v>
      </c>
      <c r="AJ439" s="42"/>
      <c r="AK439" s="42"/>
    </row>
    <row r="440">
      <c r="A440" s="41" t="s">
        <v>1133</v>
      </c>
      <c r="B440" s="41" t="s">
        <v>525</v>
      </c>
      <c r="C440" s="41" t="s">
        <v>842</v>
      </c>
      <c r="D440" s="41" t="s">
        <v>529</v>
      </c>
      <c r="E440" s="41" t="s">
        <v>595</v>
      </c>
      <c r="F440" s="42"/>
      <c r="G440" s="42"/>
      <c r="H440" s="42"/>
      <c r="I440" s="41" t="s">
        <v>1134</v>
      </c>
      <c r="J440" s="41">
        <v>1800.0</v>
      </c>
      <c r="K440" s="43" t="str">
        <f t="shared" si="1"/>
        <v>Requires Attunement, Stat Increasers, Ioun Stones, 4</v>
      </c>
      <c r="L440" s="43" t="str">
        <f t="shared" si="2"/>
        <v>Requires Attunement</v>
      </c>
      <c r="M440" s="42"/>
      <c r="N440" s="42"/>
      <c r="O440" s="42"/>
      <c r="P440" s="42"/>
      <c r="Q440" s="42"/>
      <c r="R440" s="42"/>
      <c r="S440" s="42"/>
      <c r="T440" s="42"/>
      <c r="U440" s="42"/>
      <c r="V440" s="42"/>
      <c r="W440" s="42"/>
      <c r="X440" s="42"/>
      <c r="Y440" s="41" t="s">
        <v>103</v>
      </c>
      <c r="Z440" s="42"/>
      <c r="AA440" s="42"/>
      <c r="AB440" s="42"/>
      <c r="AC440" s="42"/>
      <c r="AD440" s="42"/>
      <c r="AE440" s="42"/>
      <c r="AF440" s="42"/>
      <c r="AG440" s="42"/>
      <c r="AH440" s="44" t="s">
        <v>53</v>
      </c>
      <c r="AI440" s="42">
        <f t="shared" si="3"/>
        <v>4</v>
      </c>
      <c r="AJ440" s="42"/>
      <c r="AK440" s="42"/>
    </row>
    <row r="441">
      <c r="A441" s="41" t="s">
        <v>1135</v>
      </c>
      <c r="B441" s="41" t="s">
        <v>525</v>
      </c>
      <c r="C441" s="41" t="s">
        <v>842</v>
      </c>
      <c r="D441" s="41" t="s">
        <v>529</v>
      </c>
      <c r="E441" s="41" t="s">
        <v>595</v>
      </c>
      <c r="F441" s="42"/>
      <c r="G441" s="42"/>
      <c r="H441" s="42"/>
      <c r="I441" s="41" t="s">
        <v>1136</v>
      </c>
      <c r="J441" s="41">
        <v>1800.0</v>
      </c>
      <c r="K441" s="43" t="str">
        <f t="shared" si="1"/>
        <v>Requires Attunement, Stat Increasers, Ioun Stones, 4</v>
      </c>
      <c r="L441" s="43" t="str">
        <f t="shared" si="2"/>
        <v>Requires Attunement</v>
      </c>
      <c r="M441" s="42"/>
      <c r="N441" s="42"/>
      <c r="O441" s="42"/>
      <c r="P441" s="42"/>
      <c r="Q441" s="42"/>
      <c r="R441" s="42"/>
      <c r="S441" s="42"/>
      <c r="T441" s="42"/>
      <c r="U441" s="42"/>
      <c r="V441" s="42"/>
      <c r="W441" s="42"/>
      <c r="X441" s="42"/>
      <c r="Y441" s="41" t="s">
        <v>103</v>
      </c>
      <c r="Z441" s="42"/>
      <c r="AA441" s="42"/>
      <c r="AB441" s="42"/>
      <c r="AC441" s="42"/>
      <c r="AD441" s="42"/>
      <c r="AE441" s="42"/>
      <c r="AF441" s="42"/>
      <c r="AG441" s="42"/>
      <c r="AH441" s="44" t="s">
        <v>53</v>
      </c>
      <c r="AI441" s="42">
        <f t="shared" si="3"/>
        <v>4</v>
      </c>
      <c r="AJ441" s="42"/>
      <c r="AK441" s="42"/>
    </row>
    <row r="442">
      <c r="A442" s="41" t="s">
        <v>1137</v>
      </c>
      <c r="B442" s="41" t="s">
        <v>525</v>
      </c>
      <c r="C442" s="41" t="s">
        <v>842</v>
      </c>
      <c r="D442" s="41" t="s">
        <v>529</v>
      </c>
      <c r="E442" s="41" t="s">
        <v>595</v>
      </c>
      <c r="F442" s="42"/>
      <c r="G442" s="42"/>
      <c r="H442" s="42"/>
      <c r="I442" s="41" t="s">
        <v>1138</v>
      </c>
      <c r="J442" s="41">
        <v>1800.0</v>
      </c>
      <c r="K442" s="43" t="str">
        <f t="shared" si="1"/>
        <v>Requires Attunement, Stat Increasers, Ioun Stones, 4</v>
      </c>
      <c r="L442" s="43" t="str">
        <f t="shared" si="2"/>
        <v>Requires Attunement</v>
      </c>
      <c r="M442" s="42"/>
      <c r="N442" s="42"/>
      <c r="O442" s="42"/>
      <c r="P442" s="42"/>
      <c r="Q442" s="42"/>
      <c r="R442" s="42"/>
      <c r="S442" s="42"/>
      <c r="T442" s="42"/>
      <c r="U442" s="42"/>
      <c r="V442" s="42"/>
      <c r="W442" s="42"/>
      <c r="X442" s="42"/>
      <c r="Y442" s="41" t="s">
        <v>103</v>
      </c>
      <c r="Z442" s="42"/>
      <c r="AA442" s="42"/>
      <c r="AB442" s="42"/>
      <c r="AC442" s="42"/>
      <c r="AD442" s="42"/>
      <c r="AE442" s="42"/>
      <c r="AF442" s="42"/>
      <c r="AG442" s="42"/>
      <c r="AH442" s="44" t="s">
        <v>53</v>
      </c>
      <c r="AI442" s="42">
        <f t="shared" si="3"/>
        <v>4</v>
      </c>
      <c r="AJ442" s="42"/>
      <c r="AK442" s="42"/>
    </row>
    <row r="443">
      <c r="A443" s="41" t="s">
        <v>1139</v>
      </c>
      <c r="B443" s="41" t="s">
        <v>525</v>
      </c>
      <c r="C443" s="41" t="s">
        <v>842</v>
      </c>
      <c r="D443" s="41" t="s">
        <v>529</v>
      </c>
      <c r="E443" s="41" t="s">
        <v>595</v>
      </c>
      <c r="F443" s="42"/>
      <c r="G443" s="42"/>
      <c r="H443" s="42"/>
      <c r="I443" s="41" t="s">
        <v>1140</v>
      </c>
      <c r="J443" s="41">
        <v>1800.0</v>
      </c>
      <c r="K443" s="43" t="str">
        <f t="shared" si="1"/>
        <v>Requires Attunement, Stat Increasers, Ioun Stones, 4</v>
      </c>
      <c r="L443" s="43" t="str">
        <f t="shared" si="2"/>
        <v>Requires Attunement</v>
      </c>
      <c r="M443" s="42"/>
      <c r="N443" s="42"/>
      <c r="O443" s="42"/>
      <c r="P443" s="42"/>
      <c r="Q443" s="42"/>
      <c r="R443" s="42"/>
      <c r="S443" s="42"/>
      <c r="T443" s="42"/>
      <c r="U443" s="42"/>
      <c r="V443" s="42"/>
      <c r="W443" s="42"/>
      <c r="X443" s="42"/>
      <c r="Y443" s="41" t="s">
        <v>103</v>
      </c>
      <c r="Z443" s="42"/>
      <c r="AA443" s="42"/>
      <c r="AB443" s="42"/>
      <c r="AC443" s="42"/>
      <c r="AD443" s="42"/>
      <c r="AE443" s="42"/>
      <c r="AF443" s="42"/>
      <c r="AG443" s="42"/>
      <c r="AH443" s="44" t="s">
        <v>53</v>
      </c>
      <c r="AI443" s="42">
        <f t="shared" si="3"/>
        <v>4</v>
      </c>
      <c r="AJ443" s="42"/>
      <c r="AK443" s="42"/>
    </row>
    <row r="444">
      <c r="A444" s="41" t="s">
        <v>1141</v>
      </c>
      <c r="B444" s="41" t="s">
        <v>525</v>
      </c>
      <c r="C444" s="41" t="s">
        <v>842</v>
      </c>
      <c r="D444" s="41" t="s">
        <v>1142</v>
      </c>
      <c r="E444" s="42"/>
      <c r="F444" s="41" t="s">
        <v>332</v>
      </c>
      <c r="G444" s="41" t="s">
        <v>333</v>
      </c>
      <c r="H444" s="41" t="s">
        <v>334</v>
      </c>
      <c r="I444" s="41" t="s">
        <v>1143</v>
      </c>
      <c r="J444" s="41">
        <v>1800.0</v>
      </c>
      <c r="K444" s="43" t="str">
        <f t="shared" si="1"/>
        <v>No Attunement Required, Bard, Simple Weapon, Bonus Damage, Melee Weapons, 4</v>
      </c>
      <c r="L444" s="43" t="str">
        <f t="shared" si="2"/>
        <v>No Attunement Required</v>
      </c>
      <c r="M444" s="41"/>
      <c r="N444" s="44" t="s">
        <v>66</v>
      </c>
      <c r="O444" s="42"/>
      <c r="P444" s="44" t="s">
        <v>336</v>
      </c>
      <c r="Q444" s="44"/>
      <c r="R444" s="44" t="s">
        <v>44</v>
      </c>
      <c r="S444" s="42"/>
      <c r="T444" s="42"/>
      <c r="U444" s="42"/>
      <c r="V444" s="42"/>
      <c r="W444" s="42"/>
      <c r="X444" s="42"/>
      <c r="Y444" s="42"/>
      <c r="Z444" s="42"/>
      <c r="AA444" s="42"/>
      <c r="AB444" s="42"/>
      <c r="AC444" s="42"/>
      <c r="AD444" s="42"/>
      <c r="AE444" s="42"/>
      <c r="AF444" s="41" t="s">
        <v>107</v>
      </c>
      <c r="AG444" s="42"/>
      <c r="AH444" s="42"/>
      <c r="AI444" s="42">
        <f t="shared" si="3"/>
        <v>4</v>
      </c>
      <c r="AJ444" s="42"/>
      <c r="AK444" s="42"/>
    </row>
    <row r="445">
      <c r="A445" s="41" t="s">
        <v>1144</v>
      </c>
      <c r="B445" s="41" t="s">
        <v>525</v>
      </c>
      <c r="C445" s="41" t="s">
        <v>842</v>
      </c>
      <c r="D445" s="41" t="s">
        <v>556</v>
      </c>
      <c r="E445" s="42"/>
      <c r="F445" s="42"/>
      <c r="G445" s="42"/>
      <c r="H445" s="42"/>
      <c r="I445" s="41" t="s">
        <v>1145</v>
      </c>
      <c r="J445" s="41">
        <v>1800.0</v>
      </c>
      <c r="K445" s="43" t="str">
        <f t="shared" si="1"/>
        <v>No Attunement Required, Potions, 4</v>
      </c>
      <c r="L445" s="43" t="str">
        <f t="shared" si="2"/>
        <v>No Attunement Required</v>
      </c>
      <c r="M445" s="42"/>
      <c r="N445" s="42"/>
      <c r="O445" s="42"/>
      <c r="P445" s="42"/>
      <c r="Q445" s="42"/>
      <c r="S445" s="41" t="s">
        <v>57</v>
      </c>
      <c r="T445" s="41"/>
      <c r="U445" s="42"/>
      <c r="V445" s="42"/>
      <c r="W445" s="42"/>
      <c r="X445" s="42"/>
      <c r="Y445" s="42"/>
      <c r="Z445" s="42"/>
      <c r="AA445" s="42"/>
      <c r="AB445" s="42"/>
      <c r="AC445" s="42"/>
      <c r="AD445" s="42"/>
      <c r="AE445" s="42"/>
      <c r="AF445" s="42"/>
      <c r="AG445" s="42"/>
      <c r="AH445" s="42"/>
      <c r="AI445" s="42">
        <f t="shared" si="3"/>
        <v>4</v>
      </c>
      <c r="AJ445" s="42"/>
      <c r="AK445" s="42"/>
    </row>
    <row r="446">
      <c r="A446" s="41" t="s">
        <v>1146</v>
      </c>
      <c r="B446" s="41" t="s">
        <v>525</v>
      </c>
      <c r="C446" s="41" t="s">
        <v>842</v>
      </c>
      <c r="D446" s="41" t="s">
        <v>725</v>
      </c>
      <c r="E446" s="41" t="s">
        <v>595</v>
      </c>
      <c r="F446" s="42"/>
      <c r="G446" s="42"/>
      <c r="H446" s="42"/>
      <c r="I446" s="41" t="s">
        <v>1147</v>
      </c>
      <c r="J446" s="41">
        <v>1800.0</v>
      </c>
      <c r="K446" s="43" t="str">
        <f t="shared" si="1"/>
        <v>Requires Attunement, Utility Gear, Rod, Enspelled, Grants Advantage, 4</v>
      </c>
      <c r="L446" s="43" t="str">
        <f t="shared" si="2"/>
        <v>Requires Attunement</v>
      </c>
      <c r="M446" s="44"/>
      <c r="N446" s="44" t="s">
        <v>47</v>
      </c>
      <c r="O446" s="42"/>
      <c r="P446" s="42"/>
      <c r="Q446" s="42"/>
      <c r="R446" s="44"/>
      <c r="S446" s="44" t="s">
        <v>725</v>
      </c>
      <c r="T446" s="44" t="s">
        <v>611</v>
      </c>
      <c r="U446" s="44" t="s">
        <v>42</v>
      </c>
      <c r="V446" s="42"/>
      <c r="W446" s="42"/>
      <c r="X446" s="42"/>
      <c r="Y446" s="42"/>
      <c r="Z446" s="42"/>
      <c r="AA446" s="42"/>
      <c r="AB446" s="42"/>
      <c r="AC446" s="42"/>
      <c r="AD446" s="42"/>
      <c r="AE446" s="42"/>
      <c r="AF446" s="42"/>
      <c r="AG446" s="42"/>
      <c r="AH446" s="42"/>
      <c r="AI446" s="42">
        <f t="shared" si="3"/>
        <v>4</v>
      </c>
      <c r="AJ446" s="42"/>
      <c r="AK446" s="42"/>
    </row>
    <row r="447">
      <c r="A447" s="41" t="s">
        <v>1148</v>
      </c>
      <c r="B447" s="41" t="s">
        <v>525</v>
      </c>
      <c r="C447" s="41" t="s">
        <v>842</v>
      </c>
      <c r="D447" s="41" t="s">
        <v>23</v>
      </c>
      <c r="E447" s="41" t="s">
        <v>595</v>
      </c>
      <c r="F447" s="41" t="s">
        <v>477</v>
      </c>
      <c r="G447" s="42"/>
      <c r="H447" s="42"/>
      <c r="I447" s="41" t="s">
        <v>1149</v>
      </c>
      <c r="J447" s="41">
        <v>1800.0</v>
      </c>
      <c r="K447" s="43" t="str">
        <f t="shared" si="1"/>
        <v>Requires Attunement, Effect, Shield, Bonus AC, Armors, 4</v>
      </c>
      <c r="L447" s="43" t="str">
        <f t="shared" si="2"/>
        <v>Requires Attunement</v>
      </c>
      <c r="M447" s="41" t="s">
        <v>33</v>
      </c>
      <c r="N447" s="42"/>
      <c r="O447" s="46" t="s">
        <v>23</v>
      </c>
      <c r="P447" s="44" t="s">
        <v>45</v>
      </c>
      <c r="Q447" s="42"/>
      <c r="R447" s="43"/>
      <c r="S447" s="42"/>
      <c r="T447" s="42"/>
      <c r="U447" s="42"/>
      <c r="V447" s="42"/>
      <c r="W447" s="42"/>
      <c r="X447" s="42"/>
      <c r="Y447" s="42"/>
      <c r="Z447" s="42"/>
      <c r="AA447" s="42"/>
      <c r="AB447" s="42"/>
      <c r="AC447" s="42"/>
      <c r="AD447" s="42"/>
      <c r="AE447" s="42"/>
      <c r="AF447" s="42"/>
      <c r="AG447" s="44" t="s">
        <v>108</v>
      </c>
      <c r="AH447" s="42"/>
      <c r="AI447" s="42">
        <f t="shared" si="3"/>
        <v>4</v>
      </c>
      <c r="AJ447" s="42"/>
      <c r="AK447" s="42"/>
    </row>
    <row r="448">
      <c r="A448" s="41" t="s">
        <v>1150</v>
      </c>
      <c r="B448" s="41" t="s">
        <v>762</v>
      </c>
      <c r="C448" s="41" t="s">
        <v>897</v>
      </c>
      <c r="D448" s="41" t="s">
        <v>529</v>
      </c>
      <c r="E448" s="41" t="s">
        <v>595</v>
      </c>
      <c r="F448" s="42"/>
      <c r="G448" s="42"/>
      <c r="H448" s="42"/>
      <c r="I448" s="41" t="s">
        <v>1151</v>
      </c>
      <c r="J448" s="41">
        <v>1800.0</v>
      </c>
      <c r="K448" s="43" t="str">
        <f t="shared" si="1"/>
        <v>Requires Attunement, Grants Advantage, Resistance, 5</v>
      </c>
      <c r="L448" s="43" t="str">
        <f t="shared" si="2"/>
        <v>Requires Attunement</v>
      </c>
      <c r="M448" s="42"/>
      <c r="N448" s="42"/>
      <c r="O448" s="42"/>
      <c r="P448" s="42"/>
      <c r="Q448" s="41"/>
      <c r="S448" s="42"/>
      <c r="T448" s="42"/>
      <c r="U448" s="44" t="s">
        <v>42</v>
      </c>
      <c r="V448" s="42"/>
      <c r="W448" s="41" t="s">
        <v>101</v>
      </c>
      <c r="X448" s="42"/>
      <c r="Y448" s="42"/>
      <c r="Z448" s="42"/>
      <c r="AA448" s="42"/>
      <c r="AB448" s="42"/>
      <c r="AC448" s="42"/>
      <c r="AD448" s="42"/>
      <c r="AE448" s="42"/>
      <c r="AF448" s="42"/>
      <c r="AG448" s="42"/>
      <c r="AH448" s="42"/>
      <c r="AI448" s="42">
        <f t="shared" si="3"/>
        <v>5</v>
      </c>
      <c r="AJ448" s="42"/>
      <c r="AK448" s="42"/>
    </row>
    <row r="449">
      <c r="A449" s="41" t="s">
        <v>1152</v>
      </c>
      <c r="B449" s="41" t="s">
        <v>730</v>
      </c>
      <c r="C449" s="41" t="s">
        <v>653</v>
      </c>
      <c r="D449" s="41" t="s">
        <v>529</v>
      </c>
      <c r="E449" s="41" t="s">
        <v>595</v>
      </c>
      <c r="F449" s="42"/>
      <c r="G449" s="42"/>
      <c r="H449" s="42"/>
      <c r="I449" s="41" t="s">
        <v>1153</v>
      </c>
      <c r="J449" s="41">
        <v>1850.0</v>
      </c>
      <c r="K449" s="43" t="str">
        <f t="shared" si="1"/>
        <v>Requires Attunement, Utility Gear, Bonus Damage, Flying, 3</v>
      </c>
      <c r="L449" s="43" t="str">
        <f t="shared" si="2"/>
        <v>Requires Attunement</v>
      </c>
      <c r="M449" s="44"/>
      <c r="N449" s="44" t="s">
        <v>47</v>
      </c>
      <c r="O449" s="42"/>
      <c r="P449" s="44"/>
      <c r="Q449" s="44"/>
      <c r="R449" s="44" t="s">
        <v>44</v>
      </c>
      <c r="S449" s="42"/>
      <c r="T449" s="42"/>
      <c r="U449" s="42"/>
      <c r="V449" s="41" t="s">
        <v>49</v>
      </c>
      <c r="W449" s="42"/>
      <c r="X449" s="42"/>
      <c r="Y449" s="42"/>
      <c r="Z449" s="42"/>
      <c r="AA449" s="42"/>
      <c r="AB449" s="42"/>
      <c r="AC449" s="42"/>
      <c r="AD449" s="42"/>
      <c r="AE449" s="42"/>
      <c r="AF449" s="42"/>
      <c r="AG449" s="42"/>
      <c r="AH449" s="42"/>
      <c r="AI449" s="42">
        <f t="shared" si="3"/>
        <v>3</v>
      </c>
      <c r="AJ449" s="42"/>
      <c r="AK449" s="42"/>
    </row>
    <row r="450">
      <c r="A450" s="51" t="s">
        <v>1154</v>
      </c>
      <c r="B450" s="44" t="s">
        <v>637</v>
      </c>
      <c r="C450" s="44" t="s">
        <v>1028</v>
      </c>
      <c r="D450" s="44" t="s">
        <v>526</v>
      </c>
      <c r="E450" s="42"/>
      <c r="F450" s="42"/>
      <c r="G450" s="42"/>
      <c r="H450" s="42"/>
      <c r="I450" s="41" t="s">
        <v>1155</v>
      </c>
      <c r="J450" s="41">
        <v>2000.0</v>
      </c>
      <c r="K450" s="43" t="str">
        <f t="shared" si="1"/>
        <v>No Attunement Required, Power, 3</v>
      </c>
      <c r="L450" s="43" t="str">
        <f t="shared" si="2"/>
        <v>No Attunement Required</v>
      </c>
      <c r="M450" s="44" t="s">
        <v>32</v>
      </c>
      <c r="N450" s="42"/>
      <c r="O450" s="42"/>
      <c r="P450" s="42"/>
      <c r="Q450" s="42"/>
      <c r="R450" s="42"/>
      <c r="S450" s="42"/>
      <c r="T450" s="42"/>
      <c r="U450" s="42"/>
      <c r="V450" s="42"/>
      <c r="W450" s="42"/>
      <c r="X450" s="42"/>
      <c r="Y450" s="42"/>
      <c r="Z450" s="42"/>
      <c r="AA450" s="42"/>
      <c r="AB450" s="42"/>
      <c r="AC450" s="42"/>
      <c r="AD450" s="42"/>
      <c r="AE450" s="42"/>
      <c r="AF450" s="42"/>
      <c r="AG450" s="42"/>
      <c r="AH450" s="42"/>
      <c r="AI450" s="42">
        <f t="shared" si="3"/>
        <v>3</v>
      </c>
      <c r="AJ450" s="42"/>
      <c r="AK450" s="42"/>
    </row>
    <row r="451">
      <c r="A451" s="41" t="s">
        <v>1156</v>
      </c>
      <c r="B451" s="41" t="s">
        <v>973</v>
      </c>
      <c r="C451" s="41" t="s">
        <v>842</v>
      </c>
      <c r="D451" s="41" t="s">
        <v>529</v>
      </c>
      <c r="E451" s="41" t="s">
        <v>595</v>
      </c>
      <c r="F451" s="42"/>
      <c r="G451" s="42"/>
      <c r="H451" s="42"/>
      <c r="I451" s="41" t="s">
        <v>1157</v>
      </c>
      <c r="J451" s="41">
        <v>2000.0</v>
      </c>
      <c r="K451" s="43" t="str">
        <f t="shared" si="1"/>
        <v>Requires Attunement, Utility Gear, Grants Advantage, Flying, 4</v>
      </c>
      <c r="L451" s="43" t="str">
        <f t="shared" si="2"/>
        <v>Requires Attunement</v>
      </c>
      <c r="M451" s="44"/>
      <c r="N451" s="44" t="s">
        <v>47</v>
      </c>
      <c r="O451" s="42"/>
      <c r="P451" s="42"/>
      <c r="Q451" s="42"/>
      <c r="S451" s="42"/>
      <c r="T451" s="42"/>
      <c r="U451" s="44" t="s">
        <v>42</v>
      </c>
      <c r="V451" s="41" t="s">
        <v>49</v>
      </c>
      <c r="W451" s="42"/>
      <c r="X451" s="42"/>
      <c r="Y451" s="42"/>
      <c r="Z451" s="42"/>
      <c r="AA451" s="42"/>
      <c r="AB451" s="42"/>
      <c r="AC451" s="42"/>
      <c r="AD451" s="42"/>
      <c r="AE451" s="42"/>
      <c r="AF451" s="42"/>
      <c r="AG451" s="42"/>
      <c r="AH451" s="42"/>
      <c r="AI451" s="42">
        <f t="shared" si="3"/>
        <v>4</v>
      </c>
      <c r="AJ451" s="42"/>
      <c r="AK451" s="42"/>
    </row>
    <row r="452">
      <c r="A452" s="41" t="s">
        <v>1158</v>
      </c>
      <c r="B452" s="41" t="s">
        <v>1052</v>
      </c>
      <c r="C452" s="41" t="s">
        <v>842</v>
      </c>
      <c r="D452" s="41" t="s">
        <v>529</v>
      </c>
      <c r="E452" s="41" t="s">
        <v>595</v>
      </c>
      <c r="F452" s="44"/>
      <c r="G452" s="42"/>
      <c r="H452" s="42"/>
      <c r="I452" s="41" t="s">
        <v>1159</v>
      </c>
      <c r="J452" s="41">
        <v>2000.0</v>
      </c>
      <c r="K452" s="43" t="str">
        <f t="shared" si="1"/>
        <v>Requires Attunement, Utility Gear, Enspelled, Grants Advantage, 4</v>
      </c>
      <c r="L452" s="43" t="str">
        <f t="shared" si="2"/>
        <v>Requires Attunement</v>
      </c>
      <c r="M452" s="44"/>
      <c r="N452" s="44" t="s">
        <v>47</v>
      </c>
      <c r="O452" s="42"/>
      <c r="P452" s="41"/>
      <c r="Q452" s="41"/>
      <c r="R452" s="44"/>
      <c r="S452" s="42"/>
      <c r="T452" s="44" t="s">
        <v>611</v>
      </c>
      <c r="U452" s="44" t="s">
        <v>42</v>
      </c>
      <c r="V452" s="42"/>
      <c r="W452" s="42"/>
      <c r="X452" s="42"/>
      <c r="Y452" s="42"/>
      <c r="Z452" s="42"/>
      <c r="AA452" s="42"/>
      <c r="AB452" s="42"/>
      <c r="AC452" s="42"/>
      <c r="AD452" s="42"/>
      <c r="AE452" s="42"/>
      <c r="AF452" s="42"/>
      <c r="AG452" s="42"/>
      <c r="AH452" s="42"/>
      <c r="AI452" s="42">
        <f t="shared" si="3"/>
        <v>4</v>
      </c>
      <c r="AJ452" s="42"/>
      <c r="AK452" s="42"/>
    </row>
    <row r="453">
      <c r="A453" s="41" t="s">
        <v>1160</v>
      </c>
      <c r="B453" s="41" t="s">
        <v>525</v>
      </c>
      <c r="C453" s="41" t="s">
        <v>653</v>
      </c>
      <c r="D453" s="41" t="s">
        <v>529</v>
      </c>
      <c r="E453" s="41" t="s">
        <v>595</v>
      </c>
      <c r="F453" s="42"/>
      <c r="G453" s="42"/>
      <c r="H453" s="42"/>
      <c r="I453" s="41" t="s">
        <v>1161</v>
      </c>
      <c r="J453" s="41">
        <v>2100.0</v>
      </c>
      <c r="K453" s="43" t="str">
        <f t="shared" si="1"/>
        <v>Requires Attunement, Utility Gear, Grants Advantage, Resistance, 3</v>
      </c>
      <c r="L453" s="43" t="str">
        <f t="shared" si="2"/>
        <v>Requires Attunement</v>
      </c>
      <c r="M453" s="44"/>
      <c r="N453" s="44" t="s">
        <v>47</v>
      </c>
      <c r="O453" s="42"/>
      <c r="P453" s="42"/>
      <c r="Q453" s="42"/>
      <c r="R453" s="41"/>
      <c r="S453" s="42"/>
      <c r="T453" s="42"/>
      <c r="U453" s="44" t="s">
        <v>42</v>
      </c>
      <c r="V453" s="42"/>
      <c r="W453" s="41" t="s">
        <v>101</v>
      </c>
      <c r="X453" s="42"/>
      <c r="Y453" s="42"/>
      <c r="Z453" s="42"/>
      <c r="AA453" s="42"/>
      <c r="AB453" s="42"/>
      <c r="AC453" s="42"/>
      <c r="AD453" s="42"/>
      <c r="AE453" s="42"/>
      <c r="AF453" s="42"/>
      <c r="AG453" s="42"/>
      <c r="AH453" s="42"/>
      <c r="AI453" s="42">
        <f t="shared" si="3"/>
        <v>3</v>
      </c>
      <c r="AJ453" s="42"/>
      <c r="AK453" s="42"/>
    </row>
    <row r="454">
      <c r="A454" s="41" t="s">
        <v>1162</v>
      </c>
      <c r="B454" s="41" t="s">
        <v>525</v>
      </c>
      <c r="C454" s="41" t="s">
        <v>600</v>
      </c>
      <c r="D454" s="41" t="s">
        <v>569</v>
      </c>
      <c r="E454" s="41" t="s">
        <v>617</v>
      </c>
      <c r="F454" s="42"/>
      <c r="G454" s="42"/>
      <c r="H454" s="42"/>
      <c r="I454" s="41" t="s">
        <v>1163</v>
      </c>
      <c r="J454" s="41">
        <v>2150.0</v>
      </c>
      <c r="K454" s="43" t="str">
        <f t="shared" si="1"/>
        <v>Requires Attunement, Effect, Spellcaster, Wand, Enspelled, 2</v>
      </c>
      <c r="L454" s="43" t="str">
        <f t="shared" si="2"/>
        <v>Requires Attunement</v>
      </c>
      <c r="M454" s="41" t="s">
        <v>33</v>
      </c>
      <c r="N454" s="41" t="s">
        <v>619</v>
      </c>
      <c r="O454" s="42"/>
      <c r="P454" s="42"/>
      <c r="Q454" s="42"/>
      <c r="R454" s="44"/>
      <c r="S454" s="41" t="s">
        <v>569</v>
      </c>
      <c r="T454" s="44" t="s">
        <v>611</v>
      </c>
      <c r="U454" s="42"/>
      <c r="V454" s="42"/>
      <c r="W454" s="42"/>
      <c r="X454" s="42"/>
      <c r="Y454" s="42"/>
      <c r="Z454" s="42"/>
      <c r="AA454" s="42"/>
      <c r="AB454" s="42"/>
      <c r="AC454" s="42"/>
      <c r="AD454" s="42"/>
      <c r="AE454" s="42"/>
      <c r="AF454" s="42"/>
      <c r="AG454" s="42"/>
      <c r="AH454" s="42"/>
      <c r="AI454" s="42">
        <f t="shared" si="3"/>
        <v>2</v>
      </c>
      <c r="AJ454" s="42"/>
      <c r="AK454" s="42"/>
    </row>
    <row r="455">
      <c r="A455" s="41" t="s">
        <v>1164</v>
      </c>
      <c r="B455" s="41" t="s">
        <v>525</v>
      </c>
      <c r="C455" s="41" t="s">
        <v>653</v>
      </c>
      <c r="D455" s="41" t="s">
        <v>526</v>
      </c>
      <c r="E455" s="41" t="s">
        <v>595</v>
      </c>
      <c r="F455" s="42"/>
      <c r="G455" s="42"/>
      <c r="H455" s="42"/>
      <c r="I455" s="47" t="s">
        <v>1165</v>
      </c>
      <c r="J455" s="41">
        <v>2150.0</v>
      </c>
      <c r="K455" s="43" t="str">
        <f t="shared" si="1"/>
        <v>Requires Attunement, Effect, Generic Variant, Enspelled, 3</v>
      </c>
      <c r="L455" s="43" t="str">
        <f t="shared" si="2"/>
        <v>Requires Attunement</v>
      </c>
      <c r="M455" s="41" t="s">
        <v>33</v>
      </c>
      <c r="N455" s="42"/>
      <c r="O455" s="42"/>
      <c r="P455" s="42"/>
      <c r="Q455" s="42"/>
      <c r="R455" s="44"/>
      <c r="S455" s="41" t="s">
        <v>526</v>
      </c>
      <c r="T455" s="44" t="s">
        <v>611</v>
      </c>
      <c r="U455" s="42"/>
      <c r="V455" s="42"/>
      <c r="W455" s="42"/>
      <c r="X455" s="42"/>
      <c r="Y455" s="42"/>
      <c r="Z455" s="42"/>
      <c r="AA455" s="42"/>
      <c r="AB455" s="42"/>
      <c r="AC455" s="42"/>
      <c r="AD455" s="42"/>
      <c r="AE455" s="42"/>
      <c r="AF455" s="42"/>
      <c r="AG455" s="42"/>
      <c r="AH455" s="42"/>
      <c r="AI455" s="42">
        <f t="shared" si="3"/>
        <v>3</v>
      </c>
      <c r="AJ455" s="42"/>
      <c r="AK455" s="42"/>
    </row>
    <row r="456">
      <c r="A456" s="41" t="s">
        <v>1166</v>
      </c>
      <c r="B456" s="41" t="s">
        <v>525</v>
      </c>
      <c r="C456" s="41" t="s">
        <v>653</v>
      </c>
      <c r="D456" s="41" t="s">
        <v>331</v>
      </c>
      <c r="E456" s="41" t="s">
        <v>805</v>
      </c>
      <c r="F456" s="41" t="s">
        <v>443</v>
      </c>
      <c r="G456" s="41" t="s">
        <v>468</v>
      </c>
      <c r="H456" s="41" t="s">
        <v>307</v>
      </c>
      <c r="I456" s="41" t="s">
        <v>1167</v>
      </c>
      <c r="J456" s="41">
        <v>2150.0</v>
      </c>
      <c r="K456" s="43" t="str">
        <f t="shared" si="1"/>
        <v>Requires Attunement, Effect, Spellcaster, Simple Weapon, Enspelled, Melee Weapons, 3</v>
      </c>
      <c r="L456" s="43" t="str">
        <f t="shared" si="2"/>
        <v>Requires Attunement</v>
      </c>
      <c r="M456" s="41" t="s">
        <v>33</v>
      </c>
      <c r="N456" s="41" t="s">
        <v>619</v>
      </c>
      <c r="O456" s="42"/>
      <c r="P456" s="41" t="s">
        <v>336</v>
      </c>
      <c r="Q456" s="41"/>
      <c r="R456" s="44"/>
      <c r="S456" s="42"/>
      <c r="T456" s="44" t="s">
        <v>611</v>
      </c>
      <c r="U456" s="42"/>
      <c r="V456" s="42"/>
      <c r="W456" s="42"/>
      <c r="X456" s="42"/>
      <c r="Y456" s="42"/>
      <c r="Z456" s="42"/>
      <c r="AA456" s="42"/>
      <c r="AB456" s="42"/>
      <c r="AC456" s="42"/>
      <c r="AD456" s="42"/>
      <c r="AE456" s="42"/>
      <c r="AF456" s="41" t="s">
        <v>107</v>
      </c>
      <c r="AG456" s="42"/>
      <c r="AH456" s="42"/>
      <c r="AI456" s="42">
        <f t="shared" si="3"/>
        <v>3</v>
      </c>
      <c r="AJ456" s="42"/>
      <c r="AK456" s="42"/>
    </row>
    <row r="457">
      <c r="A457" s="41" t="s">
        <v>1168</v>
      </c>
      <c r="B457" s="41" t="s">
        <v>525</v>
      </c>
      <c r="C457" s="41" t="s">
        <v>653</v>
      </c>
      <c r="D457" s="41" t="s">
        <v>526</v>
      </c>
      <c r="E457" s="41" t="s">
        <v>595</v>
      </c>
      <c r="F457" s="42"/>
      <c r="G457" s="42"/>
      <c r="H457" s="42"/>
      <c r="I457" s="47" t="s">
        <v>1169</v>
      </c>
      <c r="J457" s="41">
        <v>2150.0</v>
      </c>
      <c r="K457" s="43" t="str">
        <f t="shared" si="1"/>
        <v>Requires Attunement, Effect, Generic Variant, Enspelled, 3</v>
      </c>
      <c r="L457" s="43" t="str">
        <f t="shared" si="2"/>
        <v>Requires Attunement</v>
      </c>
      <c r="M457" s="41" t="s">
        <v>33</v>
      </c>
      <c r="N457" s="42"/>
      <c r="O457" s="42"/>
      <c r="P457" s="42"/>
      <c r="Q457" s="42"/>
      <c r="R457" s="44"/>
      <c r="S457" s="41" t="s">
        <v>526</v>
      </c>
      <c r="T457" s="44" t="s">
        <v>611</v>
      </c>
      <c r="U457" s="42"/>
      <c r="V457" s="42"/>
      <c r="W457" s="42"/>
      <c r="X457" s="42"/>
      <c r="Y457" s="42"/>
      <c r="Z457" s="42"/>
      <c r="AA457" s="42"/>
      <c r="AB457" s="42"/>
      <c r="AC457" s="42"/>
      <c r="AD457" s="42"/>
      <c r="AE457" s="42"/>
      <c r="AF457" s="42"/>
      <c r="AG457" s="42"/>
      <c r="AH457" s="42"/>
      <c r="AI457" s="42">
        <f t="shared" si="3"/>
        <v>3</v>
      </c>
      <c r="AJ457" s="42"/>
      <c r="AK457" s="42"/>
    </row>
    <row r="458">
      <c r="A458" s="41" t="s">
        <v>1170</v>
      </c>
      <c r="B458" s="41" t="s">
        <v>525</v>
      </c>
      <c r="C458" s="41" t="s">
        <v>653</v>
      </c>
      <c r="D458" s="41" t="s">
        <v>529</v>
      </c>
      <c r="E458" s="42"/>
      <c r="F458" s="42"/>
      <c r="G458" s="42"/>
      <c r="H458" s="42"/>
      <c r="I458" s="41" t="s">
        <v>1171</v>
      </c>
      <c r="J458" s="41">
        <v>2150.0</v>
      </c>
      <c r="K458" s="43" t="str">
        <f t="shared" si="1"/>
        <v>No Attunement Required, 3</v>
      </c>
      <c r="L458" s="43" t="str">
        <f t="shared" si="2"/>
        <v>No Attunement Required</v>
      </c>
      <c r="M458" s="42"/>
      <c r="N458" s="42"/>
      <c r="O458" s="42"/>
      <c r="P458" s="42"/>
      <c r="Q458" s="42"/>
      <c r="S458" s="42"/>
      <c r="T458" s="42"/>
      <c r="U458" s="42"/>
      <c r="V458" s="42"/>
      <c r="W458" s="42"/>
      <c r="X458" s="42"/>
      <c r="Y458" s="42"/>
      <c r="Z458" s="42"/>
      <c r="AA458" s="42"/>
      <c r="AB458" s="42"/>
      <c r="AC458" s="42"/>
      <c r="AD458" s="42"/>
      <c r="AE458" s="42"/>
      <c r="AF458" s="42"/>
      <c r="AG458" s="42"/>
      <c r="AH458" s="42"/>
      <c r="AI458" s="42">
        <f t="shared" si="3"/>
        <v>3</v>
      </c>
      <c r="AJ458" s="42"/>
      <c r="AK458" s="42"/>
    </row>
    <row r="459">
      <c r="A459" s="41" t="s">
        <v>1172</v>
      </c>
      <c r="B459" s="41" t="s">
        <v>525</v>
      </c>
      <c r="C459" s="41" t="s">
        <v>842</v>
      </c>
      <c r="D459" s="41" t="s">
        <v>526</v>
      </c>
      <c r="E459" s="41" t="s">
        <v>595</v>
      </c>
      <c r="F459" s="42"/>
      <c r="G459" s="42"/>
      <c r="H459" s="42"/>
      <c r="I459" s="47" t="s">
        <v>1173</v>
      </c>
      <c r="J459" s="41">
        <v>2150.0</v>
      </c>
      <c r="K459" s="43" t="str">
        <f t="shared" si="1"/>
        <v>Requires Attunement, Effect, Generic Variant, Grants Advantage, Ranged Weapons, 4</v>
      </c>
      <c r="L459" s="43" t="str">
        <f t="shared" si="2"/>
        <v>Requires Attunement</v>
      </c>
      <c r="M459" s="41" t="s">
        <v>33</v>
      </c>
      <c r="N459" s="42"/>
      <c r="O459" s="42"/>
      <c r="P459" s="42"/>
      <c r="Q459" s="42"/>
      <c r="S459" s="44" t="s">
        <v>526</v>
      </c>
      <c r="T459" s="44"/>
      <c r="U459" s="44" t="s">
        <v>42</v>
      </c>
      <c r="V459" s="42"/>
      <c r="W459" s="42"/>
      <c r="X459" s="42"/>
      <c r="Y459" s="42"/>
      <c r="Z459" s="42"/>
      <c r="AA459" s="42"/>
      <c r="AB459" s="42"/>
      <c r="AC459" s="42"/>
      <c r="AD459" s="42"/>
      <c r="AE459" s="44" t="s">
        <v>106</v>
      </c>
      <c r="AF459" s="42"/>
      <c r="AG459" s="42"/>
      <c r="AH459" s="42"/>
      <c r="AI459" s="42">
        <f t="shared" si="3"/>
        <v>4</v>
      </c>
      <c r="AJ459" s="42"/>
      <c r="AK459" s="42"/>
    </row>
    <row r="460">
      <c r="A460" s="41" t="s">
        <v>1174</v>
      </c>
      <c r="B460" s="41" t="s">
        <v>609</v>
      </c>
      <c r="C460" s="41" t="s">
        <v>842</v>
      </c>
      <c r="D460" s="41" t="s">
        <v>23</v>
      </c>
      <c r="E460" s="41" t="s">
        <v>595</v>
      </c>
      <c r="F460" s="41" t="s">
        <v>477</v>
      </c>
      <c r="G460" s="42"/>
      <c r="H460" s="42"/>
      <c r="I460" s="41" t="s">
        <v>1175</v>
      </c>
      <c r="J460" s="41">
        <v>2150.0</v>
      </c>
      <c r="K460" s="43" t="str">
        <f t="shared" si="1"/>
        <v>Requires Attunement, Effect, Shield, Resistance, Armors, 4</v>
      </c>
      <c r="L460" s="43" t="str">
        <f t="shared" si="2"/>
        <v>Requires Attunement</v>
      </c>
      <c r="M460" s="41" t="s">
        <v>33</v>
      </c>
      <c r="N460" s="42"/>
      <c r="O460" s="46" t="s">
        <v>23</v>
      </c>
      <c r="P460" s="42"/>
      <c r="Q460" s="42"/>
      <c r="R460" s="47"/>
      <c r="S460" s="42"/>
      <c r="T460" s="42"/>
      <c r="U460" s="42"/>
      <c r="V460" s="42"/>
      <c r="W460" s="41" t="s">
        <v>101</v>
      </c>
      <c r="X460" s="42"/>
      <c r="Y460" s="42"/>
      <c r="Z460" s="42"/>
      <c r="AA460" s="42"/>
      <c r="AB460" s="42"/>
      <c r="AC460" s="42"/>
      <c r="AD460" s="42"/>
      <c r="AE460" s="42"/>
      <c r="AF460" s="42"/>
      <c r="AG460" s="44" t="s">
        <v>108</v>
      </c>
      <c r="AH460" s="42"/>
      <c r="AI460" s="42">
        <f t="shared" si="3"/>
        <v>4</v>
      </c>
      <c r="AJ460" s="42"/>
      <c r="AK460" s="42"/>
    </row>
    <row r="461">
      <c r="A461" s="41" t="s">
        <v>1176</v>
      </c>
      <c r="B461" s="41" t="s">
        <v>525</v>
      </c>
      <c r="C461" s="41" t="s">
        <v>842</v>
      </c>
      <c r="D461" s="41" t="s">
        <v>23</v>
      </c>
      <c r="E461" s="41" t="s">
        <v>595</v>
      </c>
      <c r="F461" s="41" t="s">
        <v>477</v>
      </c>
      <c r="G461" s="42"/>
      <c r="H461" s="42"/>
      <c r="I461" s="41" t="s">
        <v>1177</v>
      </c>
      <c r="J461" s="41">
        <v>2150.0</v>
      </c>
      <c r="K461" s="43" t="str">
        <f t="shared" si="1"/>
        <v>Requires Attunement, Effect, Shield, Grants Advantage, Imposes Disadvantage, Armors, 4</v>
      </c>
      <c r="L461" s="43" t="str">
        <f t="shared" si="2"/>
        <v>Requires Attunement</v>
      </c>
      <c r="M461" s="41" t="s">
        <v>33</v>
      </c>
      <c r="N461" s="42"/>
      <c r="O461" s="46" t="s">
        <v>23</v>
      </c>
      <c r="P461" s="42"/>
      <c r="Q461" s="42"/>
      <c r="R461" s="47"/>
      <c r="S461" s="42"/>
      <c r="T461" s="42"/>
      <c r="U461" s="44" t="s">
        <v>789</v>
      </c>
      <c r="V461" s="42"/>
      <c r="W461" s="42"/>
      <c r="X461" s="42"/>
      <c r="Y461" s="42"/>
      <c r="Z461" s="42"/>
      <c r="AA461" s="42"/>
      <c r="AB461" s="42"/>
      <c r="AC461" s="42"/>
      <c r="AD461" s="42"/>
      <c r="AE461" s="42"/>
      <c r="AF461" s="42"/>
      <c r="AG461" s="44" t="s">
        <v>108</v>
      </c>
      <c r="AH461" s="42"/>
      <c r="AI461" s="42">
        <f t="shared" si="3"/>
        <v>4</v>
      </c>
      <c r="AJ461" s="42"/>
      <c r="AK461" s="42"/>
    </row>
    <row r="462">
      <c r="A462" s="41" t="s">
        <v>1178</v>
      </c>
      <c r="B462" s="41" t="s">
        <v>841</v>
      </c>
      <c r="C462" s="41" t="s">
        <v>842</v>
      </c>
      <c r="D462" s="41" t="s">
        <v>529</v>
      </c>
      <c r="E462" s="41" t="s">
        <v>595</v>
      </c>
      <c r="F462" s="42"/>
      <c r="G462" s="42"/>
      <c r="H462" s="42"/>
      <c r="I462" s="41" t="s">
        <v>1179</v>
      </c>
      <c r="J462" s="41">
        <v>2150.0</v>
      </c>
      <c r="K462" s="43" t="str">
        <f t="shared" si="1"/>
        <v>Requires Attunement, Bonus Damage, Resistance, 4</v>
      </c>
      <c r="L462" s="43" t="str">
        <f t="shared" si="2"/>
        <v>Requires Attunement</v>
      </c>
      <c r="M462" s="42"/>
      <c r="N462" s="42"/>
      <c r="O462" s="42"/>
      <c r="P462" s="42"/>
      <c r="Q462" s="42"/>
      <c r="R462" s="46" t="s">
        <v>44</v>
      </c>
      <c r="S462" s="42"/>
      <c r="T462" s="42"/>
      <c r="U462" s="42"/>
      <c r="V462" s="42"/>
      <c r="W462" s="41" t="s">
        <v>101</v>
      </c>
      <c r="X462" s="42"/>
      <c r="Y462" s="42"/>
      <c r="Z462" s="42"/>
      <c r="AA462" s="42"/>
      <c r="AB462" s="42"/>
      <c r="AC462" s="42"/>
      <c r="AD462" s="42"/>
      <c r="AE462" s="42"/>
      <c r="AF462" s="42"/>
      <c r="AG462" s="42"/>
      <c r="AH462" s="42"/>
      <c r="AI462" s="42">
        <f t="shared" si="3"/>
        <v>4</v>
      </c>
      <c r="AJ462" s="42"/>
      <c r="AK462" s="42"/>
    </row>
    <row r="463">
      <c r="A463" s="41" t="s">
        <v>1180</v>
      </c>
      <c r="B463" s="41" t="s">
        <v>841</v>
      </c>
      <c r="C463" s="41" t="s">
        <v>897</v>
      </c>
      <c r="D463" s="41" t="s">
        <v>23</v>
      </c>
      <c r="E463" s="41" t="s">
        <v>595</v>
      </c>
      <c r="F463" s="41" t="s">
        <v>477</v>
      </c>
      <c r="G463" s="42"/>
      <c r="H463" s="42"/>
      <c r="I463" s="41" t="s">
        <v>1181</v>
      </c>
      <c r="J463" s="41">
        <v>2150.0</v>
      </c>
      <c r="K463" s="43" t="str">
        <f t="shared" si="1"/>
        <v>Requires Attunement, Effect, Shield, Armors, 5</v>
      </c>
      <c r="L463" s="43" t="str">
        <f t="shared" si="2"/>
        <v>Requires Attunement</v>
      </c>
      <c r="M463" s="41" t="s">
        <v>33</v>
      </c>
      <c r="N463" s="42"/>
      <c r="O463" s="46" t="s">
        <v>23</v>
      </c>
      <c r="P463" s="42"/>
      <c r="Q463" s="42"/>
      <c r="R463" s="43"/>
      <c r="S463" s="42"/>
      <c r="T463" s="42"/>
      <c r="U463" s="42"/>
      <c r="V463" s="42"/>
      <c r="W463" s="42"/>
      <c r="X463" s="42"/>
      <c r="Y463" s="42"/>
      <c r="Z463" s="42"/>
      <c r="AA463" s="42"/>
      <c r="AB463" s="42"/>
      <c r="AC463" s="42"/>
      <c r="AD463" s="42"/>
      <c r="AE463" s="42"/>
      <c r="AF463" s="42"/>
      <c r="AG463" s="44" t="s">
        <v>108</v>
      </c>
      <c r="AH463" s="42"/>
      <c r="AI463" s="42">
        <f t="shared" si="3"/>
        <v>5</v>
      </c>
      <c r="AJ463" s="42"/>
      <c r="AK463" s="42"/>
    </row>
    <row r="464">
      <c r="A464" s="41" t="s">
        <v>1182</v>
      </c>
      <c r="B464" s="44" t="s">
        <v>637</v>
      </c>
      <c r="C464" s="44" t="s">
        <v>897</v>
      </c>
      <c r="D464" s="44" t="s">
        <v>526</v>
      </c>
      <c r="E464" s="42"/>
      <c r="F464" s="42"/>
      <c r="G464" s="42"/>
      <c r="H464" s="42"/>
      <c r="I464" s="41" t="s">
        <v>1183</v>
      </c>
      <c r="J464" s="41">
        <v>2500.0</v>
      </c>
      <c r="K464" s="43" t="str">
        <f t="shared" si="1"/>
        <v>No Attunement Required, 5</v>
      </c>
      <c r="L464" s="43" t="str">
        <f t="shared" si="2"/>
        <v>No Attunement Required</v>
      </c>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f t="shared" si="3"/>
        <v>5</v>
      </c>
      <c r="AJ464" s="42"/>
      <c r="AK464" s="42"/>
    </row>
    <row r="465">
      <c r="A465" s="41" t="s">
        <v>1184</v>
      </c>
      <c r="B465" s="41" t="s">
        <v>525</v>
      </c>
      <c r="C465" s="41" t="s">
        <v>897</v>
      </c>
      <c r="D465" s="41" t="s">
        <v>529</v>
      </c>
      <c r="E465" s="41" t="s">
        <v>595</v>
      </c>
      <c r="F465" s="42"/>
      <c r="G465" s="42"/>
      <c r="H465" s="42"/>
      <c r="I465" s="41" t="s">
        <v>1185</v>
      </c>
      <c r="J465" s="41">
        <v>3350.0</v>
      </c>
      <c r="K465" s="43" t="str">
        <f t="shared" si="1"/>
        <v>Requires Attunement, Ioun Stones, 5</v>
      </c>
      <c r="L465" s="43" t="str">
        <f t="shared" si="2"/>
        <v>Requires Attunement</v>
      </c>
      <c r="M465" s="42"/>
      <c r="N465" s="42"/>
      <c r="O465" s="42"/>
      <c r="P465" s="42"/>
      <c r="Q465" s="42"/>
      <c r="R465" s="42"/>
      <c r="S465" s="42"/>
      <c r="T465" s="42"/>
      <c r="U465" s="42"/>
      <c r="V465" s="42"/>
      <c r="W465" s="42"/>
      <c r="X465" s="42"/>
      <c r="Y465" s="42"/>
      <c r="Z465" s="42"/>
      <c r="AA465" s="42"/>
      <c r="AB465" s="42"/>
      <c r="AC465" s="42"/>
      <c r="AD465" s="42"/>
      <c r="AE465" s="42"/>
      <c r="AF465" s="42"/>
      <c r="AG465" s="42"/>
      <c r="AH465" s="44" t="s">
        <v>53</v>
      </c>
      <c r="AI465" s="42">
        <f t="shared" si="3"/>
        <v>5</v>
      </c>
      <c r="AJ465" s="42"/>
      <c r="AK465" s="42"/>
    </row>
    <row r="466">
      <c r="A466" s="41" t="s">
        <v>1186</v>
      </c>
      <c r="B466" s="41" t="s">
        <v>594</v>
      </c>
      <c r="C466" s="41" t="s">
        <v>600</v>
      </c>
      <c r="D466" s="41" t="s">
        <v>529</v>
      </c>
      <c r="E466" s="41" t="s">
        <v>595</v>
      </c>
      <c r="F466" s="42"/>
      <c r="G466" s="42"/>
      <c r="H466" s="44" t="s">
        <v>1187</v>
      </c>
      <c r="I466" s="41" t="s">
        <v>1188</v>
      </c>
      <c r="J466" s="41" t="s">
        <v>1187</v>
      </c>
      <c r="K466" s="43" t="str">
        <f t="shared" si="1"/>
        <v>Requires Attunement, Artificer, 2</v>
      </c>
      <c r="L466" s="43" t="str">
        <f t="shared" si="2"/>
        <v>Requires Attunement</v>
      </c>
      <c r="M466" s="44"/>
      <c r="N466" s="44" t="s">
        <v>64</v>
      </c>
      <c r="O466" s="42"/>
      <c r="P466" s="42"/>
      <c r="Q466" s="42"/>
      <c r="R466" s="42"/>
      <c r="S466" s="42"/>
      <c r="T466" s="42"/>
      <c r="U466" s="42"/>
      <c r="V466" s="42"/>
      <c r="W466" s="42"/>
      <c r="X466" s="42"/>
      <c r="Y466" s="42"/>
      <c r="Z466" s="42"/>
      <c r="AA466" s="42"/>
      <c r="AB466" s="42"/>
      <c r="AC466" s="42"/>
      <c r="AD466" s="42"/>
      <c r="AE466" s="42"/>
      <c r="AF466" s="42"/>
      <c r="AG466" s="42"/>
      <c r="AH466" s="42"/>
      <c r="AI466" s="42">
        <f t="shared" si="3"/>
        <v>2</v>
      </c>
      <c r="AJ466" s="42"/>
      <c r="AK466" s="42"/>
    </row>
    <row r="467">
      <c r="A467" s="41" t="s">
        <v>1189</v>
      </c>
      <c r="B467" s="41" t="s">
        <v>594</v>
      </c>
      <c r="C467" s="41" t="s">
        <v>600</v>
      </c>
      <c r="D467" s="41" t="s">
        <v>529</v>
      </c>
      <c r="E467" s="42"/>
      <c r="F467" s="42"/>
      <c r="G467" s="42"/>
      <c r="H467" s="44" t="s">
        <v>1187</v>
      </c>
      <c r="I467" s="41" t="s">
        <v>1190</v>
      </c>
      <c r="J467" s="41" t="s">
        <v>1187</v>
      </c>
      <c r="K467" s="43" t="str">
        <f t="shared" si="1"/>
        <v>No Attunement Required, Artificer, Utility Gear, Grants Advantage, 2</v>
      </c>
      <c r="L467" s="43" t="str">
        <f t="shared" si="2"/>
        <v>No Attunement Required</v>
      </c>
      <c r="M467" s="44"/>
      <c r="N467" s="44" t="s">
        <v>1191</v>
      </c>
      <c r="O467" s="42"/>
      <c r="P467" s="41"/>
      <c r="Q467" s="41"/>
      <c r="R467" s="42"/>
      <c r="S467" s="42"/>
      <c r="T467" s="42"/>
      <c r="U467" s="44" t="s">
        <v>42</v>
      </c>
      <c r="V467" s="42"/>
      <c r="W467" s="42"/>
      <c r="X467" s="42"/>
      <c r="Y467" s="42"/>
      <c r="Z467" s="42"/>
      <c r="AA467" s="42"/>
      <c r="AB467" s="42"/>
      <c r="AC467" s="42"/>
      <c r="AD467" s="42"/>
      <c r="AE467" s="42"/>
      <c r="AF467" s="42"/>
      <c r="AG467" s="42"/>
      <c r="AH467" s="42"/>
      <c r="AI467" s="42">
        <f t="shared" si="3"/>
        <v>2</v>
      </c>
      <c r="AJ467" s="42"/>
      <c r="AK467" s="42"/>
    </row>
    <row r="468">
      <c r="A468" s="41" t="s">
        <v>1192</v>
      </c>
      <c r="B468" s="41" t="s">
        <v>594</v>
      </c>
      <c r="C468" s="41" t="s">
        <v>600</v>
      </c>
      <c r="D468" s="41" t="s">
        <v>522</v>
      </c>
      <c r="E468" s="41" t="s">
        <v>595</v>
      </c>
      <c r="F468" s="42"/>
      <c r="G468" s="42"/>
      <c r="H468" s="44" t="s">
        <v>1187</v>
      </c>
      <c r="I468" s="41" t="s">
        <v>1193</v>
      </c>
      <c r="J468" s="41" t="s">
        <v>1187</v>
      </c>
      <c r="K468" s="43" t="str">
        <f t="shared" si="1"/>
        <v>Requires Attunement, Artificer, Utility Gear, Rings, 2</v>
      </c>
      <c r="L468" s="43" t="str">
        <f t="shared" si="2"/>
        <v>Requires Attunement</v>
      </c>
      <c r="M468" s="44"/>
      <c r="N468" s="44" t="s">
        <v>1191</v>
      </c>
      <c r="O468" s="42"/>
      <c r="P468" s="42"/>
      <c r="Q468" s="42"/>
      <c r="S468" s="46" t="s">
        <v>36</v>
      </c>
      <c r="T468" s="42"/>
      <c r="U468" s="42"/>
      <c r="V468" s="42"/>
      <c r="W468" s="42"/>
      <c r="X468" s="42"/>
      <c r="Y468" s="42"/>
      <c r="Z468" s="42"/>
      <c r="AA468" s="42"/>
      <c r="AB468" s="42"/>
      <c r="AC468" s="42"/>
      <c r="AD468" s="42"/>
      <c r="AE468" s="42"/>
      <c r="AF468" s="42"/>
      <c r="AG468" s="42"/>
      <c r="AH468" s="42"/>
      <c r="AI468" s="42">
        <f t="shared" si="3"/>
        <v>2</v>
      </c>
      <c r="AJ468" s="42"/>
      <c r="AK468" s="42"/>
    </row>
    <row r="469">
      <c r="A469" s="41" t="s">
        <v>1194</v>
      </c>
      <c r="B469" s="41" t="s">
        <v>594</v>
      </c>
      <c r="C469" s="41" t="s">
        <v>600</v>
      </c>
      <c r="D469" s="41" t="s">
        <v>526</v>
      </c>
      <c r="E469" s="41" t="s">
        <v>595</v>
      </c>
      <c r="F469" s="42"/>
      <c r="G469" s="42"/>
      <c r="H469" s="44" t="s">
        <v>1187</v>
      </c>
      <c r="I469" s="47" t="s">
        <v>1195</v>
      </c>
      <c r="J469" s="41" t="s">
        <v>1187</v>
      </c>
      <c r="K469" s="43" t="str">
        <f t="shared" si="1"/>
        <v>Requires Attunement, Artificer, Generic Variant, 2</v>
      </c>
      <c r="L469" s="43" t="str">
        <f t="shared" si="2"/>
        <v>Requires Attunement</v>
      </c>
      <c r="M469" s="44"/>
      <c r="N469" s="44" t="s">
        <v>64</v>
      </c>
      <c r="O469" s="42"/>
      <c r="P469" s="42"/>
      <c r="Q469" s="41"/>
      <c r="S469" s="44" t="s">
        <v>526</v>
      </c>
      <c r="T469" s="44"/>
      <c r="U469" s="42"/>
      <c r="V469" s="42"/>
      <c r="W469" s="42"/>
      <c r="X469" s="42"/>
      <c r="Y469" s="42"/>
      <c r="Z469" s="42"/>
      <c r="AA469" s="42"/>
      <c r="AB469" s="42"/>
      <c r="AC469" s="42"/>
      <c r="AD469" s="42"/>
      <c r="AE469" s="42"/>
      <c r="AF469" s="42"/>
      <c r="AG469" s="42"/>
      <c r="AH469" s="42"/>
      <c r="AI469" s="42">
        <f t="shared" si="3"/>
        <v>2</v>
      </c>
      <c r="AJ469" s="42"/>
      <c r="AK469" s="42"/>
    </row>
    <row r="470">
      <c r="A470" s="41" t="s">
        <v>1196</v>
      </c>
      <c r="B470" s="41" t="s">
        <v>594</v>
      </c>
      <c r="C470" s="41" t="s">
        <v>600</v>
      </c>
      <c r="D470" s="41" t="s">
        <v>23</v>
      </c>
      <c r="E470" s="42"/>
      <c r="F470" s="41" t="s">
        <v>477</v>
      </c>
      <c r="G470" s="42"/>
      <c r="H470" s="44" t="s">
        <v>1187</v>
      </c>
      <c r="I470" s="41" t="s">
        <v>1197</v>
      </c>
      <c r="J470" s="41" t="s">
        <v>1187</v>
      </c>
      <c r="K470" s="43" t="str">
        <f t="shared" si="1"/>
        <v>No Attunement Required, Artificer, Shield, Bonus AC, 2</v>
      </c>
      <c r="L470" s="43" t="str">
        <f t="shared" si="2"/>
        <v>No Attunement Required</v>
      </c>
      <c r="M470" s="44"/>
      <c r="N470" s="44" t="s">
        <v>64</v>
      </c>
      <c r="O470" s="46" t="s">
        <v>23</v>
      </c>
      <c r="P470" s="44" t="s">
        <v>45</v>
      </c>
      <c r="Q470" s="42"/>
      <c r="S470" s="41"/>
      <c r="T470" s="41"/>
      <c r="U470" s="42"/>
      <c r="V470" s="42"/>
      <c r="W470" s="42"/>
      <c r="X470" s="42"/>
      <c r="Y470" s="42"/>
      <c r="Z470" s="42"/>
      <c r="AA470" s="42"/>
      <c r="AB470" s="42"/>
      <c r="AC470" s="42"/>
      <c r="AD470" s="42"/>
      <c r="AE470" s="42"/>
      <c r="AF470" s="42"/>
      <c r="AG470" s="42"/>
      <c r="AH470" s="42"/>
      <c r="AI470" s="42">
        <f t="shared" si="3"/>
        <v>2</v>
      </c>
      <c r="AJ470" s="42"/>
      <c r="AK470" s="42"/>
    </row>
    <row r="471">
      <c r="A471" s="41" t="s">
        <v>1198</v>
      </c>
      <c r="B471" s="41" t="s">
        <v>594</v>
      </c>
      <c r="C471" s="41" t="s">
        <v>600</v>
      </c>
      <c r="D471" s="41" t="s">
        <v>526</v>
      </c>
      <c r="E471" s="42"/>
      <c r="F471" s="42"/>
      <c r="G471" s="42"/>
      <c r="H471" s="44" t="s">
        <v>1187</v>
      </c>
      <c r="I471" s="47" t="s">
        <v>1199</v>
      </c>
      <c r="J471" s="41" t="s">
        <v>1187</v>
      </c>
      <c r="K471" s="43" t="str">
        <f t="shared" si="1"/>
        <v>No Attunement Required, Artificer, Generic Variant, 2</v>
      </c>
      <c r="L471" s="43" t="str">
        <f t="shared" si="2"/>
        <v>No Attunement Required</v>
      </c>
      <c r="M471" s="44"/>
      <c r="N471" s="44" t="s">
        <v>64</v>
      </c>
      <c r="O471" s="42"/>
      <c r="P471" s="45"/>
      <c r="Q471" s="42"/>
      <c r="S471" s="44" t="s">
        <v>526</v>
      </c>
      <c r="T471" s="44"/>
      <c r="U471" s="42"/>
      <c r="V471" s="42"/>
      <c r="W471" s="42"/>
      <c r="X471" s="42"/>
      <c r="Y471" s="42"/>
      <c r="Z471" s="42"/>
      <c r="AA471" s="42"/>
      <c r="AB471" s="42"/>
      <c r="AC471" s="42"/>
      <c r="AD471" s="42"/>
      <c r="AE471" s="42"/>
      <c r="AF471" s="42"/>
      <c r="AG471" s="42"/>
      <c r="AH471" s="42"/>
      <c r="AI471" s="42">
        <f t="shared" si="3"/>
        <v>2</v>
      </c>
      <c r="AJ471" s="42"/>
      <c r="AK471" s="42"/>
    </row>
    <row r="472">
      <c r="A472" s="41" t="s">
        <v>1200</v>
      </c>
      <c r="B472" s="41" t="s">
        <v>594</v>
      </c>
      <c r="C472" s="41" t="s">
        <v>653</v>
      </c>
      <c r="D472" s="41" t="s">
        <v>526</v>
      </c>
      <c r="E472" s="41" t="s">
        <v>595</v>
      </c>
      <c r="F472" s="42"/>
      <c r="G472" s="42"/>
      <c r="H472" s="44" t="s">
        <v>1187</v>
      </c>
      <c r="I472" s="41" t="s">
        <v>1201</v>
      </c>
      <c r="J472" s="41" t="s">
        <v>1187</v>
      </c>
      <c r="K472" s="43" t="str">
        <f t="shared" si="1"/>
        <v>Requires Attunement, Artificer, Generic Variant, Ranged Weapons, Melee Weapons, 3</v>
      </c>
      <c r="L472" s="43" t="str">
        <f t="shared" si="2"/>
        <v>Requires Attunement</v>
      </c>
      <c r="M472" s="41"/>
      <c r="N472" s="44" t="s">
        <v>64</v>
      </c>
      <c r="O472" s="42"/>
      <c r="P472" s="41"/>
      <c r="Q472" s="41"/>
      <c r="R472" s="42"/>
      <c r="S472" s="44" t="s">
        <v>526</v>
      </c>
      <c r="T472" s="44"/>
      <c r="U472" s="42"/>
      <c r="V472" s="42"/>
      <c r="W472" s="42"/>
      <c r="X472" s="42"/>
      <c r="Y472" s="42"/>
      <c r="Z472" s="42"/>
      <c r="AA472" s="42"/>
      <c r="AB472" s="42"/>
      <c r="AC472" s="42"/>
      <c r="AD472" s="42"/>
      <c r="AE472" s="44" t="s">
        <v>106</v>
      </c>
      <c r="AF472" s="44" t="s">
        <v>107</v>
      </c>
      <c r="AG472" s="42"/>
      <c r="AH472" s="42"/>
      <c r="AI472" s="42">
        <f t="shared" si="3"/>
        <v>3</v>
      </c>
      <c r="AJ472" s="42"/>
      <c r="AK472" s="42"/>
    </row>
    <row r="473">
      <c r="A473" s="42"/>
      <c r="B473" s="42"/>
      <c r="C473" s="42"/>
      <c r="D473" s="42"/>
      <c r="E473" s="42"/>
      <c r="F473" s="42"/>
      <c r="G473" s="42"/>
      <c r="H473" s="42"/>
      <c r="I473" s="47"/>
      <c r="J473" s="43"/>
      <c r="K473" s="43" t="str">
        <f t="shared" si="1"/>
        <v/>
      </c>
      <c r="L473" s="43" t="str">
        <f t="shared" si="2"/>
        <v/>
      </c>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f t="shared" si="3"/>
        <v>6</v>
      </c>
      <c r="AJ473" s="42"/>
      <c r="AK473" s="42"/>
    </row>
    <row r="474">
      <c r="A474" s="42"/>
      <c r="B474" s="42"/>
      <c r="C474" s="42"/>
      <c r="D474" s="42"/>
      <c r="E474" s="42"/>
      <c r="F474" s="42"/>
      <c r="G474" s="42"/>
      <c r="H474" s="42"/>
      <c r="I474" s="47"/>
      <c r="J474" s="43"/>
      <c r="K474" s="43" t="str">
        <f t="shared" si="1"/>
        <v/>
      </c>
      <c r="L474" s="43" t="str">
        <f t="shared" si="2"/>
        <v/>
      </c>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f t="shared" si="3"/>
        <v>6</v>
      </c>
      <c r="AJ474" s="42"/>
      <c r="AK474" s="42"/>
    </row>
    <row r="475">
      <c r="A475" s="42"/>
      <c r="B475" s="42"/>
      <c r="C475" s="42"/>
      <c r="D475" s="42"/>
      <c r="E475" s="42"/>
      <c r="F475" s="42"/>
      <c r="G475" s="42"/>
      <c r="H475" s="42"/>
      <c r="I475" s="47"/>
      <c r="J475" s="43"/>
      <c r="K475" s="43" t="str">
        <f t="shared" si="1"/>
        <v/>
      </c>
      <c r="L475" s="43" t="str">
        <f t="shared" si="2"/>
        <v/>
      </c>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f t="shared" si="3"/>
        <v>6</v>
      </c>
      <c r="AJ475" s="42"/>
      <c r="AK475" s="42"/>
    </row>
    <row r="476">
      <c r="A476" s="42"/>
      <c r="B476" s="42"/>
      <c r="C476" s="42"/>
      <c r="D476" s="42"/>
      <c r="E476" s="42"/>
      <c r="F476" s="42"/>
      <c r="G476" s="42"/>
      <c r="H476" s="42"/>
      <c r="I476" s="47"/>
      <c r="J476" s="43"/>
      <c r="K476" s="43" t="str">
        <f t="shared" si="1"/>
        <v/>
      </c>
      <c r="L476" s="43" t="str">
        <f t="shared" si="2"/>
        <v/>
      </c>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f t="shared" si="3"/>
        <v>6</v>
      </c>
      <c r="AJ476" s="42"/>
      <c r="AK476" s="42"/>
    </row>
    <row r="477">
      <c r="A477" s="42"/>
      <c r="B477" s="42"/>
      <c r="C477" s="42"/>
      <c r="D477" s="42"/>
      <c r="E477" s="42"/>
      <c r="F477" s="42"/>
      <c r="G477" s="42"/>
      <c r="H477" s="42"/>
      <c r="I477" s="47"/>
      <c r="J477" s="43"/>
      <c r="K477" s="43" t="str">
        <f t="shared" si="1"/>
        <v/>
      </c>
      <c r="L477" s="43" t="str">
        <f t="shared" si="2"/>
        <v/>
      </c>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f t="shared" si="3"/>
        <v>6</v>
      </c>
      <c r="AJ477" s="42"/>
      <c r="AK477" s="42"/>
    </row>
    <row r="478">
      <c r="A478" s="42"/>
      <c r="B478" s="42"/>
      <c r="C478" s="42"/>
      <c r="D478" s="42"/>
      <c r="E478" s="42"/>
      <c r="F478" s="42"/>
      <c r="G478" s="42"/>
      <c r="H478" s="42"/>
      <c r="I478" s="47"/>
      <c r="J478" s="43"/>
      <c r="K478" s="43" t="str">
        <f t="shared" si="1"/>
        <v/>
      </c>
      <c r="L478" s="43" t="str">
        <f t="shared" si="2"/>
        <v/>
      </c>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f t="shared" si="3"/>
        <v>6</v>
      </c>
      <c r="AJ478" s="42"/>
      <c r="AK478" s="42"/>
    </row>
    <row r="479">
      <c r="A479" s="42"/>
      <c r="B479" s="42"/>
      <c r="C479" s="42"/>
      <c r="D479" s="42"/>
      <c r="E479" s="42"/>
      <c r="F479" s="42"/>
      <c r="G479" s="42"/>
      <c r="H479" s="42"/>
      <c r="I479" s="47"/>
      <c r="J479" s="43"/>
      <c r="K479" s="43" t="str">
        <f t="shared" si="1"/>
        <v/>
      </c>
      <c r="L479" s="43" t="str">
        <f t="shared" si="2"/>
        <v/>
      </c>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f t="shared" si="3"/>
        <v>6</v>
      </c>
      <c r="AJ479" s="42"/>
      <c r="AK479" s="42"/>
    </row>
    <row r="480">
      <c r="A480" s="42"/>
      <c r="B480" s="42"/>
      <c r="C480" s="42"/>
      <c r="D480" s="42"/>
      <c r="E480" s="42"/>
      <c r="F480" s="42"/>
      <c r="G480" s="42"/>
      <c r="H480" s="42"/>
      <c r="I480" s="47"/>
      <c r="J480" s="43"/>
      <c r="K480" s="43" t="str">
        <f t="shared" si="1"/>
        <v/>
      </c>
      <c r="L480" s="43" t="str">
        <f t="shared" si="2"/>
        <v/>
      </c>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f t="shared" si="3"/>
        <v>6</v>
      </c>
      <c r="AJ480" s="42"/>
      <c r="AK480" s="42"/>
    </row>
    <row r="481">
      <c r="A481" s="42"/>
      <c r="B481" s="42"/>
      <c r="C481" s="42"/>
      <c r="D481" s="42"/>
      <c r="E481" s="42"/>
      <c r="F481" s="42"/>
      <c r="G481" s="42"/>
      <c r="H481" s="42"/>
      <c r="I481" s="47"/>
      <c r="J481" s="43"/>
      <c r="K481" s="43" t="str">
        <f t="shared" si="1"/>
        <v/>
      </c>
      <c r="L481" s="43" t="str">
        <f t="shared" si="2"/>
        <v/>
      </c>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f t="shared" si="3"/>
        <v>6</v>
      </c>
      <c r="AJ481" s="42"/>
      <c r="AK481" s="42"/>
    </row>
    <row r="482">
      <c r="A482" s="42"/>
      <c r="B482" s="42"/>
      <c r="C482" s="42"/>
      <c r="D482" s="42"/>
      <c r="E482" s="42"/>
      <c r="F482" s="42"/>
      <c r="G482" s="42"/>
      <c r="H482" s="42"/>
      <c r="I482" s="47"/>
      <c r="J482" s="43"/>
      <c r="K482" s="43" t="str">
        <f t="shared" si="1"/>
        <v/>
      </c>
      <c r="L482" s="43" t="str">
        <f t="shared" si="2"/>
        <v/>
      </c>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f t="shared" si="3"/>
        <v>6</v>
      </c>
      <c r="AJ482" s="42"/>
      <c r="AK482" s="42"/>
    </row>
    <row r="483">
      <c r="A483" s="42"/>
      <c r="B483" s="42"/>
      <c r="C483" s="42"/>
      <c r="D483" s="42"/>
      <c r="E483" s="42"/>
      <c r="F483" s="42"/>
      <c r="G483" s="42"/>
      <c r="H483" s="42"/>
      <c r="I483" s="47"/>
      <c r="J483" s="43"/>
      <c r="K483" s="43" t="str">
        <f t="shared" si="1"/>
        <v/>
      </c>
      <c r="L483" s="43" t="str">
        <f t="shared" si="2"/>
        <v/>
      </c>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f t="shared" si="3"/>
        <v>6</v>
      </c>
      <c r="AJ483" s="42"/>
      <c r="AK483" s="42"/>
    </row>
    <row r="484">
      <c r="A484" s="42"/>
      <c r="B484" s="42"/>
      <c r="C484" s="42"/>
      <c r="D484" s="42"/>
      <c r="E484" s="42"/>
      <c r="F484" s="42"/>
      <c r="G484" s="42"/>
      <c r="H484" s="42"/>
      <c r="I484" s="47"/>
      <c r="J484" s="43"/>
      <c r="K484" s="43" t="str">
        <f t="shared" si="1"/>
        <v/>
      </c>
      <c r="L484" s="43" t="str">
        <f t="shared" si="2"/>
        <v/>
      </c>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f t="shared" si="3"/>
        <v>6</v>
      </c>
      <c r="AJ484" s="42"/>
      <c r="AK484" s="42"/>
    </row>
    <row r="485">
      <c r="A485" s="42"/>
      <c r="B485" s="42"/>
      <c r="C485" s="42"/>
      <c r="D485" s="42"/>
      <c r="E485" s="42"/>
      <c r="F485" s="42"/>
      <c r="G485" s="42"/>
      <c r="H485" s="42"/>
      <c r="I485" s="47"/>
      <c r="J485" s="43"/>
      <c r="K485" s="43" t="str">
        <f t="shared" si="1"/>
        <v/>
      </c>
      <c r="L485" s="43" t="str">
        <f t="shared" si="2"/>
        <v/>
      </c>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f t="shared" si="3"/>
        <v>6</v>
      </c>
      <c r="AJ485" s="42"/>
      <c r="AK485" s="42"/>
    </row>
    <row r="486">
      <c r="A486" s="42"/>
      <c r="B486" s="42"/>
      <c r="C486" s="42"/>
      <c r="D486" s="42"/>
      <c r="E486" s="42"/>
      <c r="F486" s="42"/>
      <c r="G486" s="42"/>
      <c r="H486" s="42"/>
      <c r="I486" s="47"/>
      <c r="J486" s="43"/>
      <c r="K486" s="43" t="str">
        <f t="shared" si="1"/>
        <v/>
      </c>
      <c r="L486" s="43" t="str">
        <f t="shared" si="2"/>
        <v/>
      </c>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f t="shared" si="3"/>
        <v>6</v>
      </c>
      <c r="AJ486" s="42"/>
      <c r="AK486" s="42"/>
    </row>
    <row r="487">
      <c r="A487" s="42"/>
      <c r="B487" s="42"/>
      <c r="C487" s="42"/>
      <c r="D487" s="42"/>
      <c r="E487" s="42"/>
      <c r="F487" s="42"/>
      <c r="G487" s="42"/>
      <c r="H487" s="42"/>
      <c r="I487" s="47"/>
      <c r="J487" s="43"/>
      <c r="K487" s="43" t="str">
        <f t="shared" si="1"/>
        <v/>
      </c>
      <c r="L487" s="43" t="str">
        <f t="shared" si="2"/>
        <v/>
      </c>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f t="shared" si="3"/>
        <v>6</v>
      </c>
      <c r="AJ487" s="42"/>
      <c r="AK487" s="42"/>
    </row>
    <row r="488">
      <c r="A488" s="42"/>
      <c r="B488" s="42"/>
      <c r="C488" s="42"/>
      <c r="D488" s="42"/>
      <c r="E488" s="42"/>
      <c r="F488" s="42"/>
      <c r="G488" s="42"/>
      <c r="H488" s="42"/>
      <c r="I488" s="47"/>
      <c r="J488" s="43"/>
      <c r="K488" s="43" t="str">
        <f t="shared" si="1"/>
        <v/>
      </c>
      <c r="L488" s="43" t="str">
        <f t="shared" si="2"/>
        <v/>
      </c>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f t="shared" si="3"/>
        <v>6</v>
      </c>
      <c r="AJ488" s="42"/>
      <c r="AK488" s="42"/>
    </row>
    <row r="489">
      <c r="A489" s="42"/>
      <c r="B489" s="42"/>
      <c r="C489" s="42"/>
      <c r="D489" s="42"/>
      <c r="E489" s="42"/>
      <c r="F489" s="42"/>
      <c r="G489" s="42"/>
      <c r="H489" s="42"/>
      <c r="I489" s="47"/>
      <c r="J489" s="43"/>
      <c r="K489" s="43" t="str">
        <f t="shared" si="1"/>
        <v/>
      </c>
      <c r="L489" s="43" t="str">
        <f t="shared" si="2"/>
        <v/>
      </c>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f t="shared" si="3"/>
        <v>6</v>
      </c>
      <c r="AJ489" s="42"/>
      <c r="AK489" s="42"/>
    </row>
    <row r="490">
      <c r="A490" s="42"/>
      <c r="B490" s="42"/>
      <c r="C490" s="42"/>
      <c r="D490" s="42"/>
      <c r="E490" s="42"/>
      <c r="F490" s="42"/>
      <c r="G490" s="42"/>
      <c r="H490" s="42"/>
      <c r="I490" s="47"/>
      <c r="J490" s="43"/>
      <c r="K490" s="43" t="str">
        <f t="shared" si="1"/>
        <v/>
      </c>
      <c r="L490" s="43" t="str">
        <f t="shared" si="2"/>
        <v/>
      </c>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f t="shared" si="3"/>
        <v>6</v>
      </c>
      <c r="AJ490" s="42"/>
      <c r="AK490" s="42"/>
    </row>
    <row r="491">
      <c r="A491" s="42"/>
      <c r="B491" s="42"/>
      <c r="C491" s="42"/>
      <c r="D491" s="42"/>
      <c r="E491" s="42"/>
      <c r="F491" s="42"/>
      <c r="G491" s="42"/>
      <c r="H491" s="42"/>
      <c r="I491" s="47"/>
      <c r="J491" s="43"/>
      <c r="K491" s="43" t="str">
        <f t="shared" si="1"/>
        <v/>
      </c>
      <c r="L491" s="43" t="str">
        <f t="shared" si="2"/>
        <v/>
      </c>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f t="shared" si="3"/>
        <v>6</v>
      </c>
      <c r="AJ491" s="42"/>
      <c r="AK491" s="42"/>
    </row>
    <row r="492">
      <c r="A492" s="42"/>
      <c r="B492" s="42"/>
      <c r="C492" s="42"/>
      <c r="D492" s="42"/>
      <c r="E492" s="42"/>
      <c r="F492" s="42"/>
      <c r="G492" s="42"/>
      <c r="H492" s="42"/>
      <c r="I492" s="47"/>
      <c r="J492" s="43"/>
      <c r="K492" s="43" t="str">
        <f t="shared" si="1"/>
        <v/>
      </c>
      <c r="L492" s="43" t="str">
        <f t="shared" si="2"/>
        <v/>
      </c>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f t="shared" si="3"/>
        <v>6</v>
      </c>
      <c r="AJ492" s="42"/>
      <c r="AK492" s="42"/>
    </row>
    <row r="493">
      <c r="A493" s="42"/>
      <c r="B493" s="42"/>
      <c r="C493" s="42"/>
      <c r="D493" s="42"/>
      <c r="E493" s="42"/>
      <c r="F493" s="42"/>
      <c r="G493" s="42"/>
      <c r="H493" s="42"/>
      <c r="I493" s="47"/>
      <c r="J493" s="43"/>
      <c r="K493" s="43" t="str">
        <f t="shared" si="1"/>
        <v/>
      </c>
      <c r="L493" s="43" t="str">
        <f t="shared" si="2"/>
        <v/>
      </c>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f t="shared" si="3"/>
        <v>6</v>
      </c>
      <c r="AJ493" s="42"/>
      <c r="AK493" s="42"/>
    </row>
    <row r="494">
      <c r="A494" s="42"/>
      <c r="B494" s="42"/>
      <c r="C494" s="42"/>
      <c r="D494" s="42"/>
      <c r="E494" s="42"/>
      <c r="F494" s="42"/>
      <c r="G494" s="42"/>
      <c r="H494" s="42"/>
      <c r="I494" s="47"/>
      <c r="J494" s="43"/>
      <c r="K494" s="43" t="str">
        <f t="shared" si="1"/>
        <v/>
      </c>
      <c r="L494" s="43" t="str">
        <f t="shared" si="2"/>
        <v/>
      </c>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f t="shared" si="3"/>
        <v>6</v>
      </c>
      <c r="AJ494" s="42"/>
      <c r="AK494" s="42"/>
    </row>
    <row r="495">
      <c r="A495" s="42"/>
      <c r="B495" s="42"/>
      <c r="C495" s="42"/>
      <c r="D495" s="42"/>
      <c r="E495" s="42"/>
      <c r="F495" s="42"/>
      <c r="G495" s="42"/>
      <c r="H495" s="42"/>
      <c r="I495" s="47"/>
      <c r="J495" s="43"/>
      <c r="K495" s="43" t="str">
        <f t="shared" si="1"/>
        <v/>
      </c>
      <c r="L495" s="43" t="str">
        <f t="shared" si="2"/>
        <v/>
      </c>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f t="shared" si="3"/>
        <v>6</v>
      </c>
      <c r="AJ495" s="42"/>
      <c r="AK495" s="42"/>
    </row>
    <row r="496">
      <c r="A496" s="42"/>
      <c r="B496" s="42"/>
      <c r="C496" s="42"/>
      <c r="D496" s="42"/>
      <c r="E496" s="42"/>
      <c r="F496" s="42"/>
      <c r="G496" s="42"/>
      <c r="H496" s="42"/>
      <c r="I496" s="47"/>
      <c r="J496" s="43"/>
      <c r="K496" s="43" t="str">
        <f t="shared" si="1"/>
        <v/>
      </c>
      <c r="L496" s="43" t="str">
        <f t="shared" si="2"/>
        <v/>
      </c>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f t="shared" si="3"/>
        <v>6</v>
      </c>
      <c r="AJ496" s="42"/>
      <c r="AK496" s="42"/>
    </row>
    <row r="497">
      <c r="A497" s="42"/>
      <c r="B497" s="42"/>
      <c r="C497" s="42"/>
      <c r="D497" s="42"/>
      <c r="E497" s="42"/>
      <c r="F497" s="42"/>
      <c r="G497" s="42"/>
      <c r="H497" s="42"/>
      <c r="I497" s="47"/>
      <c r="J497" s="43"/>
      <c r="K497" s="43" t="str">
        <f t="shared" si="1"/>
        <v/>
      </c>
      <c r="L497" s="43" t="str">
        <f t="shared" si="2"/>
        <v/>
      </c>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f t="shared" si="3"/>
        <v>6</v>
      </c>
      <c r="AJ497" s="42"/>
      <c r="AK497" s="42"/>
    </row>
    <row r="498">
      <c r="A498" s="42"/>
      <c r="B498" s="42"/>
      <c r="C498" s="42"/>
      <c r="D498" s="42"/>
      <c r="E498" s="42"/>
      <c r="F498" s="42"/>
      <c r="G498" s="42"/>
      <c r="H498" s="42"/>
      <c r="I498" s="47"/>
      <c r="J498" s="43"/>
      <c r="K498" s="43" t="str">
        <f t="shared" si="1"/>
        <v/>
      </c>
      <c r="L498" s="43" t="str">
        <f t="shared" si="2"/>
        <v/>
      </c>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f t="shared" si="3"/>
        <v>6</v>
      </c>
      <c r="AJ498" s="42"/>
      <c r="AK498" s="42"/>
    </row>
    <row r="499">
      <c r="A499" s="42"/>
      <c r="B499" s="42"/>
      <c r="C499" s="42"/>
      <c r="D499" s="42"/>
      <c r="E499" s="42"/>
      <c r="F499" s="42"/>
      <c r="G499" s="42"/>
      <c r="H499" s="42"/>
      <c r="I499" s="47"/>
      <c r="J499" s="43"/>
      <c r="K499" s="43" t="str">
        <f t="shared" si="1"/>
        <v/>
      </c>
      <c r="L499" s="43" t="str">
        <f t="shared" si="2"/>
        <v/>
      </c>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f t="shared" si="3"/>
        <v>6</v>
      </c>
      <c r="AJ499" s="42"/>
      <c r="AK499" s="42"/>
    </row>
    <row r="500">
      <c r="A500" s="42"/>
      <c r="B500" s="42"/>
      <c r="C500" s="42"/>
      <c r="D500" s="42"/>
      <c r="E500" s="42"/>
      <c r="F500" s="42"/>
      <c r="G500" s="42"/>
      <c r="H500" s="42"/>
      <c r="I500" s="47"/>
      <c r="J500" s="43"/>
      <c r="K500" s="43" t="str">
        <f t="shared" si="1"/>
        <v/>
      </c>
      <c r="L500" s="43" t="str">
        <f t="shared" si="2"/>
        <v/>
      </c>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f t="shared" si="3"/>
        <v>6</v>
      </c>
      <c r="AJ500" s="42"/>
      <c r="AK500" s="42"/>
    </row>
    <row r="501">
      <c r="A501" s="42"/>
      <c r="B501" s="42"/>
      <c r="C501" s="42"/>
      <c r="D501" s="42"/>
      <c r="E501" s="42"/>
      <c r="F501" s="42"/>
      <c r="G501" s="42"/>
      <c r="H501" s="42"/>
      <c r="I501" s="47"/>
      <c r="J501" s="43"/>
      <c r="K501" s="43" t="str">
        <f t="shared" si="1"/>
        <v/>
      </c>
      <c r="L501" s="43" t="str">
        <f t="shared" si="2"/>
        <v/>
      </c>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f t="shared" si="3"/>
        <v>6</v>
      </c>
      <c r="AJ501" s="42"/>
      <c r="AK501" s="42"/>
    </row>
    <row r="502">
      <c r="A502" s="42"/>
      <c r="B502" s="42"/>
      <c r="C502" s="42"/>
      <c r="D502" s="42"/>
      <c r="E502" s="42"/>
      <c r="F502" s="42"/>
      <c r="G502" s="42"/>
      <c r="H502" s="42"/>
      <c r="I502" s="47"/>
      <c r="J502" s="43"/>
      <c r="K502" s="43" t="str">
        <f t="shared" si="1"/>
        <v/>
      </c>
      <c r="L502" s="43" t="str">
        <f t="shared" si="2"/>
        <v/>
      </c>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f t="shared" si="3"/>
        <v>6</v>
      </c>
      <c r="AJ502" s="42"/>
      <c r="AK502" s="42"/>
    </row>
    <row r="503">
      <c r="A503" s="42"/>
      <c r="B503" s="42"/>
      <c r="C503" s="42"/>
      <c r="D503" s="42"/>
      <c r="E503" s="42"/>
      <c r="F503" s="42"/>
      <c r="G503" s="42"/>
      <c r="H503" s="42"/>
      <c r="I503" s="47"/>
      <c r="J503" s="43"/>
      <c r="K503" s="43" t="str">
        <f t="shared" si="1"/>
        <v/>
      </c>
      <c r="L503" s="43" t="str">
        <f t="shared" si="2"/>
        <v/>
      </c>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f t="shared" si="3"/>
        <v>6</v>
      </c>
      <c r="AJ503" s="42"/>
      <c r="AK503" s="42"/>
    </row>
    <row r="504">
      <c r="A504" s="42"/>
      <c r="B504" s="42"/>
      <c r="C504" s="42"/>
      <c r="D504" s="42"/>
      <c r="E504" s="42"/>
      <c r="F504" s="42"/>
      <c r="G504" s="42"/>
      <c r="H504" s="42"/>
      <c r="I504" s="47"/>
      <c r="J504" s="43"/>
      <c r="K504" s="43" t="str">
        <f t="shared" si="1"/>
        <v/>
      </c>
      <c r="L504" s="43" t="str">
        <f t="shared" si="2"/>
        <v/>
      </c>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f t="shared" si="3"/>
        <v>6</v>
      </c>
      <c r="AJ504" s="42"/>
      <c r="AK504" s="42"/>
    </row>
    <row r="505">
      <c r="A505" s="42"/>
      <c r="B505" s="42"/>
      <c r="C505" s="42"/>
      <c r="D505" s="42"/>
      <c r="E505" s="42"/>
      <c r="F505" s="42"/>
      <c r="G505" s="42"/>
      <c r="H505" s="42"/>
      <c r="I505" s="47"/>
      <c r="J505" s="43"/>
      <c r="K505" s="43" t="str">
        <f t="shared" si="1"/>
        <v/>
      </c>
      <c r="L505" s="43" t="str">
        <f t="shared" si="2"/>
        <v/>
      </c>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f t="shared" si="3"/>
        <v>6</v>
      </c>
      <c r="AJ505" s="42"/>
      <c r="AK505" s="42"/>
    </row>
    <row r="506">
      <c r="A506" s="42"/>
      <c r="B506" s="42"/>
      <c r="C506" s="42"/>
      <c r="D506" s="42"/>
      <c r="E506" s="42"/>
      <c r="F506" s="42"/>
      <c r="G506" s="42"/>
      <c r="H506" s="42"/>
      <c r="I506" s="47"/>
      <c r="J506" s="43"/>
      <c r="K506" s="43" t="str">
        <f t="shared" si="1"/>
        <v/>
      </c>
      <c r="L506" s="43" t="str">
        <f t="shared" si="2"/>
        <v/>
      </c>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f t="shared" si="3"/>
        <v>6</v>
      </c>
      <c r="AJ506" s="42"/>
      <c r="AK506" s="42"/>
    </row>
    <row r="507">
      <c r="A507" s="42"/>
      <c r="B507" s="42"/>
      <c r="C507" s="42"/>
      <c r="D507" s="42"/>
      <c r="E507" s="42"/>
      <c r="F507" s="42"/>
      <c r="G507" s="42"/>
      <c r="H507" s="42"/>
      <c r="I507" s="47"/>
      <c r="J507" s="43"/>
      <c r="K507" s="43" t="str">
        <f t="shared" si="1"/>
        <v/>
      </c>
      <c r="L507" s="43" t="str">
        <f t="shared" si="2"/>
        <v/>
      </c>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f t="shared" si="3"/>
        <v>6</v>
      </c>
      <c r="AJ507" s="42"/>
      <c r="AK507" s="42"/>
    </row>
    <row r="508">
      <c r="A508" s="42"/>
      <c r="B508" s="42"/>
      <c r="C508" s="42"/>
      <c r="D508" s="42"/>
      <c r="E508" s="42"/>
      <c r="F508" s="42"/>
      <c r="G508" s="42"/>
      <c r="H508" s="42"/>
      <c r="I508" s="47"/>
      <c r="J508" s="43"/>
      <c r="K508" s="43" t="str">
        <f t="shared" si="1"/>
        <v/>
      </c>
      <c r="L508" s="43" t="str">
        <f t="shared" si="2"/>
        <v/>
      </c>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f t="shared" si="3"/>
        <v>6</v>
      </c>
      <c r="AJ508" s="42"/>
      <c r="AK508" s="42"/>
    </row>
    <row r="509">
      <c r="A509" s="42"/>
      <c r="B509" s="42"/>
      <c r="C509" s="42"/>
      <c r="D509" s="42"/>
      <c r="E509" s="42"/>
      <c r="F509" s="42"/>
      <c r="G509" s="42"/>
      <c r="H509" s="42"/>
      <c r="I509" s="47"/>
      <c r="J509" s="43"/>
      <c r="K509" s="43" t="str">
        <f t="shared" si="1"/>
        <v/>
      </c>
      <c r="L509" s="43" t="str">
        <f t="shared" si="2"/>
        <v/>
      </c>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f t="shared" si="3"/>
        <v>6</v>
      </c>
      <c r="AJ509" s="42"/>
      <c r="AK509" s="42"/>
    </row>
    <row r="510">
      <c r="A510" s="42"/>
      <c r="B510" s="42"/>
      <c r="C510" s="42"/>
      <c r="D510" s="42"/>
      <c r="E510" s="42"/>
      <c r="F510" s="42"/>
      <c r="G510" s="42"/>
      <c r="H510" s="42"/>
      <c r="I510" s="47"/>
      <c r="J510" s="43"/>
      <c r="K510" s="43" t="str">
        <f t="shared" si="1"/>
        <v/>
      </c>
      <c r="L510" s="43" t="str">
        <f t="shared" si="2"/>
        <v/>
      </c>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f t="shared" si="3"/>
        <v>6</v>
      </c>
      <c r="AJ510" s="42"/>
      <c r="AK510" s="42"/>
    </row>
    <row r="511">
      <c r="A511" s="42"/>
      <c r="B511" s="42"/>
      <c r="C511" s="42"/>
      <c r="D511" s="42"/>
      <c r="E511" s="42"/>
      <c r="F511" s="42"/>
      <c r="G511" s="42"/>
      <c r="H511" s="42"/>
      <c r="I511" s="47"/>
      <c r="J511" s="43"/>
      <c r="K511" s="43" t="str">
        <f t="shared" si="1"/>
        <v/>
      </c>
      <c r="L511" s="43" t="str">
        <f t="shared" si="2"/>
        <v/>
      </c>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f t="shared" si="3"/>
        <v>6</v>
      </c>
      <c r="AJ511" s="42"/>
      <c r="AK511" s="42"/>
    </row>
    <row r="512">
      <c r="A512" s="42"/>
      <c r="B512" s="42"/>
      <c r="C512" s="42"/>
      <c r="D512" s="42"/>
      <c r="E512" s="42"/>
      <c r="F512" s="42"/>
      <c r="G512" s="42"/>
      <c r="H512" s="42"/>
      <c r="I512" s="47"/>
      <c r="J512" s="43"/>
      <c r="K512" s="43" t="str">
        <f t="shared" si="1"/>
        <v/>
      </c>
      <c r="L512" s="43" t="str">
        <f t="shared" si="2"/>
        <v/>
      </c>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f t="shared" si="3"/>
        <v>6</v>
      </c>
      <c r="AJ512" s="42"/>
      <c r="AK512" s="42"/>
    </row>
    <row r="513">
      <c r="A513" s="42"/>
      <c r="B513" s="42"/>
      <c r="C513" s="42"/>
      <c r="D513" s="42"/>
      <c r="E513" s="42"/>
      <c r="F513" s="42"/>
      <c r="G513" s="42"/>
      <c r="H513" s="42"/>
      <c r="I513" s="47"/>
      <c r="J513" s="43"/>
      <c r="K513" s="43" t="str">
        <f t="shared" si="1"/>
        <v/>
      </c>
      <c r="L513" s="43" t="str">
        <f t="shared" si="2"/>
        <v/>
      </c>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f t="shared" si="3"/>
        <v>6</v>
      </c>
      <c r="AJ513" s="42"/>
      <c r="AK513" s="42"/>
    </row>
    <row r="514">
      <c r="A514" s="42"/>
      <c r="B514" s="42"/>
      <c r="C514" s="42"/>
      <c r="D514" s="42"/>
      <c r="E514" s="42"/>
      <c r="F514" s="42"/>
      <c r="G514" s="42"/>
      <c r="H514" s="42"/>
      <c r="I514" s="47"/>
      <c r="J514" s="43"/>
      <c r="K514" s="43" t="str">
        <f t="shared" si="1"/>
        <v/>
      </c>
      <c r="L514" s="43" t="str">
        <f t="shared" si="2"/>
        <v/>
      </c>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f t="shared" si="3"/>
        <v>6</v>
      </c>
      <c r="AJ514" s="42"/>
      <c r="AK514" s="42"/>
    </row>
    <row r="515">
      <c r="A515" s="42"/>
      <c r="B515" s="42"/>
      <c r="C515" s="42"/>
      <c r="D515" s="42"/>
      <c r="E515" s="42"/>
      <c r="F515" s="42"/>
      <c r="G515" s="42"/>
      <c r="H515" s="42"/>
      <c r="I515" s="47"/>
      <c r="J515" s="43"/>
      <c r="K515" s="43" t="str">
        <f t="shared" si="1"/>
        <v/>
      </c>
      <c r="L515" s="43" t="str">
        <f t="shared" si="2"/>
        <v/>
      </c>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f t="shared" si="3"/>
        <v>6</v>
      </c>
      <c r="AJ515" s="42"/>
      <c r="AK515" s="42"/>
    </row>
    <row r="516">
      <c r="A516" s="42"/>
      <c r="B516" s="42"/>
      <c r="C516" s="42"/>
      <c r="D516" s="42"/>
      <c r="E516" s="42"/>
      <c r="F516" s="42"/>
      <c r="G516" s="42"/>
      <c r="H516" s="42"/>
      <c r="I516" s="47"/>
      <c r="J516" s="43"/>
      <c r="K516" s="43" t="str">
        <f t="shared" si="1"/>
        <v/>
      </c>
      <c r="L516" s="43" t="str">
        <f t="shared" si="2"/>
        <v/>
      </c>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f t="shared" si="3"/>
        <v>6</v>
      </c>
      <c r="AJ516" s="42"/>
      <c r="AK516" s="42"/>
    </row>
    <row r="517">
      <c r="A517" s="42"/>
      <c r="B517" s="42"/>
      <c r="C517" s="42"/>
      <c r="D517" s="42"/>
      <c r="E517" s="42"/>
      <c r="F517" s="42"/>
      <c r="G517" s="42"/>
      <c r="H517" s="42"/>
      <c r="I517" s="47"/>
      <c r="J517" s="43"/>
      <c r="K517" s="43" t="str">
        <f t="shared" si="1"/>
        <v/>
      </c>
      <c r="L517" s="43" t="str">
        <f t="shared" si="2"/>
        <v/>
      </c>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f t="shared" si="3"/>
        <v>6</v>
      </c>
      <c r="AJ517" s="42"/>
      <c r="AK517" s="42"/>
    </row>
    <row r="518">
      <c r="A518" s="42"/>
      <c r="B518" s="42"/>
      <c r="C518" s="42"/>
      <c r="D518" s="42"/>
      <c r="E518" s="42"/>
      <c r="F518" s="42"/>
      <c r="G518" s="42"/>
      <c r="H518" s="42"/>
      <c r="I518" s="47"/>
      <c r="J518" s="43"/>
      <c r="K518" s="43" t="str">
        <f t="shared" si="1"/>
        <v/>
      </c>
      <c r="L518" s="43" t="str">
        <f t="shared" si="2"/>
        <v/>
      </c>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f t="shared" si="3"/>
        <v>6</v>
      </c>
      <c r="AJ518" s="42"/>
      <c r="AK518" s="42"/>
    </row>
    <row r="519">
      <c r="A519" s="42"/>
      <c r="B519" s="42"/>
      <c r="C519" s="42"/>
      <c r="D519" s="42"/>
      <c r="E519" s="42"/>
      <c r="F519" s="42"/>
      <c r="G519" s="42"/>
      <c r="H519" s="42"/>
      <c r="I519" s="47"/>
      <c r="J519" s="43"/>
      <c r="K519" s="43" t="str">
        <f t="shared" si="1"/>
        <v/>
      </c>
      <c r="L519" s="43" t="str">
        <f t="shared" si="2"/>
        <v/>
      </c>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f t="shared" si="3"/>
        <v>6</v>
      </c>
      <c r="AJ519" s="42"/>
      <c r="AK519" s="42"/>
    </row>
    <row r="520">
      <c r="A520" s="42"/>
      <c r="B520" s="42"/>
      <c r="C520" s="42"/>
      <c r="D520" s="42"/>
      <c r="E520" s="42"/>
      <c r="F520" s="42"/>
      <c r="G520" s="42"/>
      <c r="H520" s="42"/>
      <c r="I520" s="47"/>
      <c r="J520" s="43"/>
      <c r="K520" s="43" t="str">
        <f t="shared" si="1"/>
        <v/>
      </c>
      <c r="L520" s="43" t="str">
        <f t="shared" si="2"/>
        <v/>
      </c>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f t="shared" si="3"/>
        <v>6</v>
      </c>
      <c r="AJ520" s="42"/>
      <c r="AK520" s="42"/>
    </row>
    <row r="521">
      <c r="A521" s="42"/>
      <c r="B521" s="42"/>
      <c r="C521" s="42"/>
      <c r="D521" s="42"/>
      <c r="E521" s="42"/>
      <c r="F521" s="42"/>
      <c r="G521" s="42"/>
      <c r="H521" s="42"/>
      <c r="I521" s="47"/>
      <c r="J521" s="43"/>
      <c r="K521" s="43" t="str">
        <f t="shared" si="1"/>
        <v/>
      </c>
      <c r="L521" s="43" t="str">
        <f t="shared" si="2"/>
        <v/>
      </c>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f t="shared" si="3"/>
        <v>6</v>
      </c>
      <c r="AJ521" s="42"/>
      <c r="AK521" s="42"/>
    </row>
    <row r="522">
      <c r="A522" s="42"/>
      <c r="B522" s="42"/>
      <c r="C522" s="42"/>
      <c r="D522" s="42"/>
      <c r="E522" s="42"/>
      <c r="F522" s="42"/>
      <c r="G522" s="42"/>
      <c r="H522" s="42"/>
      <c r="I522" s="47"/>
      <c r="J522" s="43"/>
      <c r="K522" s="43" t="str">
        <f t="shared" si="1"/>
        <v/>
      </c>
      <c r="L522" s="43" t="str">
        <f t="shared" si="2"/>
        <v/>
      </c>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f t="shared" si="3"/>
        <v>6</v>
      </c>
      <c r="AJ522" s="42"/>
      <c r="AK522" s="42"/>
    </row>
    <row r="523">
      <c r="A523" s="42"/>
      <c r="B523" s="42"/>
      <c r="C523" s="42"/>
      <c r="D523" s="42"/>
      <c r="E523" s="42"/>
      <c r="F523" s="42"/>
      <c r="G523" s="42"/>
      <c r="H523" s="42"/>
      <c r="I523" s="47"/>
      <c r="J523" s="43"/>
      <c r="K523" s="43" t="str">
        <f t="shared" si="1"/>
        <v/>
      </c>
      <c r="L523" s="43" t="str">
        <f t="shared" si="2"/>
        <v/>
      </c>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f t="shared" si="3"/>
        <v>6</v>
      </c>
      <c r="AJ523" s="42"/>
      <c r="AK523" s="42"/>
    </row>
    <row r="524">
      <c r="A524" s="42"/>
      <c r="B524" s="42"/>
      <c r="C524" s="42"/>
      <c r="D524" s="42"/>
      <c r="E524" s="42"/>
      <c r="F524" s="42"/>
      <c r="G524" s="42"/>
      <c r="H524" s="42"/>
      <c r="I524" s="47"/>
      <c r="J524" s="43"/>
      <c r="K524" s="43" t="str">
        <f t="shared" si="1"/>
        <v/>
      </c>
      <c r="L524" s="43" t="str">
        <f t="shared" si="2"/>
        <v/>
      </c>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f t="shared" si="3"/>
        <v>6</v>
      </c>
      <c r="AJ524" s="42"/>
      <c r="AK524" s="42"/>
    </row>
    <row r="525">
      <c r="A525" s="42"/>
      <c r="B525" s="42"/>
      <c r="C525" s="42"/>
      <c r="D525" s="42"/>
      <c r="E525" s="42"/>
      <c r="F525" s="42"/>
      <c r="G525" s="42"/>
      <c r="H525" s="42"/>
      <c r="I525" s="47"/>
      <c r="J525" s="43"/>
      <c r="K525" s="43" t="str">
        <f t="shared" si="1"/>
        <v/>
      </c>
      <c r="L525" s="43" t="str">
        <f t="shared" si="2"/>
        <v/>
      </c>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f t="shared" si="3"/>
        <v>6</v>
      </c>
      <c r="AJ525" s="42"/>
      <c r="AK525" s="42"/>
    </row>
    <row r="526">
      <c r="A526" s="42"/>
      <c r="B526" s="42"/>
      <c r="C526" s="42"/>
      <c r="D526" s="42"/>
      <c r="E526" s="42"/>
      <c r="F526" s="42"/>
      <c r="G526" s="42"/>
      <c r="H526" s="42"/>
      <c r="I526" s="47"/>
      <c r="J526" s="43"/>
      <c r="K526" s="43" t="str">
        <f t="shared" si="1"/>
        <v/>
      </c>
      <c r="L526" s="43" t="str">
        <f t="shared" si="2"/>
        <v/>
      </c>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f t="shared" si="3"/>
        <v>6</v>
      </c>
      <c r="AJ526" s="42"/>
      <c r="AK526" s="42"/>
    </row>
    <row r="527">
      <c r="A527" s="42"/>
      <c r="B527" s="42"/>
      <c r="C527" s="42"/>
      <c r="D527" s="42"/>
      <c r="E527" s="42"/>
      <c r="F527" s="42"/>
      <c r="G527" s="42"/>
      <c r="H527" s="42"/>
      <c r="I527" s="47"/>
      <c r="J527" s="43"/>
      <c r="K527" s="43" t="str">
        <f t="shared" si="1"/>
        <v/>
      </c>
      <c r="L527" s="43" t="str">
        <f t="shared" si="2"/>
        <v/>
      </c>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f t="shared" si="3"/>
        <v>6</v>
      </c>
      <c r="AJ527" s="42"/>
      <c r="AK527" s="42"/>
    </row>
    <row r="528">
      <c r="A528" s="42"/>
      <c r="B528" s="42"/>
      <c r="C528" s="42"/>
      <c r="D528" s="42"/>
      <c r="E528" s="42"/>
      <c r="F528" s="42"/>
      <c r="G528" s="42"/>
      <c r="H528" s="42"/>
      <c r="I528" s="47"/>
      <c r="J528" s="43"/>
      <c r="K528" s="43" t="str">
        <f t="shared" si="1"/>
        <v/>
      </c>
      <c r="L528" s="43" t="str">
        <f t="shared" si="2"/>
        <v/>
      </c>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f t="shared" si="3"/>
        <v>6</v>
      </c>
      <c r="AJ528" s="42"/>
      <c r="AK528" s="42"/>
    </row>
    <row r="529">
      <c r="A529" s="42"/>
      <c r="B529" s="42"/>
      <c r="C529" s="42"/>
      <c r="D529" s="42"/>
      <c r="E529" s="42"/>
      <c r="F529" s="42"/>
      <c r="G529" s="42"/>
      <c r="H529" s="42"/>
      <c r="I529" s="47"/>
      <c r="J529" s="43"/>
      <c r="K529" s="43" t="str">
        <f t="shared" si="1"/>
        <v/>
      </c>
      <c r="L529" s="43" t="str">
        <f t="shared" si="2"/>
        <v/>
      </c>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f t="shared" si="3"/>
        <v>6</v>
      </c>
      <c r="AJ529" s="42"/>
      <c r="AK529" s="42"/>
    </row>
    <row r="530">
      <c r="A530" s="42"/>
      <c r="B530" s="42"/>
      <c r="C530" s="42"/>
      <c r="D530" s="42"/>
      <c r="E530" s="42"/>
      <c r="F530" s="42"/>
      <c r="G530" s="42"/>
      <c r="H530" s="42"/>
      <c r="I530" s="47"/>
      <c r="J530" s="43"/>
      <c r="K530" s="43" t="str">
        <f t="shared" si="1"/>
        <v/>
      </c>
      <c r="L530" s="43" t="str">
        <f t="shared" si="2"/>
        <v/>
      </c>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f t="shared" si="3"/>
        <v>6</v>
      </c>
      <c r="AJ530" s="42"/>
      <c r="AK530" s="42"/>
    </row>
    <row r="531">
      <c r="A531" s="42"/>
      <c r="B531" s="42"/>
      <c r="C531" s="42"/>
      <c r="D531" s="42"/>
      <c r="E531" s="42"/>
      <c r="F531" s="42"/>
      <c r="G531" s="42"/>
      <c r="H531" s="42"/>
      <c r="I531" s="47"/>
      <c r="J531" s="43"/>
      <c r="K531" s="43" t="str">
        <f t="shared" si="1"/>
        <v/>
      </c>
      <c r="L531" s="43" t="str">
        <f t="shared" si="2"/>
        <v/>
      </c>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f t="shared" si="3"/>
        <v>6</v>
      </c>
      <c r="AJ531" s="42"/>
      <c r="AK531" s="42"/>
    </row>
    <row r="532">
      <c r="A532" s="42"/>
      <c r="B532" s="42"/>
      <c r="C532" s="42"/>
      <c r="D532" s="42"/>
      <c r="E532" s="42"/>
      <c r="F532" s="42"/>
      <c r="G532" s="42"/>
      <c r="H532" s="42"/>
      <c r="I532" s="47"/>
      <c r="J532" s="43"/>
      <c r="K532" s="43" t="str">
        <f t="shared" si="1"/>
        <v/>
      </c>
      <c r="L532" s="43" t="str">
        <f t="shared" si="2"/>
        <v/>
      </c>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f t="shared" si="3"/>
        <v>6</v>
      </c>
      <c r="AJ532" s="42"/>
      <c r="AK532" s="42"/>
    </row>
    <row r="533">
      <c r="A533" s="42"/>
      <c r="B533" s="42"/>
      <c r="C533" s="42"/>
      <c r="D533" s="42"/>
      <c r="E533" s="42"/>
      <c r="F533" s="42"/>
      <c r="G533" s="42"/>
      <c r="H533" s="42"/>
      <c r="I533" s="47"/>
      <c r="J533" s="43"/>
      <c r="K533" s="43" t="str">
        <f t="shared" si="1"/>
        <v/>
      </c>
      <c r="L533" s="43" t="str">
        <f t="shared" si="2"/>
        <v/>
      </c>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f t="shared" si="3"/>
        <v>6</v>
      </c>
      <c r="AJ533" s="42"/>
      <c r="AK533" s="42"/>
    </row>
    <row r="534">
      <c r="A534" s="42"/>
      <c r="B534" s="42"/>
      <c r="C534" s="42"/>
      <c r="D534" s="42"/>
      <c r="E534" s="42"/>
      <c r="F534" s="42"/>
      <c r="G534" s="42"/>
      <c r="H534" s="42"/>
      <c r="I534" s="47"/>
      <c r="J534" s="43"/>
      <c r="K534" s="43" t="str">
        <f t="shared" si="1"/>
        <v/>
      </c>
      <c r="L534" s="43" t="str">
        <f t="shared" si="2"/>
        <v/>
      </c>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f t="shared" si="3"/>
        <v>6</v>
      </c>
      <c r="AJ534" s="42"/>
      <c r="AK534" s="42"/>
    </row>
    <row r="535">
      <c r="A535" s="42"/>
      <c r="B535" s="42"/>
      <c r="C535" s="42"/>
      <c r="D535" s="42"/>
      <c r="E535" s="42"/>
      <c r="F535" s="42"/>
      <c r="G535" s="42"/>
      <c r="H535" s="42"/>
      <c r="I535" s="47"/>
      <c r="J535" s="43"/>
      <c r="K535" s="43" t="str">
        <f t="shared" si="1"/>
        <v/>
      </c>
      <c r="L535" s="43" t="str">
        <f t="shared" si="2"/>
        <v/>
      </c>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f t="shared" si="3"/>
        <v>6</v>
      </c>
      <c r="AJ535" s="42"/>
      <c r="AK535" s="42"/>
    </row>
    <row r="536">
      <c r="A536" s="42"/>
      <c r="B536" s="42"/>
      <c r="C536" s="42"/>
      <c r="D536" s="42"/>
      <c r="E536" s="42"/>
      <c r="F536" s="42"/>
      <c r="G536" s="42"/>
      <c r="H536" s="42"/>
      <c r="I536" s="47"/>
      <c r="J536" s="43"/>
      <c r="K536" s="43" t="str">
        <f t="shared" si="1"/>
        <v/>
      </c>
      <c r="L536" s="43" t="str">
        <f t="shared" si="2"/>
        <v/>
      </c>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f t="shared" si="3"/>
        <v>6</v>
      </c>
      <c r="AJ536" s="42"/>
      <c r="AK536" s="42"/>
    </row>
    <row r="537">
      <c r="A537" s="42"/>
      <c r="B537" s="42"/>
      <c r="C537" s="42"/>
      <c r="D537" s="42"/>
      <c r="E537" s="42"/>
      <c r="F537" s="42"/>
      <c r="G537" s="42"/>
      <c r="H537" s="42"/>
      <c r="I537" s="47"/>
      <c r="J537" s="43"/>
      <c r="K537" s="43" t="str">
        <f t="shared" si="1"/>
        <v/>
      </c>
      <c r="L537" s="43" t="str">
        <f t="shared" si="2"/>
        <v/>
      </c>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f t="shared" si="3"/>
        <v>6</v>
      </c>
      <c r="AJ537" s="42"/>
      <c r="AK537" s="42"/>
    </row>
    <row r="538">
      <c r="A538" s="42"/>
      <c r="B538" s="42"/>
      <c r="C538" s="42"/>
      <c r="D538" s="42"/>
      <c r="E538" s="42"/>
      <c r="F538" s="42"/>
      <c r="G538" s="42"/>
      <c r="H538" s="42"/>
      <c r="I538" s="47"/>
      <c r="J538" s="43"/>
      <c r="K538" s="43" t="str">
        <f t="shared" si="1"/>
        <v/>
      </c>
      <c r="L538" s="43" t="str">
        <f t="shared" si="2"/>
        <v/>
      </c>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f t="shared" si="3"/>
        <v>6</v>
      </c>
      <c r="AJ538" s="42"/>
      <c r="AK538" s="42"/>
    </row>
    <row r="539">
      <c r="A539" s="42"/>
      <c r="B539" s="42"/>
      <c r="C539" s="42"/>
      <c r="D539" s="42"/>
      <c r="E539" s="42"/>
      <c r="F539" s="42"/>
      <c r="G539" s="42"/>
      <c r="H539" s="42"/>
      <c r="I539" s="47"/>
      <c r="J539" s="43"/>
      <c r="K539" s="43" t="str">
        <f t="shared" si="1"/>
        <v/>
      </c>
      <c r="L539" s="43" t="str">
        <f t="shared" si="2"/>
        <v/>
      </c>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f t="shared" si="3"/>
        <v>6</v>
      </c>
      <c r="AJ539" s="42"/>
      <c r="AK539" s="42"/>
    </row>
    <row r="540">
      <c r="A540" s="42"/>
      <c r="B540" s="42"/>
      <c r="C540" s="42"/>
      <c r="D540" s="42"/>
      <c r="E540" s="42"/>
      <c r="F540" s="42"/>
      <c r="G540" s="42"/>
      <c r="H540" s="42"/>
      <c r="I540" s="47"/>
      <c r="J540" s="43"/>
      <c r="K540" s="43" t="str">
        <f t="shared" si="1"/>
        <v/>
      </c>
      <c r="L540" s="43" t="str">
        <f t="shared" si="2"/>
        <v/>
      </c>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f t="shared" si="3"/>
        <v>6</v>
      </c>
      <c r="AJ540" s="42"/>
      <c r="AK540" s="42"/>
    </row>
    <row r="541">
      <c r="A541" s="42"/>
      <c r="B541" s="42"/>
      <c r="C541" s="42"/>
      <c r="D541" s="42"/>
      <c r="E541" s="42"/>
      <c r="F541" s="42"/>
      <c r="G541" s="42"/>
      <c r="H541" s="42"/>
      <c r="I541" s="47"/>
      <c r="J541" s="43"/>
      <c r="K541" s="43" t="str">
        <f t="shared" si="1"/>
        <v/>
      </c>
      <c r="L541" s="43" t="str">
        <f t="shared" si="2"/>
        <v/>
      </c>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f t="shared" si="3"/>
        <v>6</v>
      </c>
      <c r="AJ541" s="42"/>
      <c r="AK541" s="42"/>
    </row>
    <row r="542">
      <c r="A542" s="42"/>
      <c r="B542" s="42"/>
      <c r="C542" s="42"/>
      <c r="D542" s="42"/>
      <c r="E542" s="42"/>
      <c r="F542" s="42"/>
      <c r="G542" s="42"/>
      <c r="H542" s="42"/>
      <c r="I542" s="47"/>
      <c r="J542" s="43"/>
      <c r="K542" s="43" t="str">
        <f t="shared" si="1"/>
        <v/>
      </c>
      <c r="L542" s="43" t="str">
        <f t="shared" si="2"/>
        <v/>
      </c>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f t="shared" si="3"/>
        <v>6</v>
      </c>
      <c r="AJ542" s="42"/>
      <c r="AK542" s="42"/>
    </row>
    <row r="543">
      <c r="A543" s="42"/>
      <c r="B543" s="42"/>
      <c r="C543" s="42"/>
      <c r="D543" s="42"/>
      <c r="E543" s="42"/>
      <c r="F543" s="42"/>
      <c r="G543" s="42"/>
      <c r="H543" s="42"/>
      <c r="I543" s="47"/>
      <c r="J543" s="43"/>
      <c r="K543" s="43" t="str">
        <f t="shared" si="1"/>
        <v/>
      </c>
      <c r="L543" s="43" t="str">
        <f t="shared" si="2"/>
        <v/>
      </c>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f t="shared" si="3"/>
        <v>6</v>
      </c>
      <c r="AJ543" s="42"/>
      <c r="AK543" s="42"/>
    </row>
    <row r="544">
      <c r="A544" s="42"/>
      <c r="B544" s="42"/>
      <c r="C544" s="42"/>
      <c r="D544" s="42"/>
      <c r="E544" s="42"/>
      <c r="F544" s="42"/>
      <c r="G544" s="42"/>
      <c r="H544" s="42"/>
      <c r="I544" s="47"/>
      <c r="J544" s="43"/>
      <c r="K544" s="43" t="str">
        <f t="shared" si="1"/>
        <v/>
      </c>
      <c r="L544" s="43" t="str">
        <f t="shared" si="2"/>
        <v/>
      </c>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f t="shared" si="3"/>
        <v>6</v>
      </c>
      <c r="AJ544" s="42"/>
      <c r="AK544" s="42"/>
    </row>
    <row r="545">
      <c r="A545" s="42"/>
      <c r="B545" s="42"/>
      <c r="C545" s="42"/>
      <c r="D545" s="42"/>
      <c r="E545" s="42"/>
      <c r="F545" s="42"/>
      <c r="G545" s="42"/>
      <c r="H545" s="42"/>
      <c r="I545" s="47"/>
      <c r="J545" s="43"/>
      <c r="K545" s="43" t="str">
        <f t="shared" si="1"/>
        <v/>
      </c>
      <c r="L545" s="43" t="str">
        <f t="shared" si="2"/>
        <v/>
      </c>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f t="shared" si="3"/>
        <v>6</v>
      </c>
      <c r="AJ545" s="42"/>
      <c r="AK545" s="42"/>
    </row>
    <row r="546">
      <c r="A546" s="42"/>
      <c r="B546" s="42"/>
      <c r="C546" s="42"/>
      <c r="D546" s="42"/>
      <c r="E546" s="42"/>
      <c r="F546" s="42"/>
      <c r="G546" s="42"/>
      <c r="H546" s="42"/>
      <c r="I546" s="47"/>
      <c r="J546" s="43"/>
      <c r="K546" s="43" t="str">
        <f t="shared" si="1"/>
        <v/>
      </c>
      <c r="L546" s="43" t="str">
        <f t="shared" si="2"/>
        <v/>
      </c>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f t="shared" si="3"/>
        <v>6</v>
      </c>
      <c r="AJ546" s="42"/>
      <c r="AK546" s="42"/>
    </row>
    <row r="547">
      <c r="A547" s="42"/>
      <c r="B547" s="42"/>
      <c r="C547" s="42"/>
      <c r="D547" s="42"/>
      <c r="E547" s="42"/>
      <c r="F547" s="42"/>
      <c r="G547" s="42"/>
      <c r="H547" s="42"/>
      <c r="I547" s="47"/>
      <c r="J547" s="43"/>
      <c r="K547" s="43" t="str">
        <f t="shared" si="1"/>
        <v/>
      </c>
      <c r="L547" s="43" t="str">
        <f t="shared" si="2"/>
        <v/>
      </c>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f t="shared" si="3"/>
        <v>6</v>
      </c>
      <c r="AJ547" s="42"/>
      <c r="AK547" s="42"/>
    </row>
    <row r="548">
      <c r="A548" s="42"/>
      <c r="B548" s="42"/>
      <c r="C548" s="42"/>
      <c r="D548" s="42"/>
      <c r="E548" s="42"/>
      <c r="F548" s="42"/>
      <c r="G548" s="42"/>
      <c r="H548" s="42"/>
      <c r="I548" s="47"/>
      <c r="J548" s="43"/>
      <c r="K548" s="43" t="str">
        <f t="shared" si="1"/>
        <v/>
      </c>
      <c r="L548" s="43" t="str">
        <f t="shared" si="2"/>
        <v/>
      </c>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f t="shared" si="3"/>
        <v>6</v>
      </c>
      <c r="AJ548" s="42"/>
      <c r="AK548" s="42"/>
    </row>
    <row r="549">
      <c r="A549" s="42"/>
      <c r="B549" s="42"/>
      <c r="C549" s="42"/>
      <c r="D549" s="42"/>
      <c r="E549" s="42"/>
      <c r="F549" s="42"/>
      <c r="G549" s="42"/>
      <c r="H549" s="42"/>
      <c r="I549" s="47"/>
      <c r="J549" s="43"/>
      <c r="K549" s="43" t="str">
        <f t="shared" si="1"/>
        <v/>
      </c>
      <c r="L549" s="43" t="str">
        <f t="shared" si="2"/>
        <v/>
      </c>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f t="shared" si="3"/>
        <v>6</v>
      </c>
      <c r="AJ549" s="42"/>
      <c r="AK549" s="42"/>
    </row>
    <row r="550">
      <c r="A550" s="42"/>
      <c r="B550" s="42"/>
      <c r="C550" s="42"/>
      <c r="D550" s="42"/>
      <c r="E550" s="42"/>
      <c r="F550" s="42"/>
      <c r="G550" s="42"/>
      <c r="H550" s="42"/>
      <c r="I550" s="47"/>
      <c r="J550" s="43"/>
      <c r="K550" s="43" t="str">
        <f t="shared" si="1"/>
        <v/>
      </c>
      <c r="L550" s="43" t="str">
        <f t="shared" si="2"/>
        <v/>
      </c>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f t="shared" si="3"/>
        <v>6</v>
      </c>
      <c r="AJ550" s="42"/>
      <c r="AK550" s="42"/>
    </row>
    <row r="551">
      <c r="A551" s="42"/>
      <c r="B551" s="42"/>
      <c r="C551" s="42"/>
      <c r="D551" s="42"/>
      <c r="E551" s="42"/>
      <c r="F551" s="42"/>
      <c r="G551" s="42"/>
      <c r="H551" s="42"/>
      <c r="I551" s="47"/>
      <c r="J551" s="43"/>
      <c r="K551" s="43" t="str">
        <f t="shared" si="1"/>
        <v/>
      </c>
      <c r="L551" s="43" t="str">
        <f t="shared" si="2"/>
        <v/>
      </c>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f t="shared" si="3"/>
        <v>6</v>
      </c>
      <c r="AJ551" s="42"/>
      <c r="AK551" s="42"/>
    </row>
    <row r="552">
      <c r="A552" s="42"/>
      <c r="B552" s="42"/>
      <c r="C552" s="42"/>
      <c r="D552" s="42"/>
      <c r="E552" s="42"/>
      <c r="F552" s="42"/>
      <c r="G552" s="42"/>
      <c r="H552" s="42"/>
      <c r="I552" s="47"/>
      <c r="J552" s="43"/>
      <c r="K552" s="43" t="str">
        <f t="shared" si="1"/>
        <v/>
      </c>
      <c r="L552" s="43" t="str">
        <f t="shared" si="2"/>
        <v/>
      </c>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f t="shared" si="3"/>
        <v>6</v>
      </c>
      <c r="AJ552" s="42"/>
      <c r="AK552" s="42"/>
    </row>
    <row r="553">
      <c r="A553" s="42"/>
      <c r="B553" s="42"/>
      <c r="C553" s="42"/>
      <c r="D553" s="42"/>
      <c r="E553" s="42"/>
      <c r="F553" s="42"/>
      <c r="G553" s="42"/>
      <c r="H553" s="42"/>
      <c r="I553" s="47"/>
      <c r="J553" s="43"/>
      <c r="K553" s="43" t="str">
        <f t="shared" si="1"/>
        <v/>
      </c>
      <c r="L553" s="43" t="str">
        <f t="shared" si="2"/>
        <v/>
      </c>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f t="shared" si="3"/>
        <v>6</v>
      </c>
      <c r="AJ553" s="42"/>
      <c r="AK553" s="42"/>
    </row>
    <row r="554">
      <c r="A554" s="42"/>
      <c r="B554" s="42"/>
      <c r="C554" s="42"/>
      <c r="D554" s="42"/>
      <c r="E554" s="42"/>
      <c r="F554" s="42"/>
      <c r="G554" s="42"/>
      <c r="H554" s="42"/>
      <c r="I554" s="47"/>
      <c r="J554" s="43"/>
      <c r="K554" s="43" t="str">
        <f t="shared" si="1"/>
        <v/>
      </c>
      <c r="L554" s="43" t="str">
        <f t="shared" si="2"/>
        <v/>
      </c>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f t="shared" si="3"/>
        <v>6</v>
      </c>
      <c r="AJ554" s="42"/>
      <c r="AK554" s="42"/>
    </row>
    <row r="555">
      <c r="A555" s="42"/>
      <c r="B555" s="42"/>
      <c r="C555" s="42"/>
      <c r="D555" s="42"/>
      <c r="E555" s="42"/>
      <c r="F555" s="42"/>
      <c r="G555" s="42"/>
      <c r="H555" s="42"/>
      <c r="I555" s="47"/>
      <c r="J555" s="43"/>
      <c r="K555" s="43" t="str">
        <f t="shared" si="1"/>
        <v/>
      </c>
      <c r="L555" s="43" t="str">
        <f t="shared" si="2"/>
        <v/>
      </c>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f t="shared" si="3"/>
        <v>6</v>
      </c>
      <c r="AJ555" s="42"/>
      <c r="AK555" s="42"/>
    </row>
    <row r="556">
      <c r="A556" s="42"/>
      <c r="B556" s="42"/>
      <c r="C556" s="42"/>
      <c r="D556" s="42"/>
      <c r="E556" s="42"/>
      <c r="F556" s="42"/>
      <c r="G556" s="42"/>
      <c r="H556" s="42"/>
      <c r="I556" s="47"/>
      <c r="J556" s="43"/>
      <c r="K556" s="43" t="str">
        <f t="shared" si="1"/>
        <v/>
      </c>
      <c r="L556" s="43" t="str">
        <f t="shared" si="2"/>
        <v/>
      </c>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f t="shared" si="3"/>
        <v>6</v>
      </c>
      <c r="AJ556" s="42"/>
      <c r="AK556" s="42"/>
    </row>
    <row r="557">
      <c r="A557" s="42"/>
      <c r="B557" s="42"/>
      <c r="C557" s="42"/>
      <c r="D557" s="42"/>
      <c r="E557" s="42"/>
      <c r="F557" s="42"/>
      <c r="G557" s="42"/>
      <c r="H557" s="42"/>
      <c r="I557" s="47"/>
      <c r="J557" s="43"/>
      <c r="K557" s="43" t="str">
        <f t="shared" si="1"/>
        <v/>
      </c>
      <c r="L557" s="43" t="str">
        <f t="shared" si="2"/>
        <v/>
      </c>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f t="shared" si="3"/>
        <v>6</v>
      </c>
      <c r="AJ557" s="42"/>
      <c r="AK557" s="42"/>
    </row>
    <row r="558">
      <c r="A558" s="42"/>
      <c r="B558" s="42"/>
      <c r="C558" s="42"/>
      <c r="D558" s="42"/>
      <c r="E558" s="42"/>
      <c r="F558" s="42"/>
      <c r="G558" s="42"/>
      <c r="H558" s="42"/>
      <c r="I558" s="47"/>
      <c r="J558" s="43"/>
      <c r="K558" s="43" t="str">
        <f t="shared" si="1"/>
        <v/>
      </c>
      <c r="L558" s="43" t="str">
        <f t="shared" si="2"/>
        <v/>
      </c>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f t="shared" si="3"/>
        <v>6</v>
      </c>
      <c r="AJ558" s="42"/>
      <c r="AK558" s="42"/>
    </row>
    <row r="559">
      <c r="A559" s="42"/>
      <c r="B559" s="42"/>
      <c r="C559" s="42"/>
      <c r="D559" s="42"/>
      <c r="E559" s="42"/>
      <c r="F559" s="42"/>
      <c r="G559" s="42"/>
      <c r="H559" s="42"/>
      <c r="I559" s="47"/>
      <c r="J559" s="43"/>
      <c r="K559" s="43" t="str">
        <f t="shared" si="1"/>
        <v/>
      </c>
      <c r="L559" s="43" t="str">
        <f t="shared" si="2"/>
        <v/>
      </c>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f t="shared" si="3"/>
        <v>6</v>
      </c>
      <c r="AJ559" s="42"/>
      <c r="AK559" s="42"/>
    </row>
    <row r="560">
      <c r="A560" s="42"/>
      <c r="B560" s="42"/>
      <c r="C560" s="42"/>
      <c r="D560" s="42"/>
      <c r="E560" s="42"/>
      <c r="F560" s="42"/>
      <c r="G560" s="42"/>
      <c r="H560" s="42"/>
      <c r="I560" s="47"/>
      <c r="J560" s="43"/>
      <c r="K560" s="43" t="str">
        <f t="shared" si="1"/>
        <v/>
      </c>
      <c r="L560" s="43" t="str">
        <f t="shared" si="2"/>
        <v/>
      </c>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f t="shared" si="3"/>
        <v>6</v>
      </c>
      <c r="AJ560" s="42"/>
      <c r="AK560" s="42"/>
    </row>
    <row r="561">
      <c r="A561" s="42"/>
      <c r="B561" s="42"/>
      <c r="C561" s="42"/>
      <c r="D561" s="42"/>
      <c r="E561" s="42"/>
      <c r="F561" s="42"/>
      <c r="G561" s="42"/>
      <c r="H561" s="42"/>
      <c r="I561" s="47"/>
      <c r="J561" s="43"/>
      <c r="K561" s="43" t="str">
        <f t="shared" si="1"/>
        <v/>
      </c>
      <c r="L561" s="43" t="str">
        <f t="shared" si="2"/>
        <v/>
      </c>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f t="shared" si="3"/>
        <v>6</v>
      </c>
      <c r="AJ561" s="42"/>
      <c r="AK561" s="42"/>
    </row>
    <row r="562">
      <c r="A562" s="42"/>
      <c r="B562" s="42"/>
      <c r="C562" s="42"/>
      <c r="D562" s="42"/>
      <c r="E562" s="42"/>
      <c r="F562" s="42"/>
      <c r="G562" s="42"/>
      <c r="H562" s="42"/>
      <c r="I562" s="47"/>
      <c r="J562" s="43"/>
      <c r="K562" s="43" t="str">
        <f t="shared" si="1"/>
        <v/>
      </c>
      <c r="L562" s="43" t="str">
        <f t="shared" si="2"/>
        <v/>
      </c>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f t="shared" si="3"/>
        <v>6</v>
      </c>
      <c r="AJ562" s="42"/>
      <c r="AK562" s="42"/>
    </row>
    <row r="563">
      <c r="A563" s="42"/>
      <c r="B563" s="42"/>
      <c r="C563" s="42"/>
      <c r="D563" s="42"/>
      <c r="E563" s="42"/>
      <c r="F563" s="42"/>
      <c r="G563" s="42"/>
      <c r="H563" s="42"/>
      <c r="I563" s="47"/>
      <c r="J563" s="43"/>
      <c r="K563" s="43" t="str">
        <f t="shared" si="1"/>
        <v/>
      </c>
      <c r="L563" s="43" t="str">
        <f t="shared" si="2"/>
        <v/>
      </c>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f t="shared" si="3"/>
        <v>6</v>
      </c>
      <c r="AJ563" s="42"/>
      <c r="AK563" s="42"/>
    </row>
    <row r="564">
      <c r="A564" s="42"/>
      <c r="B564" s="42"/>
      <c r="C564" s="42"/>
      <c r="D564" s="42"/>
      <c r="E564" s="42"/>
      <c r="F564" s="42"/>
      <c r="G564" s="42"/>
      <c r="H564" s="42"/>
      <c r="I564" s="47"/>
      <c r="J564" s="43"/>
      <c r="K564" s="43" t="str">
        <f t="shared" si="1"/>
        <v/>
      </c>
      <c r="L564" s="43" t="str">
        <f t="shared" si="2"/>
        <v/>
      </c>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f t="shared" si="3"/>
        <v>6</v>
      </c>
      <c r="AJ564" s="42"/>
      <c r="AK564" s="42"/>
    </row>
    <row r="565">
      <c r="A565" s="42"/>
      <c r="B565" s="42"/>
      <c r="C565" s="42"/>
      <c r="D565" s="42"/>
      <c r="E565" s="42"/>
      <c r="F565" s="42"/>
      <c r="G565" s="42"/>
      <c r="H565" s="42"/>
      <c r="I565" s="47"/>
      <c r="J565" s="43"/>
      <c r="K565" s="43" t="str">
        <f t="shared" si="1"/>
        <v/>
      </c>
      <c r="L565" s="43" t="str">
        <f t="shared" si="2"/>
        <v/>
      </c>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f t="shared" si="3"/>
        <v>6</v>
      </c>
      <c r="AJ565" s="42"/>
      <c r="AK565" s="42"/>
    </row>
    <row r="566">
      <c r="A566" s="42"/>
      <c r="B566" s="42"/>
      <c r="C566" s="42"/>
      <c r="D566" s="42"/>
      <c r="E566" s="42"/>
      <c r="F566" s="42"/>
      <c r="G566" s="42"/>
      <c r="H566" s="42"/>
      <c r="I566" s="47"/>
      <c r="J566" s="43"/>
      <c r="K566" s="43" t="str">
        <f t="shared" si="1"/>
        <v/>
      </c>
      <c r="L566" s="43" t="str">
        <f t="shared" si="2"/>
        <v/>
      </c>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f t="shared" si="3"/>
        <v>6</v>
      </c>
      <c r="AJ566" s="42"/>
      <c r="AK566" s="42"/>
    </row>
    <row r="567">
      <c r="A567" s="42"/>
      <c r="B567" s="42"/>
      <c r="C567" s="42"/>
      <c r="D567" s="42"/>
      <c r="E567" s="42"/>
      <c r="F567" s="42"/>
      <c r="G567" s="42"/>
      <c r="H567" s="42"/>
      <c r="I567" s="47"/>
      <c r="J567" s="43"/>
      <c r="K567" s="43" t="str">
        <f t="shared" si="1"/>
        <v/>
      </c>
      <c r="L567" s="43" t="str">
        <f t="shared" si="2"/>
        <v/>
      </c>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f t="shared" si="3"/>
        <v>6</v>
      </c>
      <c r="AJ567" s="42"/>
      <c r="AK567" s="42"/>
    </row>
    <row r="568">
      <c r="A568" s="42"/>
      <c r="B568" s="42"/>
      <c r="C568" s="42"/>
      <c r="D568" s="42"/>
      <c r="E568" s="42"/>
      <c r="F568" s="42"/>
      <c r="G568" s="42"/>
      <c r="H568" s="42"/>
      <c r="I568" s="47"/>
      <c r="J568" s="43"/>
      <c r="K568" s="43" t="str">
        <f t="shared" si="1"/>
        <v/>
      </c>
      <c r="L568" s="43" t="str">
        <f t="shared" si="2"/>
        <v/>
      </c>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f t="shared" si="3"/>
        <v>6</v>
      </c>
      <c r="AJ568" s="42"/>
      <c r="AK568" s="42"/>
    </row>
    <row r="569">
      <c r="A569" s="42"/>
      <c r="B569" s="42"/>
      <c r="C569" s="42"/>
      <c r="D569" s="42"/>
      <c r="E569" s="42"/>
      <c r="F569" s="42"/>
      <c r="G569" s="42"/>
      <c r="H569" s="42"/>
      <c r="I569" s="47"/>
      <c r="J569" s="43"/>
      <c r="K569" s="43" t="str">
        <f t="shared" si="1"/>
        <v/>
      </c>
      <c r="L569" s="43" t="str">
        <f t="shared" si="2"/>
        <v/>
      </c>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f t="shared" si="3"/>
        <v>6</v>
      </c>
      <c r="AJ569" s="42"/>
      <c r="AK569" s="42"/>
    </row>
    <row r="570">
      <c r="A570" s="42"/>
      <c r="B570" s="42"/>
      <c r="C570" s="42"/>
      <c r="D570" s="42"/>
      <c r="E570" s="42"/>
      <c r="F570" s="42"/>
      <c r="G570" s="42"/>
      <c r="H570" s="42"/>
      <c r="I570" s="47"/>
      <c r="J570" s="43"/>
      <c r="K570" s="43" t="str">
        <f t="shared" si="1"/>
        <v/>
      </c>
      <c r="L570" s="43" t="str">
        <f t="shared" si="2"/>
        <v/>
      </c>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f t="shared" si="3"/>
        <v>6</v>
      </c>
      <c r="AJ570" s="42"/>
      <c r="AK570" s="42"/>
    </row>
    <row r="571">
      <c r="A571" s="42"/>
      <c r="B571" s="42"/>
      <c r="C571" s="42"/>
      <c r="D571" s="42"/>
      <c r="E571" s="42"/>
      <c r="F571" s="42"/>
      <c r="G571" s="42"/>
      <c r="H571" s="42"/>
      <c r="I571" s="47"/>
      <c r="J571" s="43"/>
      <c r="K571" s="43" t="str">
        <f t="shared" si="1"/>
        <v/>
      </c>
      <c r="L571" s="43" t="str">
        <f t="shared" si="2"/>
        <v/>
      </c>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f t="shared" si="3"/>
        <v>6</v>
      </c>
      <c r="AJ571" s="42"/>
      <c r="AK571" s="42"/>
    </row>
    <row r="572">
      <c r="A572" s="42"/>
      <c r="B572" s="42"/>
      <c r="C572" s="42"/>
      <c r="D572" s="42"/>
      <c r="E572" s="42"/>
      <c r="F572" s="42"/>
      <c r="G572" s="42"/>
      <c r="H572" s="42"/>
      <c r="I572" s="47"/>
      <c r="J572" s="43"/>
      <c r="K572" s="43" t="str">
        <f t="shared" si="1"/>
        <v/>
      </c>
      <c r="L572" s="43" t="str">
        <f t="shared" si="2"/>
        <v/>
      </c>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f t="shared" si="3"/>
        <v>6</v>
      </c>
      <c r="AJ572" s="42"/>
      <c r="AK572" s="42"/>
    </row>
    <row r="573">
      <c r="A573" s="42"/>
      <c r="B573" s="42"/>
      <c r="C573" s="42"/>
      <c r="D573" s="42"/>
      <c r="E573" s="42"/>
      <c r="F573" s="42"/>
      <c r="G573" s="42"/>
      <c r="H573" s="42"/>
      <c r="I573" s="47"/>
      <c r="J573" s="43"/>
      <c r="K573" s="43" t="str">
        <f t="shared" si="1"/>
        <v/>
      </c>
      <c r="L573" s="43" t="str">
        <f t="shared" si="2"/>
        <v/>
      </c>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f t="shared" si="3"/>
        <v>6</v>
      </c>
      <c r="AJ573" s="42"/>
      <c r="AK573" s="42"/>
    </row>
    <row r="574">
      <c r="B574" s="42"/>
      <c r="C574" s="42"/>
      <c r="D574" s="42"/>
      <c r="E574" s="42"/>
      <c r="F574" s="42"/>
      <c r="G574" s="42"/>
      <c r="H574" s="42"/>
      <c r="I574" s="47"/>
      <c r="J574" s="43"/>
      <c r="K574" s="43" t="str">
        <f t="shared" si="1"/>
        <v/>
      </c>
      <c r="L574" s="43" t="str">
        <f t="shared" si="2"/>
        <v/>
      </c>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f t="shared" si="3"/>
        <v>6</v>
      </c>
      <c r="AJ574" s="42"/>
      <c r="AK574" s="42"/>
    </row>
    <row r="575">
      <c r="I575" s="52"/>
      <c r="K575" s="43" t="str">
        <f t="shared" si="1"/>
        <v/>
      </c>
      <c r="L575" s="43" t="str">
        <f t="shared" si="2"/>
        <v/>
      </c>
      <c r="AI575" s="42">
        <f t="shared" si="3"/>
        <v>6</v>
      </c>
    </row>
    <row r="576">
      <c r="I576" s="52"/>
      <c r="K576" s="43" t="str">
        <f t="shared" si="1"/>
        <v/>
      </c>
      <c r="L576" s="43" t="str">
        <f t="shared" si="2"/>
        <v/>
      </c>
      <c r="AI576" s="42">
        <f t="shared" si="3"/>
        <v>6</v>
      </c>
    </row>
    <row r="577">
      <c r="I577" s="52"/>
      <c r="K577" s="43" t="str">
        <f t="shared" si="1"/>
        <v/>
      </c>
      <c r="L577" s="43" t="str">
        <f t="shared" si="2"/>
        <v/>
      </c>
      <c r="AI577" s="42">
        <f t="shared" si="3"/>
        <v>6</v>
      </c>
    </row>
    <row r="578">
      <c r="I578" s="52"/>
      <c r="K578" s="43" t="str">
        <f t="shared" si="1"/>
        <v/>
      </c>
      <c r="L578" s="43" t="str">
        <f t="shared" si="2"/>
        <v/>
      </c>
      <c r="AI578" s="42">
        <f t="shared" si="3"/>
        <v>6</v>
      </c>
    </row>
    <row r="579">
      <c r="I579" s="52"/>
      <c r="K579" s="43" t="str">
        <f t="shared" si="1"/>
        <v/>
      </c>
      <c r="L579" s="43" t="str">
        <f t="shared" si="2"/>
        <v/>
      </c>
      <c r="AI579" s="42">
        <f t="shared" si="3"/>
        <v>6</v>
      </c>
    </row>
    <row r="580">
      <c r="I580" s="52"/>
      <c r="K580" s="43" t="str">
        <f t="shared" si="1"/>
        <v/>
      </c>
      <c r="L580" s="43" t="str">
        <f t="shared" si="2"/>
        <v/>
      </c>
      <c r="AI580" s="42">
        <f t="shared" si="3"/>
        <v>6</v>
      </c>
    </row>
    <row r="581">
      <c r="I581" s="52"/>
      <c r="K581" s="43" t="str">
        <f t="shared" si="1"/>
        <v/>
      </c>
      <c r="L581" s="43" t="str">
        <f t="shared" si="2"/>
        <v/>
      </c>
      <c r="AI581" s="42">
        <f t="shared" si="3"/>
        <v>6</v>
      </c>
    </row>
    <row r="582">
      <c r="I582" s="52"/>
      <c r="K582" s="43" t="str">
        <f t="shared" si="1"/>
        <v/>
      </c>
      <c r="L582" s="43" t="str">
        <f t="shared" si="2"/>
        <v/>
      </c>
      <c r="AI582" s="42">
        <f t="shared" si="3"/>
        <v>6</v>
      </c>
    </row>
    <row r="583">
      <c r="I583" s="52"/>
      <c r="K583" s="43" t="str">
        <f t="shared" si="1"/>
        <v/>
      </c>
      <c r="L583" s="43" t="str">
        <f t="shared" si="2"/>
        <v/>
      </c>
      <c r="AI583" s="42">
        <f t="shared" si="3"/>
        <v>6</v>
      </c>
    </row>
    <row r="584">
      <c r="I584" s="52"/>
      <c r="K584" s="43" t="str">
        <f t="shared" si="1"/>
        <v/>
      </c>
      <c r="L584" s="43" t="str">
        <f t="shared" si="2"/>
        <v/>
      </c>
      <c r="AI584" s="42">
        <f t="shared" si="3"/>
        <v>6</v>
      </c>
    </row>
    <row r="585">
      <c r="I585" s="52"/>
      <c r="K585" s="43" t="str">
        <f t="shared" si="1"/>
        <v/>
      </c>
      <c r="L585" s="43" t="str">
        <f t="shared" si="2"/>
        <v/>
      </c>
      <c r="AI585" s="42">
        <f t="shared" si="3"/>
        <v>6</v>
      </c>
    </row>
    <row r="586">
      <c r="I586" s="52"/>
      <c r="K586" s="43" t="str">
        <f t="shared" si="1"/>
        <v/>
      </c>
      <c r="L586" s="43" t="str">
        <f t="shared" si="2"/>
        <v/>
      </c>
      <c r="AI586" s="42">
        <f t="shared" si="3"/>
        <v>6</v>
      </c>
    </row>
    <row r="587">
      <c r="I587" s="52"/>
      <c r="K587" s="43" t="str">
        <f t="shared" si="1"/>
        <v/>
      </c>
      <c r="L587" s="43" t="str">
        <f t="shared" si="2"/>
        <v/>
      </c>
      <c r="AI587" s="42">
        <f t="shared" si="3"/>
        <v>6</v>
      </c>
    </row>
    <row r="588">
      <c r="I588" s="52"/>
      <c r="K588" s="43" t="str">
        <f t="shared" si="1"/>
        <v/>
      </c>
      <c r="L588" s="43" t="str">
        <f t="shared" si="2"/>
        <v/>
      </c>
      <c r="AI588" s="42">
        <f t="shared" si="3"/>
        <v>6</v>
      </c>
    </row>
    <row r="589">
      <c r="I589" s="52"/>
      <c r="K589" s="43" t="str">
        <f t="shared" si="1"/>
        <v/>
      </c>
      <c r="L589" s="43" t="str">
        <f t="shared" si="2"/>
        <v/>
      </c>
      <c r="AI589" s="42">
        <f t="shared" si="3"/>
        <v>6</v>
      </c>
    </row>
    <row r="590">
      <c r="I590" s="52"/>
      <c r="K590" s="43" t="str">
        <f t="shared" si="1"/>
        <v/>
      </c>
      <c r="L590" s="43" t="str">
        <f t="shared" si="2"/>
        <v/>
      </c>
      <c r="AI590" s="42">
        <f t="shared" si="3"/>
        <v>6</v>
      </c>
    </row>
    <row r="591">
      <c r="I591" s="52"/>
      <c r="K591" s="43" t="str">
        <f t="shared" si="1"/>
        <v/>
      </c>
      <c r="L591" s="43" t="str">
        <f t="shared" si="2"/>
        <v/>
      </c>
      <c r="AI591" s="42">
        <f t="shared" si="3"/>
        <v>6</v>
      </c>
    </row>
    <row r="592">
      <c r="I592" s="52"/>
      <c r="K592" s="43" t="str">
        <f t="shared" si="1"/>
        <v/>
      </c>
      <c r="L592" s="43" t="str">
        <f t="shared" si="2"/>
        <v/>
      </c>
      <c r="AI592" s="42">
        <f t="shared" si="3"/>
        <v>6</v>
      </c>
    </row>
    <row r="593">
      <c r="I593" s="52"/>
      <c r="K593" s="43" t="str">
        <f t="shared" si="1"/>
        <v/>
      </c>
      <c r="L593" s="43" t="str">
        <f t="shared" si="2"/>
        <v/>
      </c>
      <c r="AI593" s="42">
        <f t="shared" si="3"/>
        <v>6</v>
      </c>
    </row>
    <row r="594">
      <c r="I594" s="52"/>
      <c r="K594" s="43" t="str">
        <f t="shared" si="1"/>
        <v/>
      </c>
      <c r="L594" s="43" t="str">
        <f t="shared" si="2"/>
        <v/>
      </c>
      <c r="AI594" s="42">
        <f t="shared" si="3"/>
        <v>6</v>
      </c>
    </row>
    <row r="595">
      <c r="I595" s="52"/>
      <c r="K595" s="43" t="str">
        <f t="shared" si="1"/>
        <v/>
      </c>
      <c r="L595" s="43" t="str">
        <f t="shared" si="2"/>
        <v/>
      </c>
      <c r="AI595" s="42">
        <f t="shared" si="3"/>
        <v>6</v>
      </c>
    </row>
    <row r="596">
      <c r="I596" s="52"/>
      <c r="K596" s="43" t="str">
        <f t="shared" si="1"/>
        <v/>
      </c>
      <c r="L596" s="43" t="str">
        <f t="shared" si="2"/>
        <v/>
      </c>
      <c r="AI596" s="42">
        <f t="shared" si="3"/>
        <v>6</v>
      </c>
    </row>
    <row r="597">
      <c r="I597" s="52"/>
      <c r="K597" s="43" t="str">
        <f t="shared" si="1"/>
        <v/>
      </c>
      <c r="L597" s="43" t="str">
        <f t="shared" si="2"/>
        <v/>
      </c>
      <c r="AI597" s="42">
        <f t="shared" si="3"/>
        <v>6</v>
      </c>
    </row>
    <row r="598">
      <c r="I598" s="52"/>
      <c r="K598" s="43" t="str">
        <f t="shared" si="1"/>
        <v/>
      </c>
      <c r="L598" s="43" t="str">
        <f t="shared" si="2"/>
        <v/>
      </c>
    </row>
    <row r="599">
      <c r="I599" s="52"/>
      <c r="K599" s="43" t="str">
        <f t="shared" si="1"/>
        <v/>
      </c>
      <c r="L599" s="43" t="str">
        <f t="shared" si="2"/>
        <v/>
      </c>
    </row>
    <row r="600">
      <c r="I600" s="52"/>
      <c r="K600" s="43" t="str">
        <f t="shared" si="1"/>
        <v/>
      </c>
      <c r="L600" s="43" t="str">
        <f t="shared" si="2"/>
        <v/>
      </c>
    </row>
    <row r="601">
      <c r="I601" s="52"/>
      <c r="K601" s="43" t="str">
        <f t="shared" si="1"/>
        <v/>
      </c>
      <c r="L601" s="43" t="str">
        <f t="shared" si="2"/>
        <v/>
      </c>
    </row>
    <row r="602">
      <c r="I602" s="52"/>
      <c r="K602" s="43" t="str">
        <f t="shared" si="1"/>
        <v/>
      </c>
      <c r="L602" s="43" t="str">
        <f t="shared" si="2"/>
        <v/>
      </c>
    </row>
    <row r="603">
      <c r="I603" s="52"/>
      <c r="K603" s="43" t="str">
        <f t="shared" si="1"/>
        <v/>
      </c>
      <c r="L603" s="43" t="str">
        <f t="shared" si="2"/>
        <v/>
      </c>
    </row>
    <row r="604">
      <c r="I604" s="52"/>
      <c r="K604" s="43" t="str">
        <f t="shared" si="1"/>
        <v/>
      </c>
      <c r="L604" s="43" t="str">
        <f t="shared" si="2"/>
        <v/>
      </c>
    </row>
    <row r="605">
      <c r="I605" s="52"/>
      <c r="K605" s="43" t="str">
        <f t="shared" si="1"/>
        <v/>
      </c>
      <c r="L605" s="43" t="str">
        <f t="shared" si="2"/>
        <v/>
      </c>
    </row>
    <row r="606">
      <c r="I606" s="52"/>
      <c r="K606" s="43" t="str">
        <f t="shared" si="1"/>
        <v/>
      </c>
      <c r="L606" s="43" t="str">
        <f t="shared" si="2"/>
        <v/>
      </c>
    </row>
    <row r="607">
      <c r="I607" s="52"/>
      <c r="K607" s="43" t="str">
        <f t="shared" si="1"/>
        <v/>
      </c>
      <c r="L607" s="43" t="str">
        <f t="shared" si="2"/>
        <v/>
      </c>
    </row>
    <row r="608">
      <c r="I608" s="52"/>
      <c r="K608" s="43" t="str">
        <f t="shared" si="1"/>
        <v/>
      </c>
      <c r="L608" s="43" t="str">
        <f t="shared" si="2"/>
        <v/>
      </c>
    </row>
    <row r="609">
      <c r="I609" s="52"/>
      <c r="K609" s="43" t="str">
        <f t="shared" si="1"/>
        <v/>
      </c>
      <c r="L609" s="43" t="str">
        <f t="shared" si="2"/>
        <v/>
      </c>
    </row>
    <row r="610">
      <c r="I610" s="52"/>
      <c r="K610" s="43" t="str">
        <f t="shared" si="1"/>
        <v/>
      </c>
      <c r="L610" s="43" t="str">
        <f t="shared" si="2"/>
        <v/>
      </c>
    </row>
    <row r="611">
      <c r="I611" s="52"/>
      <c r="K611" s="43" t="str">
        <f t="shared" si="1"/>
        <v/>
      </c>
      <c r="L611" s="43" t="str">
        <f t="shared" si="2"/>
        <v/>
      </c>
    </row>
    <row r="612">
      <c r="I612" s="52"/>
      <c r="K612" s="43" t="str">
        <f t="shared" si="1"/>
        <v/>
      </c>
      <c r="L612" s="43" t="str">
        <f t="shared" si="2"/>
        <v/>
      </c>
    </row>
    <row r="613">
      <c r="I613" s="52"/>
      <c r="K613" s="43" t="str">
        <f t="shared" si="1"/>
        <v/>
      </c>
      <c r="L613" s="43" t="str">
        <f t="shared" si="2"/>
        <v/>
      </c>
    </row>
    <row r="614">
      <c r="I614" s="52"/>
      <c r="K614" s="43" t="str">
        <f t="shared" si="1"/>
        <v/>
      </c>
      <c r="L614" s="43" t="str">
        <f t="shared" si="2"/>
        <v/>
      </c>
    </row>
    <row r="615">
      <c r="I615" s="52"/>
      <c r="K615" s="43" t="str">
        <f t="shared" si="1"/>
        <v/>
      </c>
      <c r="L615" s="43" t="str">
        <f t="shared" si="2"/>
        <v/>
      </c>
    </row>
    <row r="616">
      <c r="I616" s="52"/>
      <c r="K616" s="43" t="str">
        <f t="shared" si="1"/>
        <v/>
      </c>
      <c r="L616" s="43" t="str">
        <f t="shared" si="2"/>
        <v/>
      </c>
    </row>
    <row r="617">
      <c r="I617" s="52"/>
      <c r="K617" s="43" t="str">
        <f t="shared" si="1"/>
        <v/>
      </c>
      <c r="L617" s="43" t="str">
        <f t="shared" si="2"/>
        <v/>
      </c>
    </row>
    <row r="618">
      <c r="I618" s="52"/>
      <c r="K618" s="43" t="str">
        <f t="shared" si="1"/>
        <v/>
      </c>
      <c r="L618" s="43" t="str">
        <f t="shared" si="2"/>
        <v/>
      </c>
    </row>
    <row r="619">
      <c r="I619" s="52"/>
      <c r="K619" s="43" t="str">
        <f t="shared" si="1"/>
        <v/>
      </c>
      <c r="L619" s="43" t="str">
        <f t="shared" si="2"/>
        <v/>
      </c>
    </row>
    <row r="620">
      <c r="I620" s="52"/>
      <c r="K620" s="43" t="str">
        <f t="shared" si="1"/>
        <v/>
      </c>
      <c r="L620" s="43" t="str">
        <f t="shared" si="2"/>
        <v/>
      </c>
    </row>
    <row r="621">
      <c r="I621" s="52"/>
      <c r="K621" s="43" t="str">
        <f t="shared" si="1"/>
        <v/>
      </c>
      <c r="L621" s="43" t="str">
        <f t="shared" si="2"/>
        <v/>
      </c>
    </row>
    <row r="622">
      <c r="I622" s="52"/>
      <c r="K622" s="43" t="str">
        <f t="shared" si="1"/>
        <v/>
      </c>
      <c r="L622" s="43" t="str">
        <f t="shared" si="2"/>
        <v/>
      </c>
    </row>
    <row r="623">
      <c r="I623" s="52"/>
      <c r="K623" s="43" t="str">
        <f t="shared" si="1"/>
        <v/>
      </c>
      <c r="L623" s="43" t="str">
        <f t="shared" si="2"/>
        <v/>
      </c>
    </row>
    <row r="624">
      <c r="I624" s="52"/>
      <c r="K624" s="43" t="str">
        <f t="shared" si="1"/>
        <v/>
      </c>
      <c r="L624" s="43" t="str">
        <f t="shared" si="2"/>
        <v/>
      </c>
    </row>
    <row r="625">
      <c r="I625" s="52"/>
      <c r="K625" s="43" t="str">
        <f t="shared" si="1"/>
        <v/>
      </c>
      <c r="L625" s="43" t="str">
        <f t="shared" si="2"/>
        <v/>
      </c>
    </row>
    <row r="626">
      <c r="I626" s="52"/>
      <c r="K626" s="43" t="str">
        <f t="shared" si="1"/>
        <v/>
      </c>
      <c r="L626" s="43" t="str">
        <f t="shared" si="2"/>
        <v/>
      </c>
    </row>
    <row r="627">
      <c r="I627" s="52"/>
      <c r="K627" s="43" t="str">
        <f t="shared" si="1"/>
        <v/>
      </c>
      <c r="L627" s="43" t="str">
        <f t="shared" si="2"/>
        <v/>
      </c>
    </row>
    <row r="628">
      <c r="I628" s="52"/>
      <c r="K628" s="43" t="str">
        <f t="shared" si="1"/>
        <v/>
      </c>
      <c r="L628" s="43" t="str">
        <f t="shared" si="2"/>
        <v/>
      </c>
    </row>
    <row r="629">
      <c r="I629" s="52"/>
      <c r="K629" s="43" t="str">
        <f t="shared" si="1"/>
        <v/>
      </c>
      <c r="L629" s="43" t="str">
        <f t="shared" si="2"/>
        <v/>
      </c>
    </row>
    <row r="630">
      <c r="I630" s="52"/>
      <c r="K630" s="43" t="str">
        <f t="shared" si="1"/>
        <v/>
      </c>
      <c r="L630" s="43" t="str">
        <f t="shared" si="2"/>
        <v/>
      </c>
    </row>
    <row r="631">
      <c r="I631" s="52"/>
      <c r="K631" s="43" t="str">
        <f t="shared" si="1"/>
        <v/>
      </c>
      <c r="L631" s="43" t="str">
        <f t="shared" si="2"/>
        <v/>
      </c>
    </row>
    <row r="632">
      <c r="I632" s="52"/>
      <c r="K632" s="43" t="str">
        <f t="shared" si="1"/>
        <v/>
      </c>
      <c r="L632" s="43" t="str">
        <f t="shared" si="2"/>
        <v/>
      </c>
    </row>
    <row r="633">
      <c r="I633" s="52"/>
      <c r="K633" s="43" t="str">
        <f t="shared" si="1"/>
        <v/>
      </c>
      <c r="L633" s="43" t="str">
        <f t="shared" si="2"/>
        <v/>
      </c>
    </row>
    <row r="634">
      <c r="I634" s="52"/>
      <c r="K634" s="43" t="str">
        <f t="shared" si="1"/>
        <v/>
      </c>
      <c r="L634" s="43" t="str">
        <f t="shared" si="2"/>
        <v/>
      </c>
    </row>
    <row r="635">
      <c r="I635" s="52"/>
      <c r="K635" s="43" t="str">
        <f t="shared" si="1"/>
        <v/>
      </c>
      <c r="L635" s="43" t="str">
        <f t="shared" si="2"/>
        <v/>
      </c>
    </row>
    <row r="636">
      <c r="I636" s="52"/>
      <c r="K636" s="43" t="str">
        <f t="shared" si="1"/>
        <v/>
      </c>
      <c r="L636" s="43" t="str">
        <f t="shared" si="2"/>
        <v/>
      </c>
    </row>
    <row r="637">
      <c r="I637" s="52"/>
      <c r="K637" s="43" t="str">
        <f t="shared" si="1"/>
        <v/>
      </c>
      <c r="L637" s="43" t="str">
        <f t="shared" si="2"/>
        <v/>
      </c>
    </row>
    <row r="638">
      <c r="I638" s="52"/>
      <c r="K638" s="43" t="str">
        <f t="shared" si="1"/>
        <v/>
      </c>
      <c r="L638" s="43" t="str">
        <f t="shared" si="2"/>
        <v/>
      </c>
    </row>
    <row r="639">
      <c r="I639" s="52"/>
      <c r="K639" s="43" t="str">
        <f t="shared" si="1"/>
        <v/>
      </c>
      <c r="L639" s="43" t="str">
        <f t="shared" si="2"/>
        <v/>
      </c>
    </row>
    <row r="640">
      <c r="I640" s="52"/>
      <c r="K640" s="43" t="str">
        <f t="shared" si="1"/>
        <v/>
      </c>
      <c r="L640" s="43" t="str">
        <f t="shared" si="2"/>
        <v/>
      </c>
    </row>
    <row r="641">
      <c r="I641" s="52"/>
      <c r="K641" s="43" t="str">
        <f t="shared" si="1"/>
        <v/>
      </c>
      <c r="L641" s="43" t="str">
        <f t="shared" si="2"/>
        <v/>
      </c>
    </row>
    <row r="642">
      <c r="I642" s="52"/>
      <c r="K642" s="43" t="str">
        <f t="shared" si="1"/>
        <v/>
      </c>
      <c r="L642" s="43" t="str">
        <f t="shared" si="2"/>
        <v/>
      </c>
    </row>
    <row r="643">
      <c r="I643" s="52"/>
      <c r="K643" s="43" t="str">
        <f t="shared" si="1"/>
        <v/>
      </c>
      <c r="L643" s="43" t="str">
        <f t="shared" si="2"/>
        <v/>
      </c>
    </row>
    <row r="644">
      <c r="I644" s="52"/>
      <c r="K644" s="43" t="str">
        <f t="shared" si="1"/>
        <v/>
      </c>
      <c r="L644" s="43" t="str">
        <f t="shared" si="2"/>
        <v/>
      </c>
    </row>
    <row r="645">
      <c r="I645" s="52"/>
      <c r="K645" s="43" t="str">
        <f t="shared" si="1"/>
        <v/>
      </c>
      <c r="L645" s="43" t="str">
        <f t="shared" si="2"/>
        <v/>
      </c>
    </row>
    <row r="646">
      <c r="I646" s="52"/>
      <c r="K646" s="43" t="str">
        <f t="shared" si="1"/>
        <v/>
      </c>
      <c r="L646" s="43" t="str">
        <f t="shared" si="2"/>
        <v/>
      </c>
    </row>
    <row r="647">
      <c r="I647" s="52"/>
      <c r="K647" s="43" t="str">
        <f t="shared" si="1"/>
        <v/>
      </c>
      <c r="L647" s="43" t="str">
        <f t="shared" si="2"/>
        <v/>
      </c>
    </row>
    <row r="648">
      <c r="I648" s="52"/>
      <c r="K648" s="43" t="str">
        <f t="shared" si="1"/>
        <v/>
      </c>
      <c r="L648" s="43" t="str">
        <f t="shared" si="2"/>
        <v/>
      </c>
    </row>
    <row r="649">
      <c r="I649" s="52"/>
      <c r="K649" s="43" t="str">
        <f t="shared" si="1"/>
        <v/>
      </c>
      <c r="L649" s="43" t="str">
        <f t="shared" si="2"/>
        <v/>
      </c>
    </row>
    <row r="650">
      <c r="I650" s="52"/>
      <c r="K650" s="43" t="str">
        <f t="shared" si="1"/>
        <v/>
      </c>
      <c r="L650" s="43" t="str">
        <f t="shared" si="2"/>
        <v/>
      </c>
    </row>
    <row r="651">
      <c r="I651" s="52"/>
      <c r="K651" s="43" t="str">
        <f t="shared" si="1"/>
        <v/>
      </c>
      <c r="L651" s="43" t="str">
        <f t="shared" si="2"/>
        <v/>
      </c>
    </row>
    <row r="652">
      <c r="I652" s="52"/>
      <c r="K652" s="43" t="str">
        <f t="shared" si="1"/>
        <v/>
      </c>
      <c r="L652" s="43" t="str">
        <f t="shared" si="2"/>
        <v/>
      </c>
    </row>
    <row r="653">
      <c r="I653" s="52"/>
      <c r="K653" s="43" t="str">
        <f t="shared" si="1"/>
        <v/>
      </c>
      <c r="L653" s="43" t="str">
        <f t="shared" si="2"/>
        <v/>
      </c>
    </row>
    <row r="654">
      <c r="I654" s="52"/>
      <c r="K654" s="43" t="str">
        <f t="shared" si="1"/>
        <v/>
      </c>
      <c r="L654" s="43" t="str">
        <f t="shared" si="2"/>
        <v/>
      </c>
    </row>
    <row r="655">
      <c r="I655" s="52"/>
      <c r="K655" s="43" t="str">
        <f t="shared" si="1"/>
        <v/>
      </c>
      <c r="L655" s="43" t="str">
        <f t="shared" si="2"/>
        <v/>
      </c>
    </row>
    <row r="656">
      <c r="I656" s="52"/>
      <c r="K656" s="43" t="str">
        <f t="shared" si="1"/>
        <v/>
      </c>
      <c r="L656" s="43" t="str">
        <f t="shared" si="2"/>
        <v/>
      </c>
    </row>
    <row r="657">
      <c r="I657" s="52"/>
      <c r="K657" s="43" t="str">
        <f t="shared" si="1"/>
        <v/>
      </c>
      <c r="L657" s="43" t="str">
        <f t="shared" si="2"/>
        <v/>
      </c>
    </row>
    <row r="658">
      <c r="I658" s="52"/>
      <c r="K658" s="43" t="str">
        <f t="shared" si="1"/>
        <v/>
      </c>
      <c r="L658" s="43" t="str">
        <f t="shared" si="2"/>
        <v/>
      </c>
    </row>
    <row r="659">
      <c r="I659" s="52"/>
      <c r="K659" s="43" t="str">
        <f t="shared" si="1"/>
        <v/>
      </c>
      <c r="L659" s="43" t="str">
        <f t="shared" si="2"/>
        <v/>
      </c>
    </row>
    <row r="660">
      <c r="I660" s="52"/>
      <c r="K660" s="43" t="str">
        <f t="shared" si="1"/>
        <v/>
      </c>
      <c r="L660" s="43" t="str">
        <f t="shared" si="2"/>
        <v/>
      </c>
    </row>
    <row r="661">
      <c r="I661" s="52"/>
      <c r="K661" s="43" t="str">
        <f t="shared" si="1"/>
        <v/>
      </c>
      <c r="L661" s="43" t="str">
        <f t="shared" si="2"/>
        <v/>
      </c>
    </row>
    <row r="662">
      <c r="I662" s="52"/>
      <c r="K662" s="43" t="str">
        <f t="shared" si="1"/>
        <v/>
      </c>
      <c r="L662" s="43" t="str">
        <f t="shared" si="2"/>
        <v/>
      </c>
    </row>
    <row r="663">
      <c r="I663" s="52"/>
      <c r="K663" s="43" t="str">
        <f t="shared" si="1"/>
        <v/>
      </c>
      <c r="L663" s="43" t="str">
        <f t="shared" si="2"/>
        <v/>
      </c>
    </row>
    <row r="664">
      <c r="I664" s="52"/>
      <c r="K664" s="43" t="str">
        <f t="shared" si="1"/>
        <v/>
      </c>
      <c r="L664" s="43" t="str">
        <f t="shared" si="2"/>
        <v/>
      </c>
    </row>
    <row r="665">
      <c r="I665" s="52"/>
      <c r="K665" s="43" t="str">
        <f t="shared" si="1"/>
        <v/>
      </c>
      <c r="L665" s="43" t="str">
        <f t="shared" si="2"/>
        <v/>
      </c>
    </row>
    <row r="666">
      <c r="I666" s="52"/>
      <c r="K666" s="43" t="str">
        <f t="shared" si="1"/>
        <v/>
      </c>
      <c r="L666" s="43" t="str">
        <f t="shared" si="2"/>
        <v/>
      </c>
    </row>
    <row r="667">
      <c r="I667" s="52"/>
      <c r="K667" s="43" t="str">
        <f t="shared" si="1"/>
        <v/>
      </c>
      <c r="L667" s="43" t="str">
        <f t="shared" si="2"/>
        <v/>
      </c>
    </row>
    <row r="668">
      <c r="I668" s="52"/>
      <c r="K668" s="43" t="str">
        <f t="shared" si="1"/>
        <v/>
      </c>
      <c r="L668" s="43" t="str">
        <f t="shared" si="2"/>
        <v/>
      </c>
    </row>
    <row r="669">
      <c r="I669" s="52"/>
      <c r="K669" s="43" t="str">
        <f t="shared" si="1"/>
        <v/>
      </c>
      <c r="L669" s="43" t="str">
        <f t="shared" si="2"/>
        <v/>
      </c>
    </row>
    <row r="670">
      <c r="I670" s="52"/>
      <c r="K670" s="43" t="str">
        <f t="shared" si="1"/>
        <v/>
      </c>
      <c r="L670" s="43" t="str">
        <f t="shared" si="2"/>
        <v/>
      </c>
    </row>
    <row r="671">
      <c r="I671" s="52"/>
      <c r="K671" s="43" t="str">
        <f t="shared" si="1"/>
        <v/>
      </c>
      <c r="L671" s="43" t="str">
        <f t="shared" si="2"/>
        <v/>
      </c>
    </row>
    <row r="672">
      <c r="I672" s="52"/>
      <c r="K672" s="43" t="str">
        <f t="shared" si="1"/>
        <v/>
      </c>
      <c r="L672" s="43" t="str">
        <f t="shared" si="2"/>
        <v/>
      </c>
    </row>
    <row r="673">
      <c r="I673" s="52"/>
      <c r="K673" s="43" t="str">
        <f t="shared" si="1"/>
        <v/>
      </c>
      <c r="L673" s="43" t="str">
        <f t="shared" si="2"/>
        <v/>
      </c>
    </row>
    <row r="674">
      <c r="I674" s="52"/>
      <c r="K674" s="43" t="str">
        <f t="shared" si="1"/>
        <v/>
      </c>
      <c r="L674" s="43" t="str">
        <f t="shared" si="2"/>
        <v/>
      </c>
    </row>
    <row r="675">
      <c r="I675" s="52"/>
      <c r="K675" s="43" t="str">
        <f t="shared" si="1"/>
        <v/>
      </c>
      <c r="L675" s="43" t="str">
        <f t="shared" si="2"/>
        <v/>
      </c>
    </row>
    <row r="676">
      <c r="I676" s="52"/>
      <c r="K676" s="43" t="str">
        <f t="shared" si="1"/>
        <v/>
      </c>
      <c r="L676" s="43" t="str">
        <f t="shared" si="2"/>
        <v/>
      </c>
    </row>
    <row r="677">
      <c r="I677" s="52"/>
      <c r="K677" s="43" t="str">
        <f t="shared" si="1"/>
        <v/>
      </c>
      <c r="L677" s="43" t="str">
        <f t="shared" si="2"/>
        <v/>
      </c>
    </row>
    <row r="678">
      <c r="I678" s="52"/>
      <c r="K678" s="43" t="str">
        <f t="shared" si="1"/>
        <v/>
      </c>
      <c r="L678" s="43" t="str">
        <f t="shared" si="2"/>
        <v/>
      </c>
    </row>
    <row r="679">
      <c r="I679" s="52"/>
      <c r="K679" s="43" t="str">
        <f t="shared" si="1"/>
        <v/>
      </c>
      <c r="L679" s="43" t="str">
        <f t="shared" si="2"/>
        <v/>
      </c>
    </row>
    <row r="680">
      <c r="I680" s="52"/>
      <c r="K680" s="43" t="str">
        <f t="shared" si="1"/>
        <v/>
      </c>
      <c r="L680" s="43" t="str">
        <f t="shared" si="2"/>
        <v/>
      </c>
    </row>
    <row r="681">
      <c r="I681" s="52"/>
      <c r="K681" s="43" t="str">
        <f t="shared" si="1"/>
        <v/>
      </c>
      <c r="L681" s="43" t="str">
        <f t="shared" si="2"/>
        <v/>
      </c>
    </row>
    <row r="682">
      <c r="I682" s="52"/>
      <c r="K682" s="43" t="str">
        <f t="shared" si="1"/>
        <v/>
      </c>
      <c r="L682" s="43" t="str">
        <f t="shared" si="2"/>
        <v/>
      </c>
    </row>
    <row r="683">
      <c r="I683" s="52"/>
      <c r="K683" s="43" t="str">
        <f t="shared" si="1"/>
        <v/>
      </c>
      <c r="L683" s="43" t="str">
        <f t="shared" si="2"/>
        <v/>
      </c>
    </row>
    <row r="684">
      <c r="I684" s="52"/>
      <c r="K684" s="43" t="str">
        <f t="shared" si="1"/>
        <v/>
      </c>
      <c r="L684" s="43" t="str">
        <f t="shared" si="2"/>
        <v/>
      </c>
    </row>
    <row r="685">
      <c r="I685" s="52"/>
      <c r="K685" s="43" t="str">
        <f t="shared" si="1"/>
        <v/>
      </c>
      <c r="L685" s="43" t="str">
        <f t="shared" si="2"/>
        <v/>
      </c>
    </row>
    <row r="686">
      <c r="I686" s="52"/>
      <c r="K686" s="43" t="str">
        <f t="shared" si="1"/>
        <v/>
      </c>
      <c r="L686" s="43" t="str">
        <f t="shared" si="2"/>
        <v/>
      </c>
    </row>
    <row r="687">
      <c r="I687" s="52"/>
      <c r="K687" s="43" t="str">
        <f t="shared" si="1"/>
        <v/>
      </c>
      <c r="L687" s="43" t="str">
        <f t="shared" si="2"/>
        <v/>
      </c>
    </row>
    <row r="688">
      <c r="I688" s="52"/>
      <c r="K688" s="43" t="str">
        <f t="shared" si="1"/>
        <v/>
      </c>
      <c r="L688" s="43" t="str">
        <f t="shared" si="2"/>
        <v/>
      </c>
    </row>
    <row r="689">
      <c r="I689" s="52"/>
      <c r="K689" s="43" t="str">
        <f t="shared" si="1"/>
        <v/>
      </c>
      <c r="L689" s="43" t="str">
        <f t="shared" si="2"/>
        <v/>
      </c>
    </row>
    <row r="690">
      <c r="I690" s="52"/>
      <c r="K690" s="43" t="str">
        <f t="shared" si="1"/>
        <v/>
      </c>
      <c r="L690" s="43" t="str">
        <f t="shared" si="2"/>
        <v/>
      </c>
    </row>
    <row r="691">
      <c r="I691" s="52"/>
      <c r="K691" s="43" t="str">
        <f t="shared" si="1"/>
        <v/>
      </c>
      <c r="L691" s="43" t="str">
        <f t="shared" si="2"/>
        <v/>
      </c>
    </row>
    <row r="692">
      <c r="I692" s="52"/>
      <c r="K692" s="43" t="str">
        <f t="shared" si="1"/>
        <v/>
      </c>
      <c r="L692" s="43" t="str">
        <f t="shared" si="2"/>
        <v/>
      </c>
    </row>
    <row r="693">
      <c r="I693" s="52"/>
      <c r="K693" s="43" t="str">
        <f t="shared" si="1"/>
        <v/>
      </c>
      <c r="L693" s="43" t="str">
        <f t="shared" si="2"/>
        <v/>
      </c>
    </row>
    <row r="694">
      <c r="I694" s="52"/>
      <c r="K694" s="43" t="str">
        <f t="shared" si="1"/>
        <v/>
      </c>
      <c r="L694" s="43" t="str">
        <f t="shared" si="2"/>
        <v/>
      </c>
    </row>
    <row r="695">
      <c r="I695" s="52"/>
      <c r="K695" s="43" t="str">
        <f t="shared" si="1"/>
        <v/>
      </c>
      <c r="L695" s="43" t="str">
        <f t="shared" si="2"/>
        <v/>
      </c>
    </row>
    <row r="696">
      <c r="I696" s="52"/>
      <c r="K696" s="43" t="str">
        <f t="shared" si="1"/>
        <v/>
      </c>
      <c r="L696" s="43" t="str">
        <f t="shared" si="2"/>
        <v/>
      </c>
    </row>
    <row r="697">
      <c r="I697" s="52"/>
      <c r="K697" s="43" t="str">
        <f t="shared" si="1"/>
        <v/>
      </c>
      <c r="L697" s="43" t="str">
        <f t="shared" si="2"/>
        <v/>
      </c>
    </row>
    <row r="698">
      <c r="I698" s="52"/>
      <c r="K698" s="43" t="str">
        <f t="shared" si="1"/>
        <v/>
      </c>
      <c r="L698" s="43" t="str">
        <f t="shared" si="2"/>
        <v/>
      </c>
    </row>
    <row r="699">
      <c r="I699" s="52"/>
      <c r="K699" s="43" t="str">
        <f t="shared" si="1"/>
        <v/>
      </c>
      <c r="L699" s="43" t="str">
        <f t="shared" si="2"/>
        <v/>
      </c>
    </row>
    <row r="700">
      <c r="I700" s="52"/>
      <c r="K700" s="43" t="str">
        <f t="shared" si="1"/>
        <v/>
      </c>
      <c r="L700" s="43" t="str">
        <f t="shared" si="2"/>
        <v/>
      </c>
    </row>
    <row r="701">
      <c r="I701" s="52"/>
      <c r="K701" s="43" t="str">
        <f t="shared" si="1"/>
        <v/>
      </c>
      <c r="L701" s="43" t="str">
        <f t="shared" si="2"/>
        <v/>
      </c>
    </row>
    <row r="702">
      <c r="I702" s="52"/>
      <c r="K702" s="43" t="str">
        <f t="shared" si="1"/>
        <v/>
      </c>
      <c r="L702" s="43" t="str">
        <f t="shared" si="2"/>
        <v/>
      </c>
    </row>
    <row r="703">
      <c r="I703" s="52"/>
      <c r="K703" s="43" t="str">
        <f t="shared" si="1"/>
        <v/>
      </c>
      <c r="L703" s="43" t="str">
        <f t="shared" si="2"/>
        <v/>
      </c>
    </row>
    <row r="704">
      <c r="I704" s="52"/>
      <c r="K704" s="43" t="str">
        <f t="shared" si="1"/>
        <v/>
      </c>
      <c r="L704" s="43" t="str">
        <f t="shared" si="2"/>
        <v/>
      </c>
    </row>
    <row r="705">
      <c r="I705" s="52"/>
      <c r="K705" s="43" t="str">
        <f t="shared" si="1"/>
        <v/>
      </c>
      <c r="L705" s="43" t="str">
        <f t="shared" si="2"/>
        <v/>
      </c>
    </row>
    <row r="706">
      <c r="I706" s="52"/>
      <c r="K706" s="43" t="str">
        <f t="shared" si="1"/>
        <v/>
      </c>
      <c r="L706" s="43" t="str">
        <f t="shared" si="2"/>
        <v/>
      </c>
    </row>
    <row r="707">
      <c r="I707" s="52"/>
      <c r="K707" s="43" t="str">
        <f t="shared" si="1"/>
        <v/>
      </c>
      <c r="L707" s="43" t="str">
        <f t="shared" si="2"/>
        <v/>
      </c>
    </row>
    <row r="708">
      <c r="I708" s="52"/>
      <c r="K708" s="43" t="str">
        <f t="shared" si="1"/>
        <v/>
      </c>
      <c r="L708" s="43" t="str">
        <f t="shared" si="2"/>
        <v/>
      </c>
    </row>
    <row r="709">
      <c r="I709" s="52"/>
      <c r="K709" s="43" t="str">
        <f t="shared" si="1"/>
        <v/>
      </c>
      <c r="L709" s="43" t="str">
        <f t="shared" si="2"/>
        <v/>
      </c>
    </row>
    <row r="710">
      <c r="I710" s="52"/>
      <c r="K710" s="43" t="str">
        <f t="shared" si="1"/>
        <v/>
      </c>
      <c r="L710" s="43" t="str">
        <f t="shared" si="2"/>
        <v/>
      </c>
    </row>
    <row r="711">
      <c r="I711" s="52"/>
      <c r="K711" s="43" t="str">
        <f t="shared" si="1"/>
        <v/>
      </c>
      <c r="L711" s="43" t="str">
        <f t="shared" si="2"/>
        <v/>
      </c>
    </row>
    <row r="712">
      <c r="I712" s="52"/>
      <c r="K712" s="43" t="str">
        <f t="shared" si="1"/>
        <v/>
      </c>
      <c r="L712" s="43" t="str">
        <f t="shared" si="2"/>
        <v/>
      </c>
    </row>
    <row r="713">
      <c r="I713" s="52"/>
      <c r="K713" s="43" t="str">
        <f t="shared" si="1"/>
        <v/>
      </c>
      <c r="L713" s="43" t="str">
        <f t="shared" si="2"/>
        <v/>
      </c>
    </row>
    <row r="714">
      <c r="I714" s="52"/>
      <c r="K714" s="43" t="str">
        <f t="shared" si="1"/>
        <v/>
      </c>
      <c r="L714" s="43" t="str">
        <f t="shared" si="2"/>
        <v/>
      </c>
    </row>
    <row r="715">
      <c r="I715" s="52"/>
      <c r="K715" s="43" t="str">
        <f t="shared" si="1"/>
        <v/>
      </c>
      <c r="L715" s="43" t="str">
        <f t="shared" si="2"/>
        <v/>
      </c>
    </row>
    <row r="716">
      <c r="I716" s="52"/>
      <c r="K716" s="43" t="str">
        <f t="shared" si="1"/>
        <v/>
      </c>
      <c r="L716" s="43" t="str">
        <f t="shared" si="2"/>
        <v/>
      </c>
    </row>
    <row r="717">
      <c r="I717" s="52"/>
      <c r="K717" s="43" t="str">
        <f t="shared" si="1"/>
        <v/>
      </c>
      <c r="L717" s="43" t="str">
        <f t="shared" si="2"/>
        <v/>
      </c>
    </row>
    <row r="718">
      <c r="I718" s="52"/>
      <c r="K718" s="43" t="str">
        <f t="shared" si="1"/>
        <v/>
      </c>
      <c r="L718" s="43" t="str">
        <f t="shared" si="2"/>
        <v/>
      </c>
    </row>
    <row r="719">
      <c r="I719" s="52"/>
      <c r="K719" s="43" t="str">
        <f t="shared" si="1"/>
        <v/>
      </c>
      <c r="L719" s="43" t="str">
        <f t="shared" si="2"/>
        <v/>
      </c>
    </row>
    <row r="720">
      <c r="I720" s="52"/>
      <c r="K720" s="43" t="str">
        <f t="shared" si="1"/>
        <v/>
      </c>
      <c r="L720" s="43" t="str">
        <f t="shared" si="2"/>
        <v/>
      </c>
    </row>
    <row r="721">
      <c r="I721" s="52"/>
      <c r="K721" s="43" t="str">
        <f t="shared" si="1"/>
        <v/>
      </c>
      <c r="L721" s="43" t="str">
        <f t="shared" si="2"/>
        <v/>
      </c>
    </row>
    <row r="722">
      <c r="I722" s="52"/>
      <c r="K722" s="43" t="str">
        <f t="shared" si="1"/>
        <v/>
      </c>
      <c r="L722" s="43" t="str">
        <f t="shared" si="2"/>
        <v/>
      </c>
    </row>
    <row r="723">
      <c r="I723" s="52"/>
      <c r="K723" s="43" t="str">
        <f t="shared" si="1"/>
        <v/>
      </c>
      <c r="L723" s="43" t="str">
        <f t="shared" si="2"/>
        <v/>
      </c>
    </row>
    <row r="724">
      <c r="I724" s="52"/>
      <c r="K724" s="43" t="str">
        <f t="shared" si="1"/>
        <v/>
      </c>
      <c r="L724" s="43" t="str">
        <f t="shared" si="2"/>
        <v/>
      </c>
    </row>
    <row r="725">
      <c r="I725" s="52"/>
      <c r="K725" s="43" t="str">
        <f t="shared" si="1"/>
        <v/>
      </c>
      <c r="L725" s="43" t="str">
        <f t="shared" si="2"/>
        <v/>
      </c>
    </row>
    <row r="726">
      <c r="I726" s="52"/>
      <c r="K726" s="43" t="str">
        <f t="shared" si="1"/>
        <v/>
      </c>
      <c r="L726" s="43" t="str">
        <f t="shared" si="2"/>
        <v/>
      </c>
    </row>
    <row r="727">
      <c r="I727" s="52"/>
      <c r="K727" s="43" t="str">
        <f t="shared" si="1"/>
        <v/>
      </c>
      <c r="L727" s="43" t="str">
        <f t="shared" si="2"/>
        <v/>
      </c>
    </row>
    <row r="728">
      <c r="I728" s="52"/>
      <c r="K728" s="43" t="str">
        <f t="shared" si="1"/>
        <v/>
      </c>
      <c r="L728" s="43" t="str">
        <f t="shared" si="2"/>
        <v/>
      </c>
    </row>
    <row r="729">
      <c r="I729" s="52"/>
      <c r="K729" s="43" t="str">
        <f t="shared" si="1"/>
        <v/>
      </c>
      <c r="L729" s="43" t="str">
        <f t="shared" si="2"/>
        <v/>
      </c>
    </row>
    <row r="730">
      <c r="I730" s="52"/>
      <c r="K730" s="43" t="str">
        <f t="shared" si="1"/>
        <v/>
      </c>
      <c r="L730" s="43" t="str">
        <f t="shared" si="2"/>
        <v/>
      </c>
    </row>
    <row r="731">
      <c r="I731" s="52"/>
      <c r="K731" s="43" t="str">
        <f t="shared" si="1"/>
        <v/>
      </c>
      <c r="L731" s="43" t="str">
        <f t="shared" si="2"/>
        <v/>
      </c>
    </row>
    <row r="732">
      <c r="I732" s="52"/>
      <c r="K732" s="43" t="str">
        <f t="shared" si="1"/>
        <v/>
      </c>
      <c r="L732" s="43" t="str">
        <f t="shared" si="2"/>
        <v/>
      </c>
    </row>
    <row r="733">
      <c r="I733" s="52"/>
      <c r="K733" s="43" t="str">
        <f t="shared" si="1"/>
        <v/>
      </c>
      <c r="L733" s="43" t="str">
        <f t="shared" si="2"/>
        <v/>
      </c>
    </row>
    <row r="734">
      <c r="I734" s="52"/>
      <c r="K734" s="43" t="str">
        <f t="shared" si="1"/>
        <v/>
      </c>
      <c r="L734" s="43" t="str">
        <f t="shared" si="2"/>
        <v/>
      </c>
    </row>
    <row r="735">
      <c r="I735" s="52"/>
      <c r="K735" s="43" t="str">
        <f t="shared" si="1"/>
        <v/>
      </c>
      <c r="L735" s="43" t="str">
        <f t="shared" si="2"/>
        <v/>
      </c>
    </row>
    <row r="736">
      <c r="I736" s="52"/>
      <c r="K736" s="43" t="str">
        <f t="shared" si="1"/>
        <v/>
      </c>
      <c r="L736" s="43" t="str">
        <f t="shared" si="2"/>
        <v/>
      </c>
    </row>
    <row r="737">
      <c r="I737" s="52"/>
      <c r="K737" s="43" t="str">
        <f t="shared" si="1"/>
        <v/>
      </c>
      <c r="L737" s="43" t="str">
        <f t="shared" si="2"/>
        <v/>
      </c>
    </row>
    <row r="738">
      <c r="I738" s="52"/>
      <c r="K738" s="43" t="str">
        <f t="shared" si="1"/>
        <v/>
      </c>
      <c r="L738" s="43" t="str">
        <f t="shared" si="2"/>
        <v/>
      </c>
    </row>
    <row r="739">
      <c r="I739" s="52"/>
      <c r="K739" s="43" t="str">
        <f t="shared" si="1"/>
        <v/>
      </c>
      <c r="L739" s="43" t="str">
        <f t="shared" si="2"/>
        <v/>
      </c>
    </row>
    <row r="740">
      <c r="I740" s="52"/>
      <c r="K740" s="43" t="str">
        <f t="shared" si="1"/>
        <v/>
      </c>
      <c r="L740" s="43" t="str">
        <f t="shared" si="2"/>
        <v/>
      </c>
    </row>
    <row r="741">
      <c r="I741" s="52"/>
      <c r="K741" s="43" t="str">
        <f t="shared" si="1"/>
        <v/>
      </c>
      <c r="L741" s="43" t="str">
        <f t="shared" si="2"/>
        <v/>
      </c>
    </row>
    <row r="742">
      <c r="I742" s="52"/>
      <c r="K742" s="43" t="str">
        <f t="shared" si="1"/>
        <v/>
      </c>
      <c r="L742" s="43" t="str">
        <f t="shared" si="2"/>
        <v/>
      </c>
    </row>
    <row r="743">
      <c r="I743" s="52"/>
      <c r="K743" s="43" t="str">
        <f t="shared" si="1"/>
        <v/>
      </c>
      <c r="L743" s="43" t="str">
        <f t="shared" si="2"/>
        <v/>
      </c>
    </row>
    <row r="744">
      <c r="I744" s="52"/>
      <c r="K744" s="43" t="str">
        <f t="shared" si="1"/>
        <v/>
      </c>
      <c r="L744" s="43" t="str">
        <f t="shared" si="2"/>
        <v/>
      </c>
    </row>
    <row r="745">
      <c r="I745" s="52"/>
      <c r="K745" s="43" t="str">
        <f t="shared" si="1"/>
        <v/>
      </c>
      <c r="L745" s="43" t="str">
        <f t="shared" si="2"/>
        <v/>
      </c>
    </row>
    <row r="746">
      <c r="I746" s="52"/>
      <c r="K746" s="43" t="str">
        <f t="shared" si="1"/>
        <v/>
      </c>
      <c r="L746" s="43" t="str">
        <f t="shared" si="2"/>
        <v/>
      </c>
    </row>
    <row r="747">
      <c r="I747" s="52"/>
      <c r="K747" s="43" t="str">
        <f t="shared" si="1"/>
        <v/>
      </c>
      <c r="L747" s="43" t="str">
        <f t="shared" si="2"/>
        <v/>
      </c>
    </row>
    <row r="748">
      <c r="I748" s="52"/>
      <c r="K748" s="43" t="str">
        <f t="shared" si="1"/>
        <v/>
      </c>
      <c r="L748" s="43" t="str">
        <f t="shared" si="2"/>
        <v/>
      </c>
    </row>
    <row r="749">
      <c r="I749" s="52"/>
      <c r="K749" s="43" t="str">
        <f t="shared" si="1"/>
        <v/>
      </c>
      <c r="L749" s="43" t="str">
        <f t="shared" si="2"/>
        <v/>
      </c>
    </row>
    <row r="750">
      <c r="I750" s="52"/>
      <c r="K750" s="43" t="str">
        <f t="shared" si="1"/>
        <v/>
      </c>
      <c r="L750" s="43" t="str">
        <f t="shared" si="2"/>
        <v/>
      </c>
    </row>
    <row r="751">
      <c r="I751" s="52"/>
      <c r="K751" s="43" t="str">
        <f t="shared" si="1"/>
        <v/>
      </c>
      <c r="L751" s="43" t="str">
        <f t="shared" si="2"/>
        <v/>
      </c>
    </row>
    <row r="752">
      <c r="I752" s="52"/>
      <c r="K752" s="43" t="str">
        <f t="shared" si="1"/>
        <v/>
      </c>
      <c r="L752" s="43" t="str">
        <f t="shared" si="2"/>
        <v/>
      </c>
    </row>
    <row r="753">
      <c r="I753" s="52"/>
      <c r="K753" s="43" t="str">
        <f t="shared" si="1"/>
        <v/>
      </c>
      <c r="L753" s="43" t="str">
        <f t="shared" si="2"/>
        <v/>
      </c>
    </row>
    <row r="754">
      <c r="I754" s="52"/>
      <c r="K754" s="43" t="str">
        <f t="shared" si="1"/>
        <v/>
      </c>
      <c r="L754" s="43" t="str">
        <f t="shared" si="2"/>
        <v/>
      </c>
    </row>
    <row r="755">
      <c r="I755" s="52"/>
      <c r="K755" s="43" t="str">
        <f t="shared" si="1"/>
        <v/>
      </c>
      <c r="L755" s="43" t="str">
        <f t="shared" si="2"/>
        <v/>
      </c>
    </row>
    <row r="756">
      <c r="I756" s="52"/>
      <c r="K756" s="43" t="str">
        <f t="shared" si="1"/>
        <v/>
      </c>
      <c r="L756" s="43" t="str">
        <f t="shared" si="2"/>
        <v/>
      </c>
    </row>
    <row r="757">
      <c r="I757" s="52"/>
      <c r="K757" s="43" t="str">
        <f t="shared" si="1"/>
        <v/>
      </c>
      <c r="L757" s="43" t="str">
        <f t="shared" si="2"/>
        <v/>
      </c>
    </row>
    <row r="758">
      <c r="I758" s="52"/>
      <c r="K758" s="43" t="str">
        <f t="shared" si="1"/>
        <v/>
      </c>
      <c r="L758" s="43" t="str">
        <f t="shared" si="2"/>
        <v/>
      </c>
    </row>
    <row r="759">
      <c r="I759" s="52"/>
      <c r="K759" s="43" t="str">
        <f t="shared" si="1"/>
        <v/>
      </c>
      <c r="L759" s="43" t="str">
        <f t="shared" si="2"/>
        <v/>
      </c>
    </row>
    <row r="760">
      <c r="I760" s="52"/>
      <c r="K760" s="43" t="str">
        <f t="shared" si="1"/>
        <v/>
      </c>
      <c r="L760" s="43" t="str">
        <f t="shared" si="2"/>
        <v/>
      </c>
    </row>
    <row r="761">
      <c r="I761" s="52"/>
      <c r="K761" s="43" t="str">
        <f t="shared" si="1"/>
        <v/>
      </c>
      <c r="L761" s="43" t="str">
        <f t="shared" si="2"/>
        <v/>
      </c>
    </row>
    <row r="762">
      <c r="I762" s="52"/>
      <c r="K762" s="43" t="str">
        <f t="shared" si="1"/>
        <v/>
      </c>
      <c r="L762" s="43" t="str">
        <f t="shared" si="2"/>
        <v/>
      </c>
    </row>
    <row r="763">
      <c r="I763" s="52"/>
      <c r="K763" s="43" t="str">
        <f t="shared" si="1"/>
        <v/>
      </c>
      <c r="L763" s="43" t="str">
        <f t="shared" si="2"/>
        <v/>
      </c>
    </row>
    <row r="764">
      <c r="I764" s="52"/>
      <c r="K764" s="43" t="str">
        <f t="shared" si="1"/>
        <v/>
      </c>
      <c r="L764" s="43" t="str">
        <f t="shared" si="2"/>
        <v/>
      </c>
    </row>
    <row r="765">
      <c r="I765" s="52"/>
      <c r="K765" s="43" t="str">
        <f t="shared" si="1"/>
        <v/>
      </c>
      <c r="L765" s="43" t="str">
        <f t="shared" si="2"/>
        <v/>
      </c>
    </row>
    <row r="766">
      <c r="I766" s="52"/>
      <c r="K766" s="43" t="str">
        <f t="shared" si="1"/>
        <v/>
      </c>
      <c r="L766" s="43" t="str">
        <f t="shared" si="2"/>
        <v/>
      </c>
    </row>
    <row r="767">
      <c r="I767" s="52"/>
      <c r="K767" s="43" t="str">
        <f t="shared" si="1"/>
        <v/>
      </c>
      <c r="L767" s="43" t="str">
        <f t="shared" si="2"/>
        <v/>
      </c>
    </row>
    <row r="768">
      <c r="I768" s="52"/>
      <c r="K768" s="43" t="str">
        <f t="shared" si="1"/>
        <v/>
      </c>
      <c r="L768" s="43" t="str">
        <f t="shared" si="2"/>
        <v/>
      </c>
    </row>
    <row r="769">
      <c r="I769" s="52"/>
      <c r="K769" s="43" t="str">
        <f t="shared" si="1"/>
        <v/>
      </c>
      <c r="L769" s="43" t="str">
        <f t="shared" si="2"/>
        <v/>
      </c>
    </row>
    <row r="770">
      <c r="I770" s="52"/>
      <c r="K770" s="43" t="str">
        <f t="shared" si="1"/>
        <v/>
      </c>
      <c r="L770" s="43" t="str">
        <f t="shared" si="2"/>
        <v/>
      </c>
    </row>
    <row r="771">
      <c r="I771" s="52"/>
      <c r="K771" s="43" t="str">
        <f t="shared" si="1"/>
        <v/>
      </c>
      <c r="L771" s="43" t="str">
        <f t="shared" si="2"/>
        <v/>
      </c>
    </row>
    <row r="772">
      <c r="I772" s="52"/>
      <c r="K772" s="43" t="str">
        <f t="shared" si="1"/>
        <v/>
      </c>
      <c r="L772" s="43" t="str">
        <f t="shared" si="2"/>
        <v/>
      </c>
    </row>
    <row r="773">
      <c r="I773" s="52"/>
      <c r="K773" s="43" t="str">
        <f t="shared" si="1"/>
        <v/>
      </c>
      <c r="L773" s="43" t="str">
        <f t="shared" si="2"/>
        <v/>
      </c>
    </row>
    <row r="774">
      <c r="I774" s="52"/>
      <c r="K774" s="43" t="str">
        <f t="shared" si="1"/>
        <v/>
      </c>
      <c r="L774" s="43" t="str">
        <f t="shared" si="2"/>
        <v/>
      </c>
    </row>
    <row r="775">
      <c r="I775" s="52"/>
      <c r="K775" s="43" t="str">
        <f t="shared" si="1"/>
        <v/>
      </c>
      <c r="L775" s="43" t="str">
        <f t="shared" si="2"/>
        <v/>
      </c>
    </row>
    <row r="776">
      <c r="I776" s="52"/>
      <c r="K776" s="43" t="str">
        <f t="shared" si="1"/>
        <v/>
      </c>
      <c r="L776" s="43" t="str">
        <f t="shared" si="2"/>
        <v/>
      </c>
    </row>
    <row r="777">
      <c r="I777" s="52"/>
      <c r="K777" s="43" t="str">
        <f t="shared" si="1"/>
        <v/>
      </c>
      <c r="L777" s="43" t="str">
        <f t="shared" si="2"/>
        <v/>
      </c>
    </row>
    <row r="778">
      <c r="I778" s="52"/>
      <c r="K778" s="43" t="str">
        <f t="shared" si="1"/>
        <v/>
      </c>
      <c r="L778" s="43" t="str">
        <f t="shared" si="2"/>
        <v/>
      </c>
    </row>
    <row r="779">
      <c r="I779" s="52"/>
      <c r="K779" s="43" t="str">
        <f t="shared" si="1"/>
        <v/>
      </c>
      <c r="L779" s="43" t="str">
        <f t="shared" si="2"/>
        <v/>
      </c>
    </row>
    <row r="780">
      <c r="I780" s="52"/>
      <c r="K780" s="43" t="str">
        <f t="shared" si="1"/>
        <v/>
      </c>
      <c r="L780" s="43" t="str">
        <f t="shared" si="2"/>
        <v/>
      </c>
    </row>
    <row r="781">
      <c r="I781" s="52"/>
      <c r="K781" s="43" t="str">
        <f t="shared" si="1"/>
        <v/>
      </c>
      <c r="L781" s="43" t="str">
        <f t="shared" si="2"/>
        <v/>
      </c>
    </row>
    <row r="782">
      <c r="I782" s="52"/>
      <c r="K782" s="43" t="str">
        <f t="shared" si="1"/>
        <v/>
      </c>
      <c r="L782" s="43" t="str">
        <f t="shared" si="2"/>
        <v/>
      </c>
    </row>
    <row r="783">
      <c r="I783" s="52"/>
      <c r="K783" s="43" t="str">
        <f t="shared" si="1"/>
        <v/>
      </c>
      <c r="L783" s="43" t="str">
        <f t="shared" si="2"/>
        <v/>
      </c>
    </row>
    <row r="784">
      <c r="I784" s="52"/>
      <c r="K784" s="43" t="str">
        <f t="shared" si="1"/>
        <v/>
      </c>
      <c r="L784" s="43" t="str">
        <f t="shared" si="2"/>
        <v/>
      </c>
    </row>
    <row r="785">
      <c r="I785" s="52"/>
      <c r="K785" s="43" t="str">
        <f t="shared" si="1"/>
        <v/>
      </c>
      <c r="L785" s="43" t="str">
        <f t="shared" si="2"/>
        <v/>
      </c>
    </row>
    <row r="786">
      <c r="I786" s="52"/>
      <c r="K786" s="43" t="str">
        <f t="shared" si="1"/>
        <v/>
      </c>
      <c r="L786" s="43" t="str">
        <f t="shared" si="2"/>
        <v/>
      </c>
    </row>
    <row r="787">
      <c r="I787" s="52"/>
      <c r="K787" s="43" t="str">
        <f t="shared" si="1"/>
        <v/>
      </c>
      <c r="L787" s="43" t="str">
        <f t="shared" si="2"/>
        <v/>
      </c>
    </row>
    <row r="788">
      <c r="I788" s="52"/>
      <c r="K788" s="43" t="str">
        <f t="shared" si="1"/>
        <v/>
      </c>
      <c r="L788" s="43" t="str">
        <f t="shared" si="2"/>
        <v/>
      </c>
    </row>
    <row r="789">
      <c r="I789" s="52"/>
      <c r="K789" s="43" t="str">
        <f t="shared" si="1"/>
        <v/>
      </c>
      <c r="L789" s="43" t="str">
        <f t="shared" si="2"/>
        <v/>
      </c>
    </row>
    <row r="790">
      <c r="I790" s="52"/>
      <c r="K790" s="43" t="str">
        <f t="shared" si="1"/>
        <v/>
      </c>
      <c r="L790" s="43" t="str">
        <f t="shared" si="2"/>
        <v/>
      </c>
    </row>
    <row r="791">
      <c r="I791" s="52"/>
      <c r="K791" s="43" t="str">
        <f t="shared" si="1"/>
        <v/>
      </c>
      <c r="L791" s="43" t="str">
        <f t="shared" si="2"/>
        <v/>
      </c>
    </row>
    <row r="792">
      <c r="I792" s="52"/>
      <c r="K792" s="43" t="str">
        <f t="shared" si="1"/>
        <v/>
      </c>
      <c r="L792" s="43" t="str">
        <f t="shared" si="2"/>
        <v/>
      </c>
    </row>
    <row r="793">
      <c r="I793" s="52"/>
      <c r="K793" s="43" t="str">
        <f t="shared" si="1"/>
        <v/>
      </c>
      <c r="L793" s="43" t="str">
        <f t="shared" si="2"/>
        <v/>
      </c>
    </row>
    <row r="794">
      <c r="I794" s="52"/>
      <c r="K794" s="43" t="str">
        <f t="shared" si="1"/>
        <v/>
      </c>
      <c r="L794" s="43" t="str">
        <f t="shared" si="2"/>
        <v/>
      </c>
    </row>
    <row r="795">
      <c r="I795" s="52"/>
      <c r="K795" s="43" t="str">
        <f t="shared" si="1"/>
        <v/>
      </c>
      <c r="L795" s="43" t="str">
        <f t="shared" si="2"/>
        <v/>
      </c>
    </row>
    <row r="796">
      <c r="I796" s="52"/>
      <c r="K796" s="43" t="str">
        <f t="shared" si="1"/>
        <v/>
      </c>
      <c r="L796" s="43" t="str">
        <f t="shared" si="2"/>
        <v/>
      </c>
    </row>
    <row r="797">
      <c r="I797" s="52"/>
      <c r="K797" s="43" t="str">
        <f t="shared" si="1"/>
        <v/>
      </c>
      <c r="L797" s="43" t="str">
        <f t="shared" si="2"/>
        <v/>
      </c>
    </row>
    <row r="798">
      <c r="I798" s="52"/>
      <c r="K798" s="43" t="str">
        <f t="shared" si="1"/>
        <v/>
      </c>
      <c r="L798" s="43" t="str">
        <f t="shared" si="2"/>
        <v/>
      </c>
    </row>
    <row r="799">
      <c r="I799" s="52"/>
      <c r="K799" s="43" t="str">
        <f t="shared" si="1"/>
        <v/>
      </c>
      <c r="L799" s="43" t="str">
        <f t="shared" si="2"/>
        <v/>
      </c>
    </row>
    <row r="800">
      <c r="I800" s="52"/>
      <c r="K800" s="43" t="str">
        <f t="shared" si="1"/>
        <v/>
      </c>
      <c r="L800" s="43" t="str">
        <f t="shared" si="2"/>
        <v/>
      </c>
    </row>
    <row r="801">
      <c r="I801" s="52"/>
      <c r="K801" s="43" t="str">
        <f t="shared" si="1"/>
        <v/>
      </c>
      <c r="L801" s="43" t="str">
        <f t="shared" si="2"/>
        <v/>
      </c>
    </row>
    <row r="802">
      <c r="I802" s="52"/>
      <c r="K802" s="43" t="str">
        <f t="shared" si="1"/>
        <v/>
      </c>
      <c r="L802" s="43" t="str">
        <f t="shared" si="2"/>
        <v/>
      </c>
    </row>
    <row r="803">
      <c r="I803" s="52"/>
      <c r="K803" s="43" t="str">
        <f t="shared" si="1"/>
        <v/>
      </c>
      <c r="L803" s="43" t="str">
        <f t="shared" si="2"/>
        <v/>
      </c>
    </row>
    <row r="804">
      <c r="I804" s="52"/>
      <c r="K804" s="43" t="str">
        <f t="shared" si="1"/>
        <v/>
      </c>
      <c r="L804" s="43" t="str">
        <f t="shared" si="2"/>
        <v/>
      </c>
    </row>
    <row r="805">
      <c r="I805" s="52"/>
      <c r="K805" s="43" t="str">
        <f t="shared" si="1"/>
        <v/>
      </c>
      <c r="L805" s="43" t="str">
        <f t="shared" si="2"/>
        <v/>
      </c>
    </row>
    <row r="806">
      <c r="I806" s="52"/>
      <c r="K806" s="43" t="str">
        <f t="shared" si="1"/>
        <v/>
      </c>
      <c r="L806" s="43" t="str">
        <f t="shared" si="2"/>
        <v/>
      </c>
    </row>
    <row r="807">
      <c r="I807" s="52"/>
      <c r="K807" s="43" t="str">
        <f t="shared" si="1"/>
        <v/>
      </c>
      <c r="L807" s="43" t="str">
        <f t="shared" si="2"/>
        <v/>
      </c>
    </row>
    <row r="808">
      <c r="I808" s="52"/>
      <c r="K808" s="43" t="str">
        <f t="shared" si="1"/>
        <v/>
      </c>
      <c r="L808" s="43" t="str">
        <f t="shared" si="2"/>
        <v/>
      </c>
    </row>
    <row r="809">
      <c r="I809" s="52"/>
      <c r="K809" s="43" t="str">
        <f t="shared" si="1"/>
        <v/>
      </c>
      <c r="L809" s="43" t="str">
        <f t="shared" si="2"/>
        <v/>
      </c>
    </row>
    <row r="810">
      <c r="I810" s="52"/>
      <c r="K810" s="43" t="str">
        <f t="shared" si="1"/>
        <v/>
      </c>
      <c r="L810" s="43" t="str">
        <f t="shared" si="2"/>
        <v/>
      </c>
    </row>
    <row r="811">
      <c r="I811" s="52"/>
      <c r="K811" s="43" t="str">
        <f t="shared" si="1"/>
        <v/>
      </c>
      <c r="L811" s="43" t="str">
        <f t="shared" si="2"/>
        <v/>
      </c>
    </row>
    <row r="812">
      <c r="I812" s="52"/>
      <c r="K812" s="43" t="str">
        <f t="shared" si="1"/>
        <v/>
      </c>
      <c r="L812" s="43" t="str">
        <f t="shared" si="2"/>
        <v/>
      </c>
    </row>
    <row r="813">
      <c r="I813" s="52"/>
      <c r="K813" s="43" t="str">
        <f t="shared" si="1"/>
        <v/>
      </c>
      <c r="L813" s="43" t="str">
        <f t="shared" si="2"/>
        <v/>
      </c>
    </row>
    <row r="814">
      <c r="I814" s="52"/>
      <c r="K814" s="43" t="str">
        <f t="shared" si="1"/>
        <v/>
      </c>
      <c r="L814" s="43" t="str">
        <f t="shared" si="2"/>
        <v/>
      </c>
    </row>
    <row r="815">
      <c r="I815" s="52"/>
      <c r="K815" s="43" t="str">
        <f t="shared" si="1"/>
        <v/>
      </c>
      <c r="L815" s="43" t="str">
        <f t="shared" si="2"/>
        <v/>
      </c>
    </row>
    <row r="816">
      <c r="I816" s="52"/>
      <c r="K816" s="43" t="str">
        <f t="shared" si="1"/>
        <v/>
      </c>
      <c r="L816" s="43" t="str">
        <f t="shared" si="2"/>
        <v/>
      </c>
    </row>
    <row r="817">
      <c r="I817" s="52"/>
      <c r="K817" s="43" t="str">
        <f t="shared" si="1"/>
        <v/>
      </c>
      <c r="L817" s="43" t="str">
        <f t="shared" si="2"/>
        <v/>
      </c>
    </row>
    <row r="818">
      <c r="I818" s="52"/>
      <c r="K818" s="43" t="str">
        <f t="shared" si="1"/>
        <v/>
      </c>
      <c r="L818" s="43" t="str">
        <f t="shared" si="2"/>
        <v/>
      </c>
    </row>
    <row r="819">
      <c r="I819" s="52"/>
      <c r="K819" s="43" t="str">
        <f t="shared" si="1"/>
        <v/>
      </c>
      <c r="L819" s="43" t="str">
        <f t="shared" si="2"/>
        <v/>
      </c>
    </row>
    <row r="820">
      <c r="I820" s="52"/>
      <c r="K820" s="43" t="str">
        <f t="shared" si="1"/>
        <v/>
      </c>
      <c r="L820" s="43" t="str">
        <f t="shared" si="2"/>
        <v/>
      </c>
    </row>
    <row r="821">
      <c r="I821" s="52"/>
      <c r="K821" s="43" t="str">
        <f t="shared" si="1"/>
        <v/>
      </c>
      <c r="L821" s="43" t="str">
        <f t="shared" si="2"/>
        <v/>
      </c>
    </row>
    <row r="822">
      <c r="I822" s="52"/>
      <c r="K822" s="43" t="str">
        <f t="shared" si="1"/>
        <v/>
      </c>
      <c r="L822" s="43" t="str">
        <f t="shared" si="2"/>
        <v/>
      </c>
    </row>
    <row r="823">
      <c r="I823" s="52"/>
      <c r="K823" s="43" t="str">
        <f t="shared" si="1"/>
        <v/>
      </c>
      <c r="L823" s="43" t="str">
        <f t="shared" si="2"/>
        <v/>
      </c>
    </row>
    <row r="824">
      <c r="I824" s="52"/>
      <c r="K824" s="43" t="str">
        <f t="shared" si="1"/>
        <v/>
      </c>
      <c r="L824" s="43" t="str">
        <f t="shared" si="2"/>
        <v/>
      </c>
    </row>
    <row r="825">
      <c r="I825" s="52"/>
      <c r="K825" s="43" t="str">
        <f t="shared" si="1"/>
        <v/>
      </c>
      <c r="L825" s="43" t="str">
        <f t="shared" si="2"/>
        <v/>
      </c>
    </row>
    <row r="826">
      <c r="I826" s="52"/>
      <c r="K826" s="43" t="str">
        <f t="shared" si="1"/>
        <v/>
      </c>
      <c r="L826" s="43" t="str">
        <f t="shared" si="2"/>
        <v/>
      </c>
    </row>
    <row r="827">
      <c r="I827" s="52"/>
      <c r="K827" s="43" t="str">
        <f t="shared" si="1"/>
        <v/>
      </c>
      <c r="L827" s="43" t="str">
        <f t="shared" si="2"/>
        <v/>
      </c>
    </row>
    <row r="828">
      <c r="I828" s="52"/>
      <c r="K828" s="43" t="str">
        <f t="shared" si="1"/>
        <v/>
      </c>
      <c r="L828" s="43" t="str">
        <f t="shared" si="2"/>
        <v/>
      </c>
    </row>
    <row r="829">
      <c r="I829" s="52"/>
      <c r="K829" s="43" t="str">
        <f t="shared" si="1"/>
        <v/>
      </c>
      <c r="L829" s="43" t="str">
        <f t="shared" si="2"/>
        <v/>
      </c>
    </row>
    <row r="830">
      <c r="I830" s="52"/>
      <c r="K830" s="43" t="str">
        <f t="shared" si="1"/>
        <v/>
      </c>
      <c r="L830" s="43" t="str">
        <f t="shared" si="2"/>
        <v/>
      </c>
    </row>
    <row r="831">
      <c r="I831" s="52"/>
      <c r="K831" s="43" t="str">
        <f t="shared" si="1"/>
        <v/>
      </c>
      <c r="L831" s="43" t="str">
        <f t="shared" si="2"/>
        <v/>
      </c>
    </row>
    <row r="832">
      <c r="I832" s="52"/>
      <c r="K832" s="43" t="str">
        <f t="shared" si="1"/>
        <v/>
      </c>
      <c r="L832" s="43" t="str">
        <f t="shared" si="2"/>
        <v/>
      </c>
    </row>
    <row r="833">
      <c r="I833" s="52"/>
      <c r="K833" s="43" t="str">
        <f t="shared" si="1"/>
        <v/>
      </c>
      <c r="L833" s="43" t="str">
        <f t="shared" si="2"/>
        <v/>
      </c>
    </row>
    <row r="834">
      <c r="I834" s="52"/>
      <c r="K834" s="43" t="str">
        <f t="shared" si="1"/>
        <v/>
      </c>
      <c r="L834" s="43" t="str">
        <f t="shared" si="2"/>
        <v/>
      </c>
    </row>
    <row r="835">
      <c r="I835" s="52"/>
      <c r="K835" s="43" t="str">
        <f t="shared" si="1"/>
        <v/>
      </c>
      <c r="L835" s="43" t="str">
        <f t="shared" si="2"/>
        <v/>
      </c>
    </row>
    <row r="836">
      <c r="I836" s="52"/>
      <c r="K836" s="43" t="str">
        <f t="shared" si="1"/>
        <v/>
      </c>
      <c r="L836" s="43" t="str">
        <f t="shared" si="2"/>
        <v/>
      </c>
    </row>
    <row r="837">
      <c r="I837" s="52"/>
      <c r="K837" s="43" t="str">
        <f t="shared" si="1"/>
        <v/>
      </c>
      <c r="L837" s="43" t="str">
        <f t="shared" si="2"/>
        <v/>
      </c>
    </row>
    <row r="838">
      <c r="I838" s="52"/>
      <c r="K838" s="43" t="str">
        <f t="shared" si="1"/>
        <v/>
      </c>
      <c r="L838" s="43" t="str">
        <f t="shared" si="2"/>
        <v/>
      </c>
    </row>
    <row r="839">
      <c r="I839" s="52"/>
      <c r="K839" s="43" t="str">
        <f t="shared" si="1"/>
        <v/>
      </c>
      <c r="L839" s="43" t="str">
        <f t="shared" si="2"/>
        <v/>
      </c>
    </row>
    <row r="840">
      <c r="I840" s="52"/>
      <c r="K840" s="43" t="str">
        <f t="shared" si="1"/>
        <v/>
      </c>
      <c r="L840" s="43" t="str">
        <f t="shared" si="2"/>
        <v/>
      </c>
    </row>
    <row r="841">
      <c r="I841" s="52"/>
      <c r="K841" s="43" t="str">
        <f t="shared" si="1"/>
        <v/>
      </c>
      <c r="L841" s="43" t="str">
        <f t="shared" si="2"/>
        <v/>
      </c>
    </row>
    <row r="842">
      <c r="I842" s="52"/>
      <c r="K842" s="43" t="str">
        <f t="shared" si="1"/>
        <v/>
      </c>
      <c r="L842" s="43" t="str">
        <f t="shared" si="2"/>
        <v/>
      </c>
    </row>
    <row r="843">
      <c r="I843" s="52"/>
      <c r="K843" s="43" t="str">
        <f t="shared" si="1"/>
        <v/>
      </c>
      <c r="L843" s="43" t="str">
        <f t="shared" si="2"/>
        <v/>
      </c>
    </row>
    <row r="844">
      <c r="I844" s="52"/>
      <c r="K844" s="43" t="str">
        <f t="shared" si="1"/>
        <v/>
      </c>
      <c r="L844" s="43" t="str">
        <f t="shared" si="2"/>
        <v/>
      </c>
    </row>
    <row r="845">
      <c r="I845" s="52"/>
      <c r="K845" s="43" t="str">
        <f t="shared" si="1"/>
        <v/>
      </c>
      <c r="L845" s="43" t="str">
        <f t="shared" si="2"/>
        <v/>
      </c>
    </row>
    <row r="846">
      <c r="I846" s="52"/>
      <c r="K846" s="43" t="str">
        <f t="shared" si="1"/>
        <v/>
      </c>
      <c r="L846" s="43" t="str">
        <f t="shared" si="2"/>
        <v/>
      </c>
    </row>
    <row r="847">
      <c r="I847" s="52"/>
      <c r="K847" s="43" t="str">
        <f t="shared" si="1"/>
        <v/>
      </c>
      <c r="L847" s="43" t="str">
        <f t="shared" si="2"/>
        <v/>
      </c>
    </row>
    <row r="848">
      <c r="I848" s="52"/>
      <c r="K848" s="43" t="str">
        <f t="shared" si="1"/>
        <v/>
      </c>
      <c r="L848" s="43" t="str">
        <f t="shared" si="2"/>
        <v/>
      </c>
    </row>
    <row r="849">
      <c r="I849" s="52"/>
      <c r="K849" s="43" t="str">
        <f t="shared" si="1"/>
        <v/>
      </c>
      <c r="L849" s="43" t="str">
        <f t="shared" si="2"/>
        <v/>
      </c>
    </row>
    <row r="850">
      <c r="I850" s="52"/>
      <c r="K850" s="43" t="str">
        <f t="shared" si="1"/>
        <v/>
      </c>
      <c r="L850" s="43" t="str">
        <f t="shared" si="2"/>
        <v/>
      </c>
    </row>
    <row r="851">
      <c r="I851" s="52"/>
      <c r="K851" s="43" t="str">
        <f t="shared" si="1"/>
        <v/>
      </c>
      <c r="L851" s="43" t="str">
        <f t="shared" si="2"/>
        <v/>
      </c>
    </row>
    <row r="852">
      <c r="I852" s="52"/>
      <c r="K852" s="43" t="str">
        <f t="shared" si="1"/>
        <v/>
      </c>
      <c r="L852" s="43" t="str">
        <f t="shared" si="2"/>
        <v/>
      </c>
    </row>
    <row r="853">
      <c r="I853" s="52"/>
      <c r="K853" s="43" t="str">
        <f t="shared" si="1"/>
        <v/>
      </c>
      <c r="L853" s="43" t="str">
        <f t="shared" si="2"/>
        <v/>
      </c>
    </row>
    <row r="854">
      <c r="I854" s="52"/>
      <c r="K854" s="43" t="str">
        <f t="shared" si="1"/>
        <v/>
      </c>
      <c r="L854" s="43" t="str">
        <f t="shared" si="2"/>
        <v/>
      </c>
    </row>
    <row r="855">
      <c r="I855" s="52"/>
      <c r="K855" s="43" t="str">
        <f t="shared" si="1"/>
        <v/>
      </c>
      <c r="L855" s="43" t="str">
        <f t="shared" si="2"/>
        <v/>
      </c>
    </row>
    <row r="856">
      <c r="I856" s="52"/>
      <c r="K856" s="43" t="str">
        <f t="shared" si="1"/>
        <v/>
      </c>
      <c r="L856" s="43" t="str">
        <f t="shared" si="2"/>
        <v/>
      </c>
    </row>
    <row r="857">
      <c r="I857" s="52"/>
      <c r="K857" s="43" t="str">
        <f t="shared" si="1"/>
        <v/>
      </c>
      <c r="L857" s="43" t="str">
        <f t="shared" si="2"/>
        <v/>
      </c>
    </row>
    <row r="858">
      <c r="I858" s="52"/>
      <c r="K858" s="43" t="str">
        <f t="shared" si="1"/>
        <v/>
      </c>
      <c r="L858" s="43" t="str">
        <f t="shared" si="2"/>
        <v/>
      </c>
    </row>
    <row r="859">
      <c r="I859" s="52"/>
      <c r="K859" s="43" t="str">
        <f t="shared" si="1"/>
        <v/>
      </c>
      <c r="L859" s="43" t="str">
        <f t="shared" si="2"/>
        <v/>
      </c>
    </row>
    <row r="860">
      <c r="I860" s="52"/>
      <c r="K860" s="43" t="str">
        <f t="shared" si="1"/>
        <v/>
      </c>
      <c r="L860" s="43" t="str">
        <f t="shared" si="2"/>
        <v/>
      </c>
    </row>
    <row r="861">
      <c r="I861" s="52"/>
      <c r="K861" s="43" t="str">
        <f t="shared" si="1"/>
        <v/>
      </c>
      <c r="L861" s="43" t="str">
        <f t="shared" si="2"/>
        <v/>
      </c>
    </row>
    <row r="862">
      <c r="I862" s="52"/>
      <c r="K862" s="43" t="str">
        <f t="shared" si="1"/>
        <v/>
      </c>
      <c r="L862" s="43" t="str">
        <f t="shared" si="2"/>
        <v/>
      </c>
    </row>
    <row r="863">
      <c r="I863" s="52"/>
      <c r="K863" s="43" t="str">
        <f t="shared" si="1"/>
        <v/>
      </c>
      <c r="L863" s="43" t="str">
        <f t="shared" si="2"/>
        <v/>
      </c>
    </row>
    <row r="864">
      <c r="I864" s="52"/>
      <c r="K864" s="43" t="str">
        <f t="shared" si="1"/>
        <v/>
      </c>
      <c r="L864" s="43" t="str">
        <f t="shared" si="2"/>
        <v/>
      </c>
    </row>
    <row r="865">
      <c r="I865" s="52"/>
      <c r="K865" s="43" t="str">
        <f t="shared" si="1"/>
        <v/>
      </c>
      <c r="L865" s="43" t="str">
        <f t="shared" si="2"/>
        <v/>
      </c>
    </row>
    <row r="866">
      <c r="I866" s="52"/>
      <c r="K866" s="43" t="str">
        <f t="shared" si="1"/>
        <v/>
      </c>
      <c r="L866" s="43" t="str">
        <f t="shared" si="2"/>
        <v/>
      </c>
    </row>
    <row r="867">
      <c r="I867" s="52"/>
      <c r="K867" s="43" t="str">
        <f t="shared" si="1"/>
        <v/>
      </c>
      <c r="L867" s="43" t="str">
        <f t="shared" si="2"/>
        <v/>
      </c>
    </row>
    <row r="868">
      <c r="I868" s="52"/>
      <c r="K868" s="43" t="str">
        <f t="shared" si="1"/>
        <v/>
      </c>
      <c r="L868" s="43" t="str">
        <f t="shared" si="2"/>
        <v/>
      </c>
    </row>
    <row r="869">
      <c r="I869" s="52"/>
      <c r="K869" s="43" t="str">
        <f t="shared" si="1"/>
        <v/>
      </c>
      <c r="L869" s="43" t="str">
        <f t="shared" si="2"/>
        <v/>
      </c>
    </row>
    <row r="870">
      <c r="I870" s="52"/>
      <c r="K870" s="43" t="str">
        <f t="shared" si="1"/>
        <v/>
      </c>
      <c r="L870" s="43" t="str">
        <f t="shared" si="2"/>
        <v/>
      </c>
    </row>
    <row r="871">
      <c r="I871" s="52"/>
      <c r="K871" s="43" t="str">
        <f t="shared" si="1"/>
        <v/>
      </c>
      <c r="L871" s="43" t="str">
        <f t="shared" si="2"/>
        <v/>
      </c>
    </row>
    <row r="872">
      <c r="I872" s="52"/>
      <c r="K872" s="43" t="str">
        <f t="shared" si="1"/>
        <v/>
      </c>
      <c r="L872" s="43" t="str">
        <f t="shared" si="2"/>
        <v/>
      </c>
    </row>
    <row r="873">
      <c r="I873" s="52"/>
      <c r="K873" s="43" t="str">
        <f t="shared" si="1"/>
        <v/>
      </c>
      <c r="L873" s="43" t="str">
        <f t="shared" si="2"/>
        <v/>
      </c>
    </row>
    <row r="874">
      <c r="I874" s="52"/>
      <c r="K874" s="43" t="str">
        <f t="shared" si="1"/>
        <v/>
      </c>
      <c r="L874" s="43" t="str">
        <f t="shared" si="2"/>
        <v/>
      </c>
    </row>
    <row r="875">
      <c r="I875" s="52"/>
      <c r="K875" s="43" t="str">
        <f t="shared" si="1"/>
        <v/>
      </c>
      <c r="L875" s="43" t="str">
        <f t="shared" si="2"/>
        <v/>
      </c>
    </row>
    <row r="876">
      <c r="I876" s="52"/>
      <c r="K876" s="43" t="str">
        <f t="shared" si="1"/>
        <v/>
      </c>
      <c r="L876" s="43" t="str">
        <f t="shared" si="2"/>
        <v/>
      </c>
    </row>
    <row r="877">
      <c r="I877" s="52"/>
      <c r="K877" s="43" t="str">
        <f t="shared" si="1"/>
        <v/>
      </c>
      <c r="L877" s="43" t="str">
        <f t="shared" si="2"/>
        <v/>
      </c>
    </row>
    <row r="878">
      <c r="I878" s="52"/>
      <c r="K878" s="43" t="str">
        <f t="shared" si="1"/>
        <v/>
      </c>
      <c r="L878" s="43" t="str">
        <f t="shared" si="2"/>
        <v/>
      </c>
    </row>
    <row r="879">
      <c r="I879" s="52"/>
      <c r="K879" s="43" t="str">
        <f t="shared" si="1"/>
        <v/>
      </c>
      <c r="L879" s="43" t="str">
        <f t="shared" si="2"/>
        <v/>
      </c>
    </row>
    <row r="880">
      <c r="I880" s="52"/>
      <c r="K880" s="43" t="str">
        <f t="shared" si="1"/>
        <v/>
      </c>
      <c r="L880" s="43" t="str">
        <f t="shared" si="2"/>
        <v/>
      </c>
    </row>
    <row r="881">
      <c r="I881" s="52"/>
      <c r="K881" s="43" t="str">
        <f t="shared" si="1"/>
        <v/>
      </c>
      <c r="L881" s="43" t="str">
        <f t="shared" si="2"/>
        <v/>
      </c>
    </row>
    <row r="882">
      <c r="I882" s="52"/>
      <c r="K882" s="43" t="str">
        <f t="shared" si="1"/>
        <v/>
      </c>
      <c r="L882" s="43" t="str">
        <f t="shared" si="2"/>
        <v/>
      </c>
    </row>
    <row r="883">
      <c r="I883" s="52"/>
      <c r="K883" s="43" t="str">
        <f t="shared" si="1"/>
        <v/>
      </c>
      <c r="L883" s="43" t="str">
        <f t="shared" si="2"/>
        <v/>
      </c>
    </row>
    <row r="884">
      <c r="I884" s="52"/>
      <c r="K884" s="43" t="str">
        <f t="shared" si="1"/>
        <v/>
      </c>
      <c r="L884" s="43" t="str">
        <f t="shared" si="2"/>
        <v/>
      </c>
    </row>
    <row r="885">
      <c r="I885" s="52"/>
      <c r="K885" s="43" t="str">
        <f t="shared" si="1"/>
        <v/>
      </c>
      <c r="L885" s="43" t="str">
        <f t="shared" si="2"/>
        <v/>
      </c>
    </row>
    <row r="886">
      <c r="I886" s="52"/>
      <c r="K886" s="43" t="str">
        <f t="shared" si="1"/>
        <v/>
      </c>
      <c r="L886" s="43" t="str">
        <f t="shared" si="2"/>
        <v/>
      </c>
    </row>
    <row r="887">
      <c r="I887" s="52"/>
      <c r="K887" s="43" t="str">
        <f t="shared" si="1"/>
        <v/>
      </c>
      <c r="L887" s="43" t="str">
        <f t="shared" si="2"/>
        <v/>
      </c>
    </row>
    <row r="888">
      <c r="I888" s="52"/>
      <c r="K888" s="43" t="str">
        <f t="shared" si="1"/>
        <v/>
      </c>
      <c r="L888" s="43" t="str">
        <f t="shared" si="2"/>
        <v/>
      </c>
    </row>
    <row r="889">
      <c r="I889" s="52"/>
      <c r="K889" s="43" t="str">
        <f t="shared" si="1"/>
        <v/>
      </c>
      <c r="L889" s="43" t="str">
        <f t="shared" si="2"/>
        <v/>
      </c>
    </row>
    <row r="890">
      <c r="I890" s="52"/>
      <c r="K890" s="43" t="str">
        <f t="shared" si="1"/>
        <v/>
      </c>
      <c r="L890" s="43" t="str">
        <f t="shared" si="2"/>
        <v/>
      </c>
    </row>
    <row r="891">
      <c r="I891" s="52"/>
      <c r="K891" s="43" t="str">
        <f t="shared" si="1"/>
        <v/>
      </c>
      <c r="L891" s="43" t="str">
        <f t="shared" si="2"/>
        <v/>
      </c>
    </row>
    <row r="892">
      <c r="I892" s="52"/>
      <c r="K892" s="43" t="str">
        <f t="shared" si="1"/>
        <v/>
      </c>
      <c r="L892" s="43" t="str">
        <f t="shared" si="2"/>
        <v/>
      </c>
    </row>
    <row r="893">
      <c r="I893" s="52"/>
      <c r="K893" s="43" t="str">
        <f t="shared" si="1"/>
        <v/>
      </c>
      <c r="L893" s="43" t="str">
        <f t="shared" si="2"/>
        <v/>
      </c>
    </row>
    <row r="894">
      <c r="I894" s="52"/>
      <c r="K894" s="43" t="str">
        <f t="shared" si="1"/>
        <v/>
      </c>
      <c r="L894" s="43" t="str">
        <f t="shared" si="2"/>
        <v/>
      </c>
    </row>
    <row r="895">
      <c r="I895" s="52"/>
      <c r="K895" s="43" t="str">
        <f t="shared" si="1"/>
        <v/>
      </c>
      <c r="L895" s="43" t="str">
        <f t="shared" si="2"/>
        <v/>
      </c>
    </row>
    <row r="896">
      <c r="I896" s="52"/>
      <c r="K896" s="43" t="str">
        <f t="shared" si="1"/>
        <v/>
      </c>
      <c r="L896" s="43" t="str">
        <f t="shared" si="2"/>
        <v/>
      </c>
    </row>
    <row r="897">
      <c r="I897" s="52"/>
      <c r="K897" s="43" t="str">
        <f t="shared" si="1"/>
        <v/>
      </c>
      <c r="L897" s="43" t="str">
        <f t="shared" si="2"/>
        <v/>
      </c>
    </row>
    <row r="898">
      <c r="I898" s="52"/>
      <c r="K898" s="43" t="str">
        <f t="shared" si="1"/>
        <v/>
      </c>
      <c r="L898" s="43" t="str">
        <f t="shared" si="2"/>
        <v/>
      </c>
    </row>
    <row r="899">
      <c r="I899" s="52"/>
      <c r="K899" s="43" t="str">
        <f t="shared" si="1"/>
        <v/>
      </c>
      <c r="L899" s="43" t="str">
        <f t="shared" si="2"/>
        <v/>
      </c>
    </row>
    <row r="900">
      <c r="I900" s="52"/>
      <c r="K900" s="43" t="str">
        <f t="shared" si="1"/>
        <v/>
      </c>
      <c r="L900" s="43" t="str">
        <f t="shared" si="2"/>
        <v/>
      </c>
    </row>
    <row r="901">
      <c r="I901" s="52"/>
      <c r="K901" s="43" t="str">
        <f t="shared" si="1"/>
        <v/>
      </c>
      <c r="L901" s="43" t="str">
        <f t="shared" si="2"/>
        <v/>
      </c>
    </row>
    <row r="902">
      <c r="I902" s="52"/>
      <c r="K902" s="43" t="str">
        <f t="shared" si="1"/>
        <v/>
      </c>
      <c r="L902" s="43" t="str">
        <f t="shared" si="2"/>
        <v/>
      </c>
    </row>
    <row r="903">
      <c r="I903" s="52"/>
      <c r="K903" s="43" t="str">
        <f t="shared" si="1"/>
        <v/>
      </c>
      <c r="L903" s="43" t="str">
        <f t="shared" si="2"/>
        <v/>
      </c>
    </row>
    <row r="904">
      <c r="I904" s="52"/>
      <c r="K904" s="43" t="str">
        <f t="shared" si="1"/>
        <v/>
      </c>
      <c r="L904" s="43" t="str">
        <f t="shared" si="2"/>
        <v/>
      </c>
    </row>
    <row r="905">
      <c r="I905" s="52"/>
      <c r="K905" s="43" t="str">
        <f t="shared" si="1"/>
        <v/>
      </c>
      <c r="L905" s="43" t="str">
        <f t="shared" si="2"/>
        <v/>
      </c>
    </row>
    <row r="906">
      <c r="I906" s="52"/>
      <c r="K906" s="43" t="str">
        <f t="shared" si="1"/>
        <v/>
      </c>
      <c r="L906" s="43" t="str">
        <f t="shared" si="2"/>
        <v/>
      </c>
    </row>
    <row r="907">
      <c r="I907" s="52"/>
      <c r="K907" s="43" t="str">
        <f t="shared" si="1"/>
        <v/>
      </c>
      <c r="L907" s="43" t="str">
        <f t="shared" si="2"/>
        <v/>
      </c>
    </row>
    <row r="908">
      <c r="I908" s="52"/>
      <c r="K908" s="43" t="str">
        <f t="shared" si="1"/>
        <v/>
      </c>
      <c r="L908" s="43" t="str">
        <f t="shared" si="2"/>
        <v/>
      </c>
    </row>
    <row r="909">
      <c r="I909" s="52"/>
      <c r="K909" s="43" t="str">
        <f t="shared" si="1"/>
        <v/>
      </c>
      <c r="L909" s="43" t="str">
        <f t="shared" si="2"/>
        <v/>
      </c>
    </row>
    <row r="910">
      <c r="I910" s="52"/>
      <c r="K910" s="43" t="str">
        <f t="shared" si="1"/>
        <v/>
      </c>
      <c r="L910" s="43" t="str">
        <f t="shared" si="2"/>
        <v/>
      </c>
    </row>
    <row r="911">
      <c r="I911" s="52"/>
      <c r="K911" s="43" t="str">
        <f t="shared" si="1"/>
        <v/>
      </c>
      <c r="L911" s="43" t="str">
        <f t="shared" si="2"/>
        <v/>
      </c>
    </row>
    <row r="912">
      <c r="I912" s="52"/>
      <c r="K912" s="43" t="str">
        <f t="shared" si="1"/>
        <v/>
      </c>
      <c r="L912" s="43" t="str">
        <f t="shared" si="2"/>
        <v/>
      </c>
    </row>
    <row r="913">
      <c r="I913" s="52"/>
      <c r="K913" s="43" t="str">
        <f t="shared" si="1"/>
        <v/>
      </c>
      <c r="L913" s="43" t="str">
        <f t="shared" si="2"/>
        <v/>
      </c>
    </row>
    <row r="914">
      <c r="I914" s="52"/>
      <c r="K914" s="43" t="str">
        <f t="shared" si="1"/>
        <v/>
      </c>
      <c r="L914" s="43" t="str">
        <f t="shared" si="2"/>
        <v/>
      </c>
    </row>
    <row r="915">
      <c r="I915" s="52"/>
      <c r="K915" s="43" t="str">
        <f t="shared" si="1"/>
        <v/>
      </c>
      <c r="L915" s="43" t="str">
        <f t="shared" si="2"/>
        <v/>
      </c>
    </row>
    <row r="916">
      <c r="I916" s="52"/>
      <c r="K916" s="43" t="str">
        <f t="shared" si="1"/>
        <v/>
      </c>
      <c r="L916" s="43" t="str">
        <f t="shared" si="2"/>
        <v/>
      </c>
    </row>
    <row r="917">
      <c r="I917" s="52"/>
      <c r="K917" s="43" t="str">
        <f t="shared" si="1"/>
        <v/>
      </c>
      <c r="L917" s="43" t="str">
        <f t="shared" si="2"/>
        <v/>
      </c>
    </row>
    <row r="918">
      <c r="I918" s="52"/>
      <c r="K918" s="43" t="str">
        <f t="shared" si="1"/>
        <v/>
      </c>
      <c r="L918" s="43" t="str">
        <f t="shared" si="2"/>
        <v/>
      </c>
    </row>
    <row r="919">
      <c r="I919" s="52"/>
      <c r="K919" s="43" t="str">
        <f t="shared" si="1"/>
        <v/>
      </c>
      <c r="L919" s="43" t="str">
        <f t="shared" si="2"/>
        <v/>
      </c>
    </row>
    <row r="920">
      <c r="I920" s="52"/>
      <c r="K920" s="43" t="str">
        <f t="shared" si="1"/>
        <v/>
      </c>
      <c r="L920" s="43" t="str">
        <f t="shared" si="2"/>
        <v/>
      </c>
    </row>
    <row r="921">
      <c r="I921" s="52"/>
      <c r="K921" s="43" t="str">
        <f t="shared" si="1"/>
        <v/>
      </c>
      <c r="L921" s="43" t="str">
        <f t="shared" si="2"/>
        <v/>
      </c>
    </row>
    <row r="922">
      <c r="I922" s="52"/>
      <c r="K922" s="43" t="str">
        <f t="shared" si="1"/>
        <v/>
      </c>
      <c r="L922" s="43" t="str">
        <f t="shared" si="2"/>
        <v/>
      </c>
    </row>
    <row r="923">
      <c r="I923" s="52"/>
      <c r="K923" s="43" t="str">
        <f t="shared" si="1"/>
        <v/>
      </c>
      <c r="L923" s="43" t="str">
        <f t="shared" si="2"/>
        <v/>
      </c>
    </row>
    <row r="924">
      <c r="I924" s="52"/>
      <c r="K924" s="43" t="str">
        <f t="shared" si="1"/>
        <v/>
      </c>
      <c r="L924" s="43" t="str">
        <f t="shared" si="2"/>
        <v/>
      </c>
    </row>
    <row r="925">
      <c r="I925" s="52"/>
      <c r="K925" s="43" t="str">
        <f t="shared" si="1"/>
        <v/>
      </c>
      <c r="L925" s="43" t="str">
        <f t="shared" si="2"/>
        <v/>
      </c>
    </row>
    <row r="926">
      <c r="I926" s="52"/>
      <c r="K926" s="43" t="str">
        <f t="shared" si="1"/>
        <v/>
      </c>
      <c r="L926" s="43" t="str">
        <f t="shared" si="2"/>
        <v/>
      </c>
    </row>
    <row r="927">
      <c r="I927" s="52"/>
      <c r="K927" s="43" t="str">
        <f t="shared" si="1"/>
        <v/>
      </c>
      <c r="L927" s="43" t="str">
        <f t="shared" si="2"/>
        <v/>
      </c>
    </row>
    <row r="928">
      <c r="I928" s="52"/>
      <c r="K928" s="43" t="str">
        <f t="shared" si="1"/>
        <v/>
      </c>
      <c r="L928" s="43" t="str">
        <f t="shared" si="2"/>
        <v/>
      </c>
    </row>
    <row r="929">
      <c r="I929" s="52"/>
      <c r="K929" s="43" t="str">
        <f t="shared" si="1"/>
        <v/>
      </c>
      <c r="L929" s="43" t="str">
        <f t="shared" si="2"/>
        <v/>
      </c>
    </row>
    <row r="930">
      <c r="I930" s="52"/>
      <c r="K930" s="43" t="str">
        <f t="shared" si="1"/>
        <v/>
      </c>
      <c r="L930" s="43" t="str">
        <f t="shared" si="2"/>
        <v/>
      </c>
    </row>
    <row r="931">
      <c r="I931" s="52"/>
      <c r="K931" s="43" t="str">
        <f t="shared" si="1"/>
        <v/>
      </c>
      <c r="L931" s="43" t="str">
        <f t="shared" si="2"/>
        <v/>
      </c>
    </row>
    <row r="932">
      <c r="I932" s="52"/>
      <c r="K932" s="43" t="str">
        <f t="shared" si="1"/>
        <v/>
      </c>
      <c r="L932" s="43" t="str">
        <f t="shared" si="2"/>
        <v/>
      </c>
    </row>
    <row r="933">
      <c r="I933" s="52"/>
      <c r="K933" s="43" t="str">
        <f t="shared" si="1"/>
        <v/>
      </c>
      <c r="L933" s="43" t="str">
        <f t="shared" si="2"/>
        <v/>
      </c>
    </row>
    <row r="934">
      <c r="I934" s="52"/>
      <c r="K934" s="43" t="str">
        <f t="shared" si="1"/>
        <v/>
      </c>
      <c r="L934" s="43" t="str">
        <f t="shared" si="2"/>
        <v/>
      </c>
    </row>
    <row r="935">
      <c r="I935" s="52"/>
      <c r="K935" s="43" t="str">
        <f t="shared" si="1"/>
        <v/>
      </c>
      <c r="L935" s="43" t="str">
        <f t="shared" si="2"/>
        <v/>
      </c>
    </row>
    <row r="936">
      <c r="I936" s="52"/>
      <c r="K936" s="43" t="str">
        <f t="shared" si="1"/>
        <v/>
      </c>
      <c r="L936" s="43" t="str">
        <f t="shared" si="2"/>
        <v/>
      </c>
    </row>
    <row r="937">
      <c r="I937" s="52"/>
      <c r="K937" s="43" t="str">
        <f t="shared" si="1"/>
        <v/>
      </c>
      <c r="L937" s="43" t="str">
        <f t="shared" si="2"/>
        <v/>
      </c>
    </row>
    <row r="938">
      <c r="I938" s="52"/>
      <c r="K938" s="43" t="str">
        <f t="shared" si="1"/>
        <v/>
      </c>
      <c r="L938" s="43" t="str">
        <f t="shared" si="2"/>
        <v/>
      </c>
    </row>
    <row r="939">
      <c r="I939" s="52"/>
      <c r="K939" s="43" t="str">
        <f t="shared" si="1"/>
        <v/>
      </c>
      <c r="L939" s="43" t="str">
        <f t="shared" si="2"/>
        <v/>
      </c>
    </row>
    <row r="940">
      <c r="I940" s="52"/>
      <c r="K940" s="43" t="str">
        <f t="shared" si="1"/>
        <v/>
      </c>
      <c r="L940" s="43" t="str">
        <f t="shared" si="2"/>
        <v/>
      </c>
    </row>
    <row r="941">
      <c r="I941" s="52"/>
      <c r="K941" s="43" t="str">
        <f t="shared" si="1"/>
        <v/>
      </c>
      <c r="L941" s="43" t="str">
        <f t="shared" si="2"/>
        <v/>
      </c>
    </row>
    <row r="942">
      <c r="I942" s="52"/>
      <c r="K942" s="43" t="str">
        <f t="shared" si="1"/>
        <v/>
      </c>
      <c r="L942" s="43" t="str">
        <f t="shared" si="2"/>
        <v/>
      </c>
    </row>
    <row r="943">
      <c r="I943" s="52"/>
      <c r="K943" s="43" t="str">
        <f t="shared" si="1"/>
        <v/>
      </c>
      <c r="L943" s="43" t="str">
        <f t="shared" si="2"/>
        <v/>
      </c>
    </row>
    <row r="944">
      <c r="I944" s="52"/>
      <c r="K944" s="43" t="str">
        <f t="shared" si="1"/>
        <v/>
      </c>
      <c r="L944" s="43" t="str">
        <f t="shared" si="2"/>
        <v/>
      </c>
    </row>
    <row r="945">
      <c r="I945" s="52"/>
      <c r="K945" s="43" t="str">
        <f t="shared" si="1"/>
        <v/>
      </c>
      <c r="L945" s="43" t="str">
        <f t="shared" si="2"/>
        <v/>
      </c>
    </row>
    <row r="946">
      <c r="I946" s="52"/>
      <c r="K946" s="43" t="str">
        <f t="shared" si="1"/>
        <v/>
      </c>
      <c r="L946" s="43" t="str">
        <f t="shared" si="2"/>
        <v/>
      </c>
    </row>
    <row r="947">
      <c r="I947" s="52"/>
      <c r="K947" s="43" t="str">
        <f t="shared" si="1"/>
        <v/>
      </c>
      <c r="L947" s="43" t="str">
        <f t="shared" si="2"/>
        <v/>
      </c>
    </row>
    <row r="948">
      <c r="I948" s="52"/>
      <c r="K948" s="43" t="str">
        <f t="shared" si="1"/>
        <v/>
      </c>
      <c r="L948" s="43" t="str">
        <f t="shared" si="2"/>
        <v/>
      </c>
    </row>
    <row r="949">
      <c r="I949" s="52"/>
      <c r="K949" s="43" t="str">
        <f t="shared" si="1"/>
        <v/>
      </c>
      <c r="L949" s="43" t="str">
        <f t="shared" si="2"/>
        <v/>
      </c>
    </row>
    <row r="950">
      <c r="I950" s="52"/>
      <c r="K950" s="43" t="str">
        <f t="shared" si="1"/>
        <v/>
      </c>
      <c r="L950" s="43" t="str">
        <f t="shared" si="2"/>
        <v/>
      </c>
    </row>
    <row r="951">
      <c r="I951" s="52"/>
      <c r="K951" s="43" t="str">
        <f t="shared" si="1"/>
        <v/>
      </c>
      <c r="L951" s="43" t="str">
        <f t="shared" si="2"/>
        <v/>
      </c>
    </row>
    <row r="952">
      <c r="I952" s="52"/>
      <c r="K952" s="43" t="str">
        <f t="shared" si="1"/>
        <v/>
      </c>
      <c r="L952" s="43" t="str">
        <f t="shared" si="2"/>
        <v/>
      </c>
    </row>
    <row r="953">
      <c r="I953" s="52"/>
      <c r="K953" s="43" t="str">
        <f t="shared" si="1"/>
        <v/>
      </c>
      <c r="L953" s="43" t="str">
        <f t="shared" si="2"/>
        <v/>
      </c>
    </row>
    <row r="954">
      <c r="I954" s="52"/>
      <c r="K954" s="43" t="str">
        <f t="shared" si="1"/>
        <v/>
      </c>
      <c r="L954" s="43" t="str">
        <f t="shared" si="2"/>
        <v/>
      </c>
    </row>
    <row r="955">
      <c r="I955" s="52"/>
      <c r="K955" s="43" t="str">
        <f t="shared" si="1"/>
        <v/>
      </c>
      <c r="L955" s="43" t="str">
        <f t="shared" si="2"/>
        <v/>
      </c>
    </row>
    <row r="956">
      <c r="I956" s="52"/>
      <c r="K956" s="43" t="str">
        <f t="shared" si="1"/>
        <v/>
      </c>
      <c r="L956" s="43" t="str">
        <f t="shared" si="2"/>
        <v/>
      </c>
    </row>
    <row r="957">
      <c r="I957" s="52"/>
      <c r="K957" s="43" t="str">
        <f t="shared" si="1"/>
        <v/>
      </c>
      <c r="L957" s="43" t="str">
        <f t="shared" si="2"/>
        <v/>
      </c>
    </row>
    <row r="958">
      <c r="I958" s="52"/>
      <c r="K958" s="43" t="str">
        <f t="shared" si="1"/>
        <v/>
      </c>
      <c r="L958" s="43" t="str">
        <f t="shared" si="2"/>
        <v/>
      </c>
    </row>
    <row r="959">
      <c r="I959" s="52"/>
      <c r="K959" s="43" t="str">
        <f t="shared" si="1"/>
        <v/>
      </c>
      <c r="L959" s="43" t="str">
        <f t="shared" si="2"/>
        <v/>
      </c>
    </row>
    <row r="960">
      <c r="I960" s="52"/>
      <c r="K960" s="43" t="str">
        <f t="shared" si="1"/>
        <v/>
      </c>
      <c r="L960" s="43" t="str">
        <f t="shared" si="2"/>
        <v/>
      </c>
    </row>
    <row r="961">
      <c r="I961" s="52"/>
      <c r="K961" s="43" t="str">
        <f t="shared" si="1"/>
        <v/>
      </c>
      <c r="L961" s="43" t="str">
        <f t="shared" si="2"/>
        <v/>
      </c>
    </row>
    <row r="962">
      <c r="I962" s="52"/>
      <c r="K962" s="43" t="str">
        <f t="shared" si="1"/>
        <v/>
      </c>
      <c r="L962" s="43" t="str">
        <f t="shared" si="2"/>
        <v/>
      </c>
    </row>
    <row r="963">
      <c r="I963" s="52"/>
      <c r="K963" s="43" t="str">
        <f t="shared" si="1"/>
        <v/>
      </c>
      <c r="L963" s="43" t="str">
        <f t="shared" si="2"/>
        <v/>
      </c>
    </row>
    <row r="964">
      <c r="I964" s="52"/>
      <c r="K964" s="43" t="str">
        <f t="shared" si="1"/>
        <v/>
      </c>
      <c r="L964" s="43" t="str">
        <f t="shared" si="2"/>
        <v/>
      </c>
    </row>
    <row r="965">
      <c r="I965" s="52"/>
      <c r="K965" s="43" t="str">
        <f t="shared" si="1"/>
        <v/>
      </c>
      <c r="L965" s="43" t="str">
        <f t="shared" si="2"/>
        <v/>
      </c>
    </row>
    <row r="966">
      <c r="I966" s="52"/>
      <c r="K966" s="43" t="str">
        <f t="shared" si="1"/>
        <v/>
      </c>
      <c r="L966" s="43" t="str">
        <f t="shared" si="2"/>
        <v/>
      </c>
    </row>
    <row r="967">
      <c r="I967" s="52"/>
      <c r="K967" s="43" t="str">
        <f t="shared" si="1"/>
        <v/>
      </c>
      <c r="L967" s="43" t="str">
        <f t="shared" si="2"/>
        <v/>
      </c>
    </row>
    <row r="968">
      <c r="I968" s="52"/>
      <c r="K968" s="43" t="str">
        <f t="shared" si="1"/>
        <v/>
      </c>
      <c r="L968" s="43" t="str">
        <f t="shared" si="2"/>
        <v/>
      </c>
    </row>
    <row r="969">
      <c r="I969" s="52"/>
      <c r="K969" s="43" t="str">
        <f t="shared" si="1"/>
        <v/>
      </c>
      <c r="L969" s="43" t="str">
        <f t="shared" si="2"/>
        <v/>
      </c>
    </row>
    <row r="970">
      <c r="I970" s="52"/>
      <c r="K970" s="43" t="str">
        <f t="shared" si="1"/>
        <v/>
      </c>
      <c r="L970" s="43" t="str">
        <f t="shared" si="2"/>
        <v/>
      </c>
    </row>
    <row r="971">
      <c r="I971" s="52"/>
      <c r="K971" s="43" t="str">
        <f t="shared" si="1"/>
        <v/>
      </c>
      <c r="L971" s="43" t="str">
        <f t="shared" si="2"/>
        <v/>
      </c>
    </row>
    <row r="972">
      <c r="I972" s="52"/>
      <c r="K972" s="43" t="str">
        <f t="shared" si="1"/>
        <v/>
      </c>
      <c r="L972" s="43" t="str">
        <f t="shared" si="2"/>
        <v/>
      </c>
    </row>
    <row r="973">
      <c r="I973" s="52"/>
      <c r="K973" s="43" t="str">
        <f t="shared" si="1"/>
        <v/>
      </c>
      <c r="L973" s="43" t="str">
        <f t="shared" si="2"/>
        <v/>
      </c>
    </row>
    <row r="974">
      <c r="I974" s="52"/>
      <c r="K974" s="43" t="str">
        <f t="shared" si="1"/>
        <v/>
      </c>
      <c r="L974" s="43" t="str">
        <f t="shared" si="2"/>
        <v/>
      </c>
    </row>
    <row r="975">
      <c r="I975" s="52"/>
      <c r="K975" s="43" t="str">
        <f t="shared" si="1"/>
        <v/>
      </c>
      <c r="L975" s="43" t="str">
        <f t="shared" si="2"/>
        <v/>
      </c>
    </row>
    <row r="976">
      <c r="I976" s="52"/>
      <c r="K976" s="43" t="str">
        <f t="shared" si="1"/>
        <v/>
      </c>
      <c r="L976" s="43" t="str">
        <f t="shared" si="2"/>
        <v/>
      </c>
    </row>
    <row r="977">
      <c r="I977" s="52"/>
      <c r="K977" s="43" t="str">
        <f t="shared" si="1"/>
        <v/>
      </c>
      <c r="L977" s="43" t="str">
        <f t="shared" si="2"/>
        <v/>
      </c>
    </row>
    <row r="978">
      <c r="I978" s="52"/>
      <c r="K978" s="43" t="str">
        <f t="shared" si="1"/>
        <v/>
      </c>
      <c r="L978" s="43" t="str">
        <f t="shared" si="2"/>
        <v/>
      </c>
    </row>
    <row r="979">
      <c r="I979" s="52"/>
      <c r="K979" s="43" t="str">
        <f t="shared" si="1"/>
        <v/>
      </c>
      <c r="L979" s="43" t="str">
        <f t="shared" si="2"/>
        <v/>
      </c>
    </row>
    <row r="980">
      <c r="I980" s="52"/>
      <c r="K980" s="43" t="str">
        <f t="shared" si="1"/>
        <v/>
      </c>
      <c r="L980" s="43" t="str">
        <f t="shared" si="2"/>
        <v/>
      </c>
    </row>
    <row r="981">
      <c r="I981" s="52"/>
      <c r="K981" s="43" t="str">
        <f t="shared" si="1"/>
        <v/>
      </c>
      <c r="L981" s="43" t="str">
        <f t="shared" si="2"/>
        <v/>
      </c>
    </row>
    <row r="982">
      <c r="I982" s="52"/>
      <c r="K982" s="43" t="str">
        <f t="shared" si="1"/>
        <v/>
      </c>
      <c r="L982" s="43" t="str">
        <f t="shared" si="2"/>
        <v/>
      </c>
    </row>
    <row r="983">
      <c r="I983" s="52"/>
      <c r="K983" s="43" t="str">
        <f t="shared" si="1"/>
        <v/>
      </c>
      <c r="L983" s="43" t="str">
        <f t="shared" si="2"/>
        <v/>
      </c>
    </row>
    <row r="984">
      <c r="I984" s="52"/>
      <c r="K984" s="43" t="str">
        <f t="shared" si="1"/>
        <v/>
      </c>
      <c r="L984" s="43" t="str">
        <f t="shared" si="2"/>
        <v/>
      </c>
    </row>
    <row r="985">
      <c r="I985" s="52"/>
      <c r="K985" s="43" t="str">
        <f t="shared" si="1"/>
        <v/>
      </c>
      <c r="L985" s="43" t="str">
        <f t="shared" si="2"/>
        <v/>
      </c>
    </row>
    <row r="986">
      <c r="I986" s="52"/>
      <c r="K986" s="43" t="str">
        <f t="shared" si="1"/>
        <v/>
      </c>
      <c r="L986" s="43" t="str">
        <f t="shared" si="2"/>
        <v/>
      </c>
    </row>
    <row r="987">
      <c r="I987" s="52"/>
      <c r="K987" s="43" t="str">
        <f t="shared" si="1"/>
        <v/>
      </c>
      <c r="L987" s="43" t="str">
        <f t="shared" si="2"/>
        <v/>
      </c>
    </row>
    <row r="988">
      <c r="I988" s="52"/>
      <c r="K988" s="43" t="str">
        <f t="shared" si="1"/>
        <v/>
      </c>
      <c r="L988" s="43" t="str">
        <f t="shared" si="2"/>
        <v/>
      </c>
    </row>
    <row r="989">
      <c r="I989" s="52"/>
      <c r="K989" s="43" t="str">
        <f t="shared" si="1"/>
        <v/>
      </c>
      <c r="L989" s="43" t="str">
        <f t="shared" si="2"/>
        <v/>
      </c>
    </row>
    <row r="990">
      <c r="I990" s="52"/>
      <c r="K990" s="43" t="str">
        <f t="shared" si="1"/>
        <v/>
      </c>
      <c r="L990" s="43" t="str">
        <f t="shared" si="2"/>
        <v/>
      </c>
    </row>
    <row r="991">
      <c r="I991" s="52"/>
      <c r="K991" s="43" t="str">
        <f t="shared" si="1"/>
        <v/>
      </c>
      <c r="L991" s="43" t="str">
        <f t="shared" si="2"/>
        <v/>
      </c>
    </row>
    <row r="992">
      <c r="I992" s="52"/>
      <c r="K992" s="43" t="str">
        <f t="shared" si="1"/>
        <v/>
      </c>
      <c r="L992" s="43" t="str">
        <f t="shared" si="2"/>
        <v/>
      </c>
    </row>
    <row r="993">
      <c r="I993" s="52"/>
      <c r="K993" s="43" t="str">
        <f t="shared" si="1"/>
        <v/>
      </c>
      <c r="L993" s="43" t="str">
        <f t="shared" si="2"/>
        <v/>
      </c>
    </row>
    <row r="994">
      <c r="I994" s="52"/>
      <c r="K994" s="43" t="str">
        <f t="shared" si="1"/>
        <v/>
      </c>
      <c r="L994" s="43" t="str">
        <f t="shared" si="2"/>
        <v/>
      </c>
    </row>
    <row r="995">
      <c r="I995" s="52"/>
      <c r="K995" s="43" t="str">
        <f t="shared" si="1"/>
        <v/>
      </c>
      <c r="L995" s="43" t="str">
        <f t="shared" si="2"/>
        <v/>
      </c>
    </row>
    <row r="996">
      <c r="I996" s="52"/>
      <c r="K996" s="43" t="str">
        <f t="shared" si="1"/>
        <v/>
      </c>
      <c r="L996" s="43" t="str">
        <f t="shared" si="2"/>
        <v/>
      </c>
    </row>
    <row r="997">
      <c r="I997" s="52"/>
      <c r="K997" s="43" t="str">
        <f t="shared" si="1"/>
        <v/>
      </c>
      <c r="L997" s="43" t="str">
        <f t="shared" si="2"/>
        <v/>
      </c>
    </row>
    <row r="998">
      <c r="I998" s="52"/>
      <c r="K998" s="43" t="str">
        <f t="shared" si="1"/>
        <v/>
      </c>
      <c r="L998" s="43" t="str">
        <f t="shared" si="2"/>
        <v/>
      </c>
    </row>
    <row r="999">
      <c r="I999" s="52"/>
      <c r="K999" s="43" t="str">
        <f t="shared" si="1"/>
        <v/>
      </c>
      <c r="L999" s="43" t="str">
        <f t="shared" si="2"/>
        <v/>
      </c>
    </row>
    <row r="1000">
      <c r="I1000" s="52"/>
      <c r="K1000" s="43" t="str">
        <f t="shared" si="1"/>
        <v/>
      </c>
      <c r="L1000" s="43" t="str">
        <f t="shared" si="2"/>
        <v/>
      </c>
    </row>
    <row r="1001">
      <c r="I1001" s="52"/>
      <c r="K1001" s="43" t="str">
        <f t="shared" si="1"/>
        <v/>
      </c>
      <c r="L1001" s="43" t="str">
        <f t="shared" si="2"/>
        <v/>
      </c>
    </row>
    <row r="1002">
      <c r="I1002" s="52"/>
      <c r="K1002" s="43" t="str">
        <f t="shared" si="1"/>
        <v/>
      </c>
      <c r="L1002" s="43" t="str">
        <f t="shared" si="2"/>
        <v/>
      </c>
    </row>
    <row r="1003">
      <c r="I1003" s="52"/>
      <c r="K1003" s="43" t="str">
        <f t="shared" si="1"/>
        <v/>
      </c>
      <c r="L1003" s="43" t="str">
        <f t="shared" si="2"/>
        <v/>
      </c>
    </row>
    <row r="1004">
      <c r="I1004" s="52"/>
      <c r="K1004" s="43" t="str">
        <f t="shared" si="1"/>
        <v/>
      </c>
      <c r="L1004" s="43" t="str">
        <f t="shared" si="2"/>
        <v/>
      </c>
    </row>
    <row r="1005">
      <c r="I1005" s="52"/>
      <c r="K1005" s="43" t="str">
        <f t="shared" si="1"/>
        <v/>
      </c>
      <c r="L1005" s="43" t="str">
        <f t="shared" si="2"/>
        <v/>
      </c>
    </row>
    <row r="1006">
      <c r="I1006" s="52"/>
      <c r="K1006" s="43" t="str">
        <f t="shared" si="1"/>
        <v/>
      </c>
      <c r="L1006" s="43" t="str">
        <f t="shared" si="2"/>
        <v/>
      </c>
    </row>
    <row r="1007">
      <c r="I1007" s="52"/>
      <c r="K1007" s="43" t="str">
        <f t="shared" si="1"/>
        <v/>
      </c>
      <c r="L1007" s="43" t="str">
        <f t="shared" si="2"/>
        <v/>
      </c>
    </row>
    <row r="1008">
      <c r="I1008" s="52"/>
      <c r="K1008" s="43" t="str">
        <f t="shared" si="1"/>
        <v/>
      </c>
      <c r="L1008" s="43" t="str">
        <f t="shared" si="2"/>
        <v/>
      </c>
    </row>
    <row r="1009">
      <c r="I1009" s="52"/>
      <c r="K1009" s="43" t="str">
        <f t="shared" si="1"/>
        <v/>
      </c>
      <c r="L1009" s="43" t="str">
        <f t="shared" si="2"/>
        <v/>
      </c>
    </row>
    <row r="1010">
      <c r="I1010" s="52"/>
      <c r="K1010" s="43" t="str">
        <f t="shared" si="1"/>
        <v/>
      </c>
      <c r="L1010" s="43" t="str">
        <f t="shared" si="2"/>
        <v/>
      </c>
    </row>
    <row r="1011">
      <c r="I1011" s="52"/>
      <c r="K1011" s="43" t="str">
        <f t="shared" si="1"/>
        <v/>
      </c>
      <c r="L1011" s="43" t="str">
        <f t="shared" si="2"/>
        <v/>
      </c>
    </row>
    <row r="1012">
      <c r="I1012" s="52"/>
      <c r="K1012" s="43" t="str">
        <f t="shared" si="1"/>
        <v/>
      </c>
      <c r="L1012" s="43" t="str">
        <f t="shared" si="2"/>
        <v/>
      </c>
    </row>
    <row r="1013">
      <c r="I1013" s="52"/>
      <c r="K1013" s="43" t="str">
        <f t="shared" si="1"/>
        <v/>
      </c>
      <c r="L1013" s="43" t="str">
        <f t="shared" si="2"/>
        <v/>
      </c>
    </row>
    <row r="1014">
      <c r="I1014" s="52"/>
      <c r="K1014" s="43" t="str">
        <f t="shared" si="1"/>
        <v/>
      </c>
      <c r="L1014" s="43" t="str">
        <f t="shared" si="2"/>
        <v/>
      </c>
    </row>
    <row r="1015">
      <c r="I1015" s="52"/>
      <c r="K1015" s="43" t="str">
        <f t="shared" si="1"/>
        <v/>
      </c>
      <c r="L1015" s="43" t="str">
        <f t="shared" si="2"/>
        <v/>
      </c>
    </row>
    <row r="1016">
      <c r="I1016" s="52"/>
      <c r="K1016" s="43" t="str">
        <f t="shared" si="1"/>
        <v/>
      </c>
      <c r="L1016" s="43" t="str">
        <f t="shared" si="2"/>
        <v/>
      </c>
    </row>
    <row r="1017">
      <c r="I1017" s="52"/>
      <c r="K1017" s="43" t="str">
        <f t="shared" si="1"/>
        <v/>
      </c>
      <c r="L1017" s="43" t="str">
        <f t="shared" si="2"/>
        <v/>
      </c>
    </row>
    <row r="1018">
      <c r="I1018" s="52"/>
      <c r="K1018" s="43" t="str">
        <f t="shared" si="1"/>
        <v/>
      </c>
      <c r="L1018" s="43" t="str">
        <f t="shared" si="2"/>
        <v/>
      </c>
    </row>
    <row r="1019">
      <c r="I1019" s="52"/>
      <c r="K1019" s="43" t="str">
        <f t="shared" si="1"/>
        <v/>
      </c>
      <c r="L1019" s="43" t="str">
        <f t="shared" si="2"/>
        <v/>
      </c>
    </row>
    <row r="1020">
      <c r="I1020" s="52"/>
      <c r="K1020" s="43" t="str">
        <f t="shared" si="1"/>
        <v/>
      </c>
      <c r="L1020" s="43" t="str">
        <f t="shared" si="2"/>
        <v/>
      </c>
    </row>
    <row r="1021">
      <c r="I1021" s="52"/>
      <c r="K1021" s="43" t="str">
        <f t="shared" si="1"/>
        <v/>
      </c>
      <c r="L1021" s="43" t="str">
        <f t="shared" si="2"/>
        <v/>
      </c>
    </row>
    <row r="1022">
      <c r="I1022" s="52"/>
      <c r="K1022" s="43" t="str">
        <f t="shared" si="1"/>
        <v/>
      </c>
      <c r="L1022" s="43" t="str">
        <f t="shared" si="2"/>
        <v/>
      </c>
    </row>
    <row r="1023">
      <c r="I1023" s="52"/>
      <c r="K1023" s="43" t="str">
        <f t="shared" si="1"/>
        <v/>
      </c>
      <c r="L1023" s="43" t="str">
        <f t="shared" si="2"/>
        <v/>
      </c>
    </row>
    <row r="1024">
      <c r="I1024" s="52"/>
      <c r="K1024" s="43" t="str">
        <f t="shared" si="1"/>
        <v/>
      </c>
      <c r="L1024" s="43" t="str">
        <f t="shared" si="2"/>
        <v/>
      </c>
    </row>
    <row r="1025">
      <c r="I1025" s="52"/>
      <c r="K1025" s="43" t="str">
        <f t="shared" si="1"/>
        <v/>
      </c>
      <c r="L1025" s="43" t="str">
        <f t="shared" si="2"/>
        <v/>
      </c>
    </row>
    <row r="1026">
      <c r="I1026" s="52"/>
      <c r="K1026" s="43" t="str">
        <f t="shared" si="1"/>
        <v/>
      </c>
      <c r="L1026" s="43" t="str">
        <f t="shared" si="2"/>
        <v/>
      </c>
    </row>
    <row r="1027">
      <c r="I1027" s="52"/>
      <c r="K1027" s="43" t="str">
        <f t="shared" si="1"/>
        <v/>
      </c>
      <c r="L1027" s="43" t="str">
        <f t="shared" si="2"/>
        <v/>
      </c>
    </row>
    <row r="1028">
      <c r="I1028" s="52"/>
      <c r="K1028" s="43" t="str">
        <f t="shared" si="1"/>
        <v/>
      </c>
      <c r="L1028" s="43" t="str">
        <f t="shared" si="2"/>
        <v/>
      </c>
    </row>
    <row r="1029">
      <c r="I1029" s="52"/>
      <c r="K1029" s="43" t="str">
        <f t="shared" si="1"/>
        <v/>
      </c>
      <c r="L1029" s="43" t="str">
        <f t="shared" si="2"/>
        <v/>
      </c>
    </row>
    <row r="1030">
      <c r="I1030" s="52"/>
      <c r="K1030" s="43" t="str">
        <f t="shared" si="1"/>
        <v/>
      </c>
      <c r="L1030" s="43" t="str">
        <f t="shared" si="2"/>
        <v/>
      </c>
    </row>
    <row r="1031">
      <c r="I1031" s="52"/>
      <c r="K1031" s="43" t="str">
        <f t="shared" si="1"/>
        <v/>
      </c>
      <c r="L1031" s="43" t="str">
        <f t="shared" si="2"/>
        <v/>
      </c>
    </row>
    <row r="1032">
      <c r="I1032" s="52"/>
      <c r="K1032" s="43" t="str">
        <f t="shared" si="1"/>
        <v/>
      </c>
      <c r="L1032" s="43" t="str">
        <f t="shared" si="2"/>
        <v/>
      </c>
    </row>
    <row r="1033">
      <c r="I1033" s="52"/>
      <c r="K1033" s="43" t="str">
        <f t="shared" si="1"/>
        <v/>
      </c>
      <c r="L1033" s="43" t="str">
        <f t="shared" si="2"/>
        <v/>
      </c>
    </row>
    <row r="1034">
      <c r="I1034" s="52"/>
      <c r="K1034" s="43" t="str">
        <f t="shared" si="1"/>
        <v/>
      </c>
      <c r="L1034" s="43" t="str">
        <f t="shared" si="2"/>
        <v/>
      </c>
    </row>
    <row r="1035">
      <c r="I1035" s="52"/>
      <c r="K1035" s="43" t="str">
        <f t="shared" si="1"/>
        <v/>
      </c>
      <c r="L1035" s="43" t="str">
        <f t="shared" si="2"/>
        <v/>
      </c>
    </row>
    <row r="1036">
      <c r="I1036" s="52"/>
      <c r="K1036" s="43" t="str">
        <f t="shared" si="1"/>
        <v/>
      </c>
      <c r="L1036" s="43" t="str">
        <f t="shared" si="2"/>
        <v/>
      </c>
    </row>
    <row r="1037">
      <c r="I1037" s="52"/>
      <c r="K1037" s="43" t="str">
        <f t="shared" si="1"/>
        <v/>
      </c>
      <c r="L1037" s="43" t="str">
        <f t="shared" si="2"/>
        <v/>
      </c>
    </row>
    <row r="1038">
      <c r="I1038" s="52"/>
      <c r="K1038" s="43" t="str">
        <f t="shared" si="1"/>
        <v/>
      </c>
      <c r="L1038" s="43" t="str">
        <f t="shared" si="2"/>
        <v/>
      </c>
    </row>
    <row r="1039">
      <c r="I1039" s="52"/>
      <c r="K1039" s="43" t="str">
        <f t="shared" si="1"/>
        <v/>
      </c>
      <c r="L1039" s="43" t="str">
        <f t="shared" si="2"/>
        <v/>
      </c>
    </row>
    <row r="1040">
      <c r="I1040" s="52"/>
      <c r="K1040" s="43" t="str">
        <f t="shared" si="1"/>
        <v/>
      </c>
      <c r="L1040" s="43" t="str">
        <f t="shared" si="2"/>
        <v/>
      </c>
    </row>
    <row r="1041">
      <c r="I1041" s="52"/>
      <c r="K1041" s="43" t="str">
        <f t="shared" si="1"/>
        <v/>
      </c>
      <c r="L1041" s="43" t="str">
        <f t="shared" si="2"/>
        <v/>
      </c>
    </row>
    <row r="1042">
      <c r="I1042" s="52"/>
      <c r="K1042" s="43" t="str">
        <f t="shared" si="1"/>
        <v/>
      </c>
      <c r="L1042" s="43" t="str">
        <f t="shared" si="2"/>
        <v/>
      </c>
    </row>
    <row r="1043">
      <c r="I1043" s="52"/>
      <c r="K1043" s="43" t="str">
        <f t="shared" si="1"/>
        <v/>
      </c>
      <c r="L1043" s="43" t="str">
        <f t="shared" si="2"/>
        <v/>
      </c>
    </row>
    <row r="1044">
      <c r="I1044" s="52"/>
      <c r="K1044" s="43" t="str">
        <f t="shared" si="1"/>
        <v/>
      </c>
      <c r="L1044" s="43" t="str">
        <f t="shared" si="2"/>
        <v/>
      </c>
    </row>
    <row r="1045">
      <c r="I1045" s="52"/>
      <c r="K1045" s="43" t="str">
        <f t="shared" si="1"/>
        <v/>
      </c>
      <c r="L1045" s="43" t="str">
        <f t="shared" si="2"/>
        <v/>
      </c>
    </row>
    <row r="1046">
      <c r="I1046" s="52"/>
      <c r="K1046" s="43" t="str">
        <f t="shared" si="1"/>
        <v/>
      </c>
      <c r="L1046" s="43" t="str">
        <f t="shared" si="2"/>
        <v/>
      </c>
    </row>
    <row r="1047">
      <c r="I1047" s="52"/>
      <c r="K1047" s="43" t="str">
        <f t="shared" si="1"/>
        <v/>
      </c>
      <c r="L1047" s="43" t="str">
        <f t="shared" si="2"/>
        <v/>
      </c>
    </row>
    <row r="1048">
      <c r="I1048" s="52"/>
      <c r="K1048" s="43" t="str">
        <f t="shared" si="1"/>
        <v/>
      </c>
      <c r="L1048" s="43" t="str">
        <f t="shared" si="2"/>
        <v/>
      </c>
    </row>
    <row r="1049">
      <c r="I1049" s="52"/>
      <c r="K1049" s="43" t="str">
        <f t="shared" si="1"/>
        <v/>
      </c>
      <c r="L1049" s="43" t="str">
        <f t="shared" si="2"/>
        <v/>
      </c>
    </row>
    <row r="1050">
      <c r="I1050" s="52"/>
      <c r="K1050" s="43" t="str">
        <f t="shared" si="1"/>
        <v/>
      </c>
      <c r="L1050" s="43" t="str">
        <f t="shared" si="2"/>
        <v/>
      </c>
    </row>
    <row r="1051">
      <c r="I1051" s="52"/>
      <c r="K1051" s="43" t="str">
        <f t="shared" si="1"/>
        <v/>
      </c>
      <c r="L1051" s="43" t="str">
        <f t="shared" si="2"/>
        <v/>
      </c>
    </row>
    <row r="1052">
      <c r="I1052" s="52"/>
      <c r="K1052" s="43" t="str">
        <f t="shared" si="1"/>
        <v/>
      </c>
      <c r="L1052" s="43" t="str">
        <f t="shared" si="2"/>
        <v/>
      </c>
    </row>
    <row r="1053">
      <c r="I1053" s="52"/>
      <c r="K1053" s="43" t="str">
        <f t="shared" si="1"/>
        <v/>
      </c>
      <c r="L1053" s="43" t="str">
        <f t="shared" si="2"/>
        <v/>
      </c>
    </row>
    <row r="1054">
      <c r="I1054" s="52"/>
      <c r="K1054" s="43" t="str">
        <f t="shared" si="1"/>
        <v/>
      </c>
      <c r="L1054" s="43" t="str">
        <f t="shared" si="2"/>
        <v/>
      </c>
    </row>
    <row r="1055">
      <c r="I1055" s="52"/>
      <c r="K1055" s="43" t="str">
        <f t="shared" si="1"/>
        <v/>
      </c>
      <c r="L1055" s="43" t="str">
        <f t="shared" si="2"/>
        <v/>
      </c>
    </row>
    <row r="1056">
      <c r="I1056" s="52"/>
      <c r="K1056" s="43" t="str">
        <f t="shared" si="1"/>
        <v/>
      </c>
      <c r="L1056" s="43" t="str">
        <f t="shared" si="2"/>
        <v/>
      </c>
    </row>
    <row r="1057">
      <c r="I1057" s="52"/>
      <c r="K1057" s="43" t="str">
        <f t="shared" si="1"/>
        <v/>
      </c>
      <c r="L1057" s="43" t="str">
        <f t="shared" si="2"/>
        <v/>
      </c>
    </row>
    <row r="1058">
      <c r="I1058" s="52"/>
      <c r="K1058" s="43" t="str">
        <f t="shared" si="1"/>
        <v/>
      </c>
      <c r="L1058" s="43" t="str">
        <f t="shared" si="2"/>
        <v/>
      </c>
    </row>
    <row r="1059">
      <c r="I1059" s="52"/>
      <c r="K1059" s="43" t="str">
        <f t="shared" si="1"/>
        <v/>
      </c>
      <c r="L1059" s="43" t="str">
        <f t="shared" si="2"/>
        <v/>
      </c>
    </row>
    <row r="1060">
      <c r="I1060" s="52"/>
      <c r="K1060" s="43" t="str">
        <f t="shared" si="1"/>
        <v/>
      </c>
      <c r="L1060" s="43" t="str">
        <f t="shared" si="2"/>
        <v/>
      </c>
    </row>
    <row r="1061">
      <c r="I1061" s="52"/>
      <c r="K1061" s="43" t="str">
        <f t="shared" si="1"/>
        <v/>
      </c>
      <c r="L1061" s="43" t="str">
        <f t="shared" si="2"/>
        <v/>
      </c>
    </row>
    <row r="1062">
      <c r="I1062" s="52"/>
      <c r="K1062" s="43" t="str">
        <f t="shared" si="1"/>
        <v/>
      </c>
      <c r="L1062" s="43" t="str">
        <f t="shared" si="2"/>
        <v/>
      </c>
    </row>
    <row r="1063">
      <c r="I1063" s="52"/>
      <c r="K1063" s="43" t="str">
        <f t="shared" si="1"/>
        <v/>
      </c>
      <c r="L1063" s="43" t="str">
        <f t="shared" si="2"/>
        <v/>
      </c>
    </row>
    <row r="1064">
      <c r="I1064" s="52"/>
      <c r="K1064" s="43" t="str">
        <f t="shared" si="1"/>
        <v/>
      </c>
      <c r="L1064" s="43" t="str">
        <f t="shared" si="2"/>
        <v/>
      </c>
    </row>
    <row r="1065">
      <c r="I1065" s="52"/>
      <c r="K1065" s="43" t="str">
        <f t="shared" si="1"/>
        <v/>
      </c>
      <c r="L1065" s="43" t="str">
        <f t="shared" si="2"/>
        <v/>
      </c>
    </row>
    <row r="1066">
      <c r="I1066" s="52"/>
      <c r="K1066" s="43" t="str">
        <f t="shared" si="1"/>
        <v/>
      </c>
      <c r="L1066" s="43" t="str">
        <f t="shared" si="2"/>
        <v/>
      </c>
    </row>
    <row r="1067">
      <c r="I1067" s="52"/>
      <c r="K1067" s="43" t="str">
        <f t="shared" si="1"/>
        <v/>
      </c>
      <c r="L1067" s="43" t="str">
        <f t="shared" si="2"/>
        <v/>
      </c>
    </row>
    <row r="1068">
      <c r="I1068" s="52"/>
      <c r="K1068" s="43" t="str">
        <f t="shared" si="1"/>
        <v/>
      </c>
      <c r="L1068" s="43" t="str">
        <f t="shared" si="2"/>
        <v/>
      </c>
    </row>
    <row r="1069">
      <c r="I1069" s="52"/>
      <c r="K1069" s="43" t="str">
        <f t="shared" si="1"/>
        <v/>
      </c>
      <c r="L1069" s="43" t="str">
        <f t="shared" si="2"/>
        <v/>
      </c>
    </row>
    <row r="1070">
      <c r="I1070" s="52"/>
      <c r="K1070" s="43" t="str">
        <f t="shared" si="1"/>
        <v/>
      </c>
      <c r="L1070" s="43" t="str">
        <f t="shared" si="2"/>
        <v/>
      </c>
    </row>
    <row r="1071">
      <c r="I1071" s="52"/>
      <c r="K1071" s="43" t="str">
        <f t="shared" si="1"/>
        <v/>
      </c>
      <c r="L1071" s="43" t="str">
        <f t="shared" si="2"/>
        <v/>
      </c>
    </row>
    <row r="1072">
      <c r="I1072" s="52"/>
      <c r="K1072" s="43" t="str">
        <f t="shared" si="1"/>
        <v/>
      </c>
      <c r="L1072" s="43" t="str">
        <f t="shared" si="2"/>
        <v/>
      </c>
    </row>
    <row r="1073">
      <c r="I1073" s="52"/>
      <c r="K1073" s="43" t="str">
        <f t="shared" si="1"/>
        <v/>
      </c>
      <c r="L1073" s="43" t="str">
        <f t="shared" si="2"/>
        <v/>
      </c>
    </row>
    <row r="1074">
      <c r="I1074" s="52"/>
      <c r="K1074" s="43" t="str">
        <f t="shared" si="1"/>
        <v/>
      </c>
      <c r="L1074" s="43" t="str">
        <f t="shared" si="2"/>
        <v/>
      </c>
    </row>
    <row r="1075">
      <c r="I1075" s="52"/>
      <c r="K1075" s="43" t="str">
        <f t="shared" si="1"/>
        <v/>
      </c>
      <c r="L1075" s="43" t="str">
        <f t="shared" si="2"/>
        <v/>
      </c>
    </row>
    <row r="1076">
      <c r="I1076" s="52"/>
      <c r="K1076" s="43" t="str">
        <f t="shared" si="1"/>
        <v/>
      </c>
      <c r="L1076" s="43" t="str">
        <f t="shared" si="2"/>
        <v/>
      </c>
    </row>
    <row r="1077">
      <c r="I1077" s="52"/>
      <c r="K1077" s="43" t="str">
        <f t="shared" si="1"/>
        <v/>
      </c>
      <c r="L1077" s="43" t="str">
        <f t="shared" si="2"/>
        <v/>
      </c>
    </row>
    <row r="1078">
      <c r="I1078" s="52"/>
      <c r="K1078" s="43" t="str">
        <f t="shared" si="1"/>
        <v/>
      </c>
      <c r="L1078" s="43" t="str">
        <f t="shared" si="2"/>
        <v/>
      </c>
    </row>
    <row r="1079">
      <c r="I1079" s="52"/>
      <c r="K1079" s="43" t="str">
        <f t="shared" si="1"/>
        <v/>
      </c>
      <c r="L1079" s="43" t="str">
        <f t="shared" si="2"/>
        <v/>
      </c>
    </row>
    <row r="1080">
      <c r="I1080" s="52"/>
      <c r="K1080" s="43" t="str">
        <f t="shared" si="1"/>
        <v/>
      </c>
      <c r="L1080" s="43" t="str">
        <f t="shared" si="2"/>
        <v/>
      </c>
    </row>
    <row r="1081">
      <c r="I1081" s="52"/>
      <c r="K1081" s="43" t="str">
        <f t="shared" si="1"/>
        <v/>
      </c>
      <c r="L1081" s="43" t="str">
        <f t="shared" si="2"/>
        <v/>
      </c>
    </row>
    <row r="1082">
      <c r="I1082" s="52"/>
      <c r="K1082" s="43" t="str">
        <f t="shared" si="1"/>
        <v/>
      </c>
      <c r="L1082" s="43" t="str">
        <f t="shared" si="2"/>
        <v/>
      </c>
    </row>
    <row r="1083">
      <c r="I1083" s="52"/>
      <c r="K1083" s="43" t="str">
        <f t="shared" si="1"/>
        <v/>
      </c>
      <c r="L1083" s="43" t="str">
        <f t="shared" si="2"/>
        <v/>
      </c>
    </row>
    <row r="1084">
      <c r="I1084" s="52"/>
      <c r="K1084" s="43" t="str">
        <f t="shared" si="1"/>
        <v/>
      </c>
      <c r="L1084" s="43" t="str">
        <f t="shared" si="2"/>
        <v/>
      </c>
    </row>
    <row r="1085">
      <c r="I1085" s="52"/>
      <c r="K1085" s="43" t="str">
        <f t="shared" si="1"/>
        <v/>
      </c>
      <c r="L1085" s="43" t="str">
        <f t="shared" si="2"/>
        <v/>
      </c>
    </row>
    <row r="1086">
      <c r="I1086" s="52"/>
      <c r="K1086" s="43" t="str">
        <f t="shared" si="1"/>
        <v/>
      </c>
      <c r="L1086" s="43" t="str">
        <f t="shared" si="2"/>
        <v/>
      </c>
    </row>
    <row r="1087">
      <c r="I1087" s="52"/>
      <c r="K1087" s="43" t="str">
        <f t="shared" si="1"/>
        <v/>
      </c>
      <c r="L1087" s="43" t="str">
        <f t="shared" si="2"/>
        <v/>
      </c>
    </row>
    <row r="1088">
      <c r="I1088" s="52"/>
      <c r="K1088" s="43" t="str">
        <f t="shared" si="1"/>
        <v/>
      </c>
      <c r="L1088" s="43" t="str">
        <f t="shared" si="2"/>
        <v/>
      </c>
    </row>
    <row r="1089">
      <c r="I1089" s="52"/>
      <c r="K1089" s="43" t="str">
        <f t="shared" si="1"/>
        <v/>
      </c>
      <c r="L1089" s="43" t="str">
        <f t="shared" si="2"/>
        <v/>
      </c>
    </row>
    <row r="1090">
      <c r="I1090" s="52"/>
      <c r="K1090" s="43" t="str">
        <f t="shared" si="1"/>
        <v/>
      </c>
      <c r="L1090" s="43" t="str">
        <f t="shared" si="2"/>
        <v/>
      </c>
    </row>
    <row r="1091">
      <c r="I1091" s="52"/>
      <c r="K1091" s="43" t="str">
        <f t="shared" si="1"/>
        <v/>
      </c>
      <c r="L1091" s="43" t="str">
        <f t="shared" si="2"/>
        <v/>
      </c>
    </row>
    <row r="1092">
      <c r="I1092" s="52"/>
      <c r="K1092" s="43" t="str">
        <f t="shared" si="1"/>
        <v/>
      </c>
      <c r="L1092" s="43" t="str">
        <f t="shared" si="2"/>
        <v/>
      </c>
    </row>
    <row r="1093">
      <c r="I1093" s="52"/>
      <c r="K1093" s="43" t="str">
        <f t="shared" si="1"/>
        <v/>
      </c>
      <c r="L1093" s="43" t="str">
        <f t="shared" si="2"/>
        <v/>
      </c>
    </row>
    <row r="1094">
      <c r="I1094" s="52"/>
      <c r="K1094" s="43" t="str">
        <f t="shared" si="1"/>
        <v/>
      </c>
      <c r="L1094" s="43" t="str">
        <f t="shared" si="2"/>
        <v/>
      </c>
    </row>
    <row r="1095">
      <c r="I1095" s="52"/>
      <c r="K1095" s="43" t="str">
        <f t="shared" si="1"/>
        <v/>
      </c>
      <c r="L1095" s="43" t="str">
        <f t="shared" si="2"/>
        <v/>
      </c>
    </row>
    <row r="1096">
      <c r="I1096" s="52"/>
      <c r="K1096" s="43" t="str">
        <f t="shared" si="1"/>
        <v/>
      </c>
      <c r="L1096" s="43" t="str">
        <f t="shared" si="2"/>
        <v/>
      </c>
    </row>
    <row r="1097">
      <c r="I1097" s="52"/>
      <c r="K1097" s="43" t="str">
        <f t="shared" si="1"/>
        <v/>
      </c>
      <c r="L1097" s="43" t="str">
        <f t="shared" si="2"/>
        <v/>
      </c>
    </row>
    <row r="1098">
      <c r="I1098" s="52"/>
      <c r="K1098" s="43" t="str">
        <f t="shared" si="1"/>
        <v/>
      </c>
      <c r="L1098" s="43" t="str">
        <f t="shared" si="2"/>
        <v/>
      </c>
    </row>
    <row r="1099">
      <c r="I1099" s="52"/>
      <c r="K1099" s="43" t="str">
        <f t="shared" si="1"/>
        <v/>
      </c>
      <c r="L1099" s="43" t="str">
        <f t="shared" si="2"/>
        <v/>
      </c>
    </row>
    <row r="1100">
      <c r="I1100" s="52"/>
      <c r="K1100" s="43" t="str">
        <f t="shared" si="1"/>
        <v/>
      </c>
      <c r="L1100" s="43" t="str">
        <f t="shared" si="2"/>
        <v/>
      </c>
    </row>
    <row r="1101">
      <c r="I1101" s="52"/>
      <c r="K1101" s="43" t="str">
        <f t="shared" si="1"/>
        <v/>
      </c>
      <c r="L1101" s="43" t="str">
        <f t="shared" si="2"/>
        <v/>
      </c>
    </row>
    <row r="1102">
      <c r="I1102" s="52"/>
      <c r="K1102" s="43" t="str">
        <f t="shared" si="1"/>
        <v/>
      </c>
      <c r="L1102" s="43" t="str">
        <f t="shared" si="2"/>
        <v/>
      </c>
    </row>
    <row r="1103">
      <c r="I1103" s="52"/>
      <c r="K1103" s="43" t="str">
        <f t="shared" si="1"/>
        <v/>
      </c>
      <c r="L1103" s="43" t="str">
        <f t="shared" si="2"/>
        <v/>
      </c>
    </row>
    <row r="1104">
      <c r="I1104" s="52"/>
      <c r="K1104" s="43" t="str">
        <f t="shared" si="1"/>
        <v/>
      </c>
      <c r="L1104" s="43" t="str">
        <f t="shared" si="2"/>
        <v/>
      </c>
    </row>
    <row r="1105">
      <c r="I1105" s="52"/>
      <c r="K1105" s="43" t="str">
        <f t="shared" si="1"/>
        <v/>
      </c>
      <c r="L1105" s="43" t="str">
        <f t="shared" si="2"/>
        <v/>
      </c>
    </row>
    <row r="1106">
      <c r="I1106" s="52"/>
      <c r="K1106" s="43" t="str">
        <f t="shared" si="1"/>
        <v/>
      </c>
      <c r="L1106" s="43" t="str">
        <f t="shared" si="2"/>
        <v/>
      </c>
    </row>
    <row r="1107">
      <c r="I1107" s="52"/>
      <c r="K1107" s="43" t="str">
        <f t="shared" si="1"/>
        <v/>
      </c>
      <c r="L1107" s="43" t="str">
        <f t="shared" si="2"/>
        <v/>
      </c>
    </row>
    <row r="1108">
      <c r="I1108" s="52"/>
      <c r="K1108" s="43" t="str">
        <f t="shared" si="1"/>
        <v/>
      </c>
      <c r="L1108" s="43" t="str">
        <f t="shared" si="2"/>
        <v/>
      </c>
    </row>
    <row r="1109">
      <c r="I1109" s="52"/>
      <c r="K1109" s="43" t="str">
        <f t="shared" si="1"/>
        <v/>
      </c>
      <c r="L1109" s="43" t="str">
        <f t="shared" si="2"/>
        <v/>
      </c>
    </row>
    <row r="1110">
      <c r="I1110" s="52"/>
      <c r="K1110" s="43" t="str">
        <f t="shared" si="1"/>
        <v/>
      </c>
      <c r="L1110" s="43" t="str">
        <f t="shared" si="2"/>
        <v/>
      </c>
    </row>
    <row r="1111">
      <c r="I1111" s="52"/>
      <c r="K1111" s="43" t="str">
        <f t="shared" si="1"/>
        <v/>
      </c>
      <c r="L1111" s="43" t="str">
        <f t="shared" si="2"/>
        <v/>
      </c>
    </row>
    <row r="1112">
      <c r="I1112" s="52"/>
      <c r="K1112" s="43" t="str">
        <f t="shared" si="1"/>
        <v/>
      </c>
      <c r="L1112" s="43" t="str">
        <f t="shared" si="2"/>
        <v/>
      </c>
    </row>
    <row r="1113">
      <c r="I1113" s="52"/>
      <c r="K1113" s="43" t="str">
        <f t="shared" si="1"/>
        <v/>
      </c>
      <c r="L1113" s="43" t="str">
        <f t="shared" si="2"/>
        <v/>
      </c>
    </row>
    <row r="1114">
      <c r="I1114" s="52"/>
      <c r="K1114" s="43" t="str">
        <f t="shared" si="1"/>
        <v/>
      </c>
      <c r="L1114" s="43" t="str">
        <f t="shared" si="2"/>
        <v/>
      </c>
    </row>
    <row r="1115">
      <c r="I1115" s="52"/>
      <c r="K1115" s="43" t="str">
        <f t="shared" si="1"/>
        <v/>
      </c>
      <c r="L1115" s="43" t="str">
        <f t="shared" si="2"/>
        <v/>
      </c>
    </row>
    <row r="1116">
      <c r="I1116" s="52"/>
      <c r="K1116" s="43" t="str">
        <f t="shared" si="1"/>
        <v/>
      </c>
      <c r="L1116" s="43" t="str">
        <f t="shared" si="2"/>
        <v/>
      </c>
    </row>
    <row r="1117">
      <c r="I1117" s="52"/>
      <c r="K1117" s="43" t="str">
        <f t="shared" si="1"/>
        <v/>
      </c>
      <c r="L1117" s="43" t="str">
        <f t="shared" si="2"/>
        <v/>
      </c>
    </row>
    <row r="1118">
      <c r="I1118" s="52"/>
      <c r="K1118" s="43" t="str">
        <f t="shared" si="1"/>
        <v/>
      </c>
      <c r="L1118" s="43" t="str">
        <f t="shared" si="2"/>
        <v/>
      </c>
    </row>
    <row r="1119">
      <c r="I1119" s="52"/>
      <c r="K1119" s="43" t="str">
        <f t="shared" si="1"/>
        <v/>
      </c>
      <c r="L1119" s="43" t="str">
        <f t="shared" si="2"/>
        <v/>
      </c>
    </row>
    <row r="1120">
      <c r="I1120" s="52"/>
      <c r="K1120" s="43" t="str">
        <f t="shared" si="1"/>
        <v/>
      </c>
      <c r="L1120" s="43" t="str">
        <f t="shared" si="2"/>
        <v/>
      </c>
    </row>
    <row r="1121">
      <c r="I1121" s="52"/>
      <c r="K1121" s="43" t="str">
        <f t="shared" si="1"/>
        <v/>
      </c>
      <c r="L1121" s="43" t="str">
        <f t="shared" si="2"/>
        <v/>
      </c>
    </row>
    <row r="1122">
      <c r="I1122" s="52"/>
      <c r="K1122" s="43" t="str">
        <f t="shared" si="1"/>
        <v/>
      </c>
      <c r="L1122" s="43" t="str">
        <f t="shared" si="2"/>
        <v/>
      </c>
    </row>
    <row r="1123">
      <c r="I1123" s="52"/>
      <c r="K1123" s="43" t="str">
        <f t="shared" si="1"/>
        <v/>
      </c>
      <c r="L1123" s="43" t="str">
        <f t="shared" si="2"/>
        <v/>
      </c>
    </row>
    <row r="1124">
      <c r="I1124" s="52"/>
      <c r="K1124" s="43" t="str">
        <f t="shared" si="1"/>
        <v/>
      </c>
      <c r="L1124" s="43" t="str">
        <f t="shared" si="2"/>
        <v/>
      </c>
    </row>
    <row r="1125">
      <c r="I1125" s="52"/>
      <c r="K1125" s="43" t="str">
        <f t="shared" si="1"/>
        <v/>
      </c>
      <c r="L1125" s="43" t="str">
        <f t="shared" si="2"/>
        <v/>
      </c>
    </row>
    <row r="1126">
      <c r="I1126" s="52"/>
      <c r="K1126" s="43" t="str">
        <f t="shared" si="1"/>
        <v/>
      </c>
      <c r="L1126" s="43" t="str">
        <f t="shared" si="2"/>
        <v/>
      </c>
    </row>
    <row r="1127">
      <c r="I1127" s="52"/>
      <c r="K1127" s="43" t="str">
        <f t="shared" si="1"/>
        <v/>
      </c>
      <c r="L1127" s="43" t="str">
        <f t="shared" si="2"/>
        <v/>
      </c>
    </row>
    <row r="1128">
      <c r="I1128" s="52"/>
      <c r="K1128" s="43" t="str">
        <f t="shared" si="1"/>
        <v/>
      </c>
      <c r="L1128" s="43" t="str">
        <f t="shared" si="2"/>
        <v/>
      </c>
    </row>
    <row r="1129">
      <c r="I1129" s="52"/>
      <c r="K1129" s="43" t="str">
        <f t="shared" si="1"/>
        <v/>
      </c>
      <c r="L1129" s="43" t="str">
        <f t="shared" si="2"/>
        <v/>
      </c>
    </row>
    <row r="1130">
      <c r="I1130" s="52"/>
      <c r="K1130" s="43" t="str">
        <f t="shared" si="1"/>
        <v/>
      </c>
      <c r="L1130" s="43" t="str">
        <f t="shared" si="2"/>
        <v/>
      </c>
    </row>
    <row r="1131">
      <c r="I1131" s="52"/>
      <c r="K1131" s="43" t="str">
        <f t="shared" si="1"/>
        <v/>
      </c>
      <c r="L1131" s="43" t="str">
        <f t="shared" si="2"/>
        <v/>
      </c>
    </row>
    <row r="1132">
      <c r="I1132" s="52"/>
      <c r="K1132" s="43" t="str">
        <f t="shared" si="1"/>
        <v/>
      </c>
      <c r="L1132" s="43" t="str">
        <f t="shared" si="2"/>
        <v/>
      </c>
    </row>
    <row r="1133">
      <c r="I1133" s="52"/>
      <c r="K1133" s="43" t="str">
        <f t="shared" si="1"/>
        <v/>
      </c>
      <c r="L1133" s="43" t="str">
        <f t="shared" si="2"/>
        <v/>
      </c>
    </row>
    <row r="1134">
      <c r="I1134" s="52"/>
      <c r="K1134" s="43" t="str">
        <f t="shared" si="1"/>
        <v/>
      </c>
      <c r="L1134" s="43" t="str">
        <f t="shared" si="2"/>
        <v/>
      </c>
    </row>
    <row r="1135">
      <c r="I1135" s="52"/>
      <c r="K1135" s="43" t="str">
        <f t="shared" si="1"/>
        <v/>
      </c>
      <c r="L1135" s="43" t="str">
        <f t="shared" si="2"/>
        <v/>
      </c>
    </row>
    <row r="1136">
      <c r="I1136" s="52"/>
      <c r="K1136" s="43" t="str">
        <f t="shared" si="1"/>
        <v/>
      </c>
      <c r="L1136" s="43" t="str">
        <f t="shared" si="2"/>
        <v/>
      </c>
    </row>
    <row r="1137">
      <c r="I1137" s="52"/>
      <c r="K1137" s="43" t="str">
        <f t="shared" si="1"/>
        <v/>
      </c>
      <c r="L1137" s="43" t="str">
        <f t="shared" si="2"/>
        <v/>
      </c>
    </row>
    <row r="1138">
      <c r="I1138" s="52"/>
      <c r="K1138" s="43" t="str">
        <f t="shared" si="1"/>
        <v/>
      </c>
      <c r="L1138" s="43" t="str">
        <f t="shared" si="2"/>
        <v/>
      </c>
    </row>
    <row r="1139">
      <c r="I1139" s="52"/>
      <c r="K1139" s="43" t="str">
        <f t="shared" si="1"/>
        <v/>
      </c>
      <c r="L1139" s="43" t="str">
        <f t="shared" si="2"/>
        <v/>
      </c>
    </row>
    <row r="1140">
      <c r="I1140" s="52"/>
      <c r="K1140" s="43" t="str">
        <f t="shared" si="1"/>
        <v/>
      </c>
      <c r="L1140" s="43" t="str">
        <f t="shared" si="2"/>
        <v/>
      </c>
    </row>
    <row r="1141">
      <c r="I1141" s="52"/>
      <c r="K1141" s="43" t="str">
        <f t="shared" si="1"/>
        <v/>
      </c>
      <c r="L1141" s="43" t="str">
        <f t="shared" si="2"/>
        <v/>
      </c>
    </row>
    <row r="1142">
      <c r="I1142" s="52"/>
      <c r="K1142" s="43" t="str">
        <f t="shared" si="1"/>
        <v/>
      </c>
      <c r="L1142" s="43" t="str">
        <f t="shared" si="2"/>
        <v/>
      </c>
    </row>
    <row r="1143">
      <c r="I1143" s="52"/>
      <c r="K1143" s="43" t="str">
        <f t="shared" si="1"/>
        <v/>
      </c>
      <c r="L1143" s="43" t="str">
        <f t="shared" si="2"/>
        <v/>
      </c>
    </row>
    <row r="1144">
      <c r="I1144" s="52"/>
      <c r="K1144" s="43" t="str">
        <f t="shared" si="1"/>
        <v/>
      </c>
      <c r="L1144" s="43" t="str">
        <f t="shared" si="2"/>
        <v/>
      </c>
    </row>
    <row r="1145">
      <c r="I1145" s="52"/>
      <c r="K1145" s="43" t="str">
        <f t="shared" si="1"/>
        <v/>
      </c>
      <c r="L1145" s="43" t="str">
        <f t="shared" si="2"/>
        <v/>
      </c>
    </row>
    <row r="1146">
      <c r="I1146" s="52"/>
      <c r="K1146" s="43" t="str">
        <f t="shared" si="1"/>
        <v/>
      </c>
      <c r="L1146" s="43" t="str">
        <f t="shared" si="2"/>
        <v/>
      </c>
    </row>
    <row r="1147">
      <c r="I1147" s="52"/>
      <c r="K1147" s="43" t="str">
        <f t="shared" si="1"/>
        <v/>
      </c>
      <c r="L1147" s="43" t="str">
        <f t="shared" si="2"/>
        <v/>
      </c>
    </row>
    <row r="1148">
      <c r="I1148" s="52"/>
      <c r="K1148" s="43" t="str">
        <f t="shared" si="1"/>
        <v/>
      </c>
      <c r="L1148" s="43" t="str">
        <f t="shared" si="2"/>
        <v/>
      </c>
    </row>
    <row r="1149">
      <c r="I1149" s="52"/>
      <c r="K1149" s="43" t="str">
        <f t="shared" si="1"/>
        <v/>
      </c>
      <c r="L1149" s="43" t="str">
        <f t="shared" si="2"/>
        <v/>
      </c>
    </row>
    <row r="1150">
      <c r="I1150" s="52"/>
      <c r="K1150" s="43" t="str">
        <f t="shared" si="1"/>
        <v/>
      </c>
      <c r="L1150" s="43" t="str">
        <f t="shared" si="2"/>
        <v/>
      </c>
    </row>
    <row r="1151">
      <c r="I1151" s="52"/>
      <c r="K1151" s="43" t="str">
        <f t="shared" si="1"/>
        <v/>
      </c>
      <c r="L1151" s="43" t="str">
        <f t="shared" si="2"/>
        <v/>
      </c>
    </row>
    <row r="1152">
      <c r="I1152" s="52"/>
      <c r="K1152" s="43" t="str">
        <f t="shared" si="1"/>
        <v/>
      </c>
      <c r="L1152" s="43" t="str">
        <f t="shared" si="2"/>
        <v/>
      </c>
    </row>
    <row r="1153">
      <c r="I1153" s="52"/>
      <c r="K1153" s="43" t="str">
        <f t="shared" si="1"/>
        <v/>
      </c>
      <c r="L1153" s="43" t="str">
        <f t="shared" si="2"/>
        <v/>
      </c>
    </row>
    <row r="1154">
      <c r="I1154" s="52"/>
      <c r="K1154" s="43" t="str">
        <f t="shared" si="1"/>
        <v/>
      </c>
      <c r="L1154" s="43" t="str">
        <f t="shared" si="2"/>
        <v/>
      </c>
    </row>
    <row r="1155">
      <c r="I1155" s="52"/>
      <c r="K1155" s="43" t="str">
        <f t="shared" si="1"/>
        <v/>
      </c>
      <c r="L1155" s="43" t="str">
        <f t="shared" si="2"/>
        <v/>
      </c>
    </row>
    <row r="1156">
      <c r="I1156" s="52"/>
      <c r="K1156" s="43" t="str">
        <f t="shared" si="1"/>
        <v/>
      </c>
      <c r="L1156" s="43" t="str">
        <f t="shared" si="2"/>
        <v/>
      </c>
    </row>
    <row r="1157">
      <c r="I1157" s="52"/>
      <c r="K1157" s="43" t="str">
        <f t="shared" si="1"/>
        <v/>
      </c>
      <c r="L1157" s="43" t="str">
        <f t="shared" si="2"/>
        <v/>
      </c>
    </row>
    <row r="1158">
      <c r="I1158" s="52"/>
      <c r="K1158" s="43" t="str">
        <f t="shared" si="1"/>
        <v/>
      </c>
      <c r="L1158" s="43" t="str">
        <f t="shared" si="2"/>
        <v/>
      </c>
    </row>
    <row r="1159">
      <c r="I1159" s="52"/>
      <c r="K1159" s="43" t="str">
        <f t="shared" si="1"/>
        <v/>
      </c>
      <c r="L1159" s="43" t="str">
        <f t="shared" si="2"/>
        <v/>
      </c>
    </row>
    <row r="1160">
      <c r="I1160" s="52"/>
      <c r="K1160" s="43" t="str">
        <f t="shared" si="1"/>
        <v/>
      </c>
      <c r="L1160" s="43" t="str">
        <f t="shared" si="2"/>
        <v/>
      </c>
    </row>
    <row r="1161">
      <c r="I1161" s="52"/>
      <c r="K1161" s="43" t="str">
        <f t="shared" si="1"/>
        <v/>
      </c>
      <c r="L1161" s="43" t="str">
        <f t="shared" si="2"/>
        <v/>
      </c>
    </row>
    <row r="1162">
      <c r="I1162" s="52"/>
      <c r="K1162" s="43" t="str">
        <f t="shared" si="1"/>
        <v/>
      </c>
      <c r="L1162" s="43" t="str">
        <f t="shared" si="2"/>
        <v/>
      </c>
    </row>
    <row r="1163">
      <c r="I1163" s="52"/>
      <c r="K1163" s="43" t="str">
        <f t="shared" si="1"/>
        <v/>
      </c>
      <c r="L1163" s="43" t="str">
        <f t="shared" si="2"/>
        <v/>
      </c>
    </row>
    <row r="1164">
      <c r="I1164" s="52"/>
      <c r="K1164" s="43" t="str">
        <f t="shared" si="1"/>
        <v/>
      </c>
      <c r="L1164" s="43" t="str">
        <f t="shared" si="2"/>
        <v/>
      </c>
    </row>
    <row r="1165">
      <c r="I1165" s="52"/>
      <c r="K1165" s="43" t="str">
        <f t="shared" si="1"/>
        <v/>
      </c>
      <c r="L1165" s="43" t="str">
        <f t="shared" si="2"/>
        <v/>
      </c>
    </row>
    <row r="1166">
      <c r="I1166" s="52"/>
      <c r="K1166" s="43" t="str">
        <f t="shared" si="1"/>
        <v/>
      </c>
      <c r="L1166" s="43" t="str">
        <f t="shared" si="2"/>
        <v/>
      </c>
    </row>
    <row r="1167">
      <c r="I1167" s="52"/>
      <c r="K1167" s="43" t="str">
        <f t="shared" si="1"/>
        <v/>
      </c>
      <c r="L1167" s="43" t="str">
        <f t="shared" si="2"/>
        <v/>
      </c>
    </row>
    <row r="1168">
      <c r="I1168" s="52"/>
      <c r="K1168" s="43" t="str">
        <f t="shared" si="1"/>
        <v/>
      </c>
      <c r="L1168" s="43" t="str">
        <f t="shared" si="2"/>
        <v/>
      </c>
    </row>
    <row r="1169">
      <c r="I1169" s="52"/>
      <c r="K1169" s="43" t="str">
        <f t="shared" si="1"/>
        <v/>
      </c>
      <c r="L1169" s="43" t="str">
        <f t="shared" si="2"/>
        <v/>
      </c>
    </row>
    <row r="1170">
      <c r="I1170" s="52"/>
      <c r="K1170" s="43" t="str">
        <f t="shared" si="1"/>
        <v/>
      </c>
      <c r="L1170" s="43" t="str">
        <f t="shared" si="2"/>
        <v/>
      </c>
    </row>
    <row r="1171">
      <c r="I1171" s="52"/>
      <c r="K1171" s="43" t="str">
        <f t="shared" si="1"/>
        <v/>
      </c>
      <c r="L1171" s="43" t="str">
        <f t="shared" si="2"/>
        <v/>
      </c>
    </row>
    <row r="1172">
      <c r="I1172" s="52"/>
      <c r="K1172" s="43" t="str">
        <f t="shared" si="1"/>
        <v/>
      </c>
      <c r="L1172" s="43" t="str">
        <f t="shared" si="2"/>
        <v/>
      </c>
    </row>
    <row r="1173">
      <c r="I1173" s="52"/>
      <c r="K1173" s="43" t="str">
        <f t="shared" si="1"/>
        <v/>
      </c>
      <c r="L1173" s="43" t="str">
        <f t="shared" si="2"/>
        <v/>
      </c>
    </row>
    <row r="1174">
      <c r="I1174" s="52"/>
      <c r="K1174" s="43" t="str">
        <f t="shared" si="1"/>
        <v/>
      </c>
      <c r="L1174" s="43" t="str">
        <f t="shared" si="2"/>
        <v/>
      </c>
    </row>
    <row r="1175">
      <c r="I1175" s="52"/>
      <c r="K1175" s="43" t="str">
        <f t="shared" si="1"/>
        <v/>
      </c>
      <c r="L1175" s="43" t="str">
        <f t="shared" si="2"/>
        <v/>
      </c>
    </row>
    <row r="1176">
      <c r="I1176" s="52"/>
      <c r="K1176" s="43" t="str">
        <f t="shared" si="1"/>
        <v/>
      </c>
      <c r="L1176" s="43" t="str">
        <f t="shared" si="2"/>
        <v/>
      </c>
    </row>
    <row r="1177">
      <c r="I1177" s="52"/>
      <c r="K1177" s="43" t="str">
        <f t="shared" si="1"/>
        <v/>
      </c>
      <c r="L1177" s="43" t="str">
        <f t="shared" si="2"/>
        <v/>
      </c>
    </row>
    <row r="1178">
      <c r="I1178" s="52"/>
      <c r="K1178" s="43" t="str">
        <f t="shared" si="1"/>
        <v/>
      </c>
      <c r="L1178" s="43" t="str">
        <f t="shared" si="2"/>
        <v/>
      </c>
    </row>
    <row r="1179">
      <c r="I1179" s="52"/>
      <c r="K1179" s="43" t="str">
        <f t="shared" si="1"/>
        <v/>
      </c>
      <c r="L1179" s="43" t="str">
        <f t="shared" si="2"/>
        <v/>
      </c>
    </row>
    <row r="1180">
      <c r="I1180" s="52"/>
      <c r="K1180" s="43" t="str">
        <f t="shared" si="1"/>
        <v/>
      </c>
      <c r="L1180" s="43" t="str">
        <f t="shared" si="2"/>
        <v/>
      </c>
    </row>
    <row r="1181">
      <c r="I1181" s="52"/>
      <c r="K1181" s="43" t="str">
        <f t="shared" si="1"/>
        <v/>
      </c>
      <c r="L1181" s="43" t="str">
        <f t="shared" si="2"/>
        <v/>
      </c>
    </row>
    <row r="1182">
      <c r="I1182" s="52"/>
      <c r="K1182" s="43" t="str">
        <f t="shared" si="1"/>
        <v/>
      </c>
      <c r="L1182" s="43" t="str">
        <f t="shared" si="2"/>
        <v/>
      </c>
    </row>
    <row r="1183">
      <c r="I1183" s="52"/>
      <c r="K1183" s="43" t="str">
        <f t="shared" si="1"/>
        <v/>
      </c>
      <c r="L1183" s="43" t="str">
        <f t="shared" si="2"/>
        <v/>
      </c>
    </row>
    <row r="1184">
      <c r="I1184" s="52"/>
      <c r="K1184" s="43" t="str">
        <f t="shared" si="1"/>
        <v/>
      </c>
      <c r="L1184" s="43" t="str">
        <f t="shared" si="2"/>
        <v/>
      </c>
    </row>
    <row r="1185">
      <c r="I1185" s="52"/>
      <c r="K1185" s="43" t="str">
        <f t="shared" si="1"/>
        <v/>
      </c>
      <c r="L1185" s="43" t="str">
        <f t="shared" si="2"/>
        <v/>
      </c>
    </row>
    <row r="1186">
      <c r="I1186" s="52"/>
      <c r="K1186" s="43" t="str">
        <f t="shared" si="1"/>
        <v/>
      </c>
      <c r="L1186" s="43" t="str">
        <f t="shared" si="2"/>
        <v/>
      </c>
    </row>
    <row r="1187">
      <c r="I1187" s="52"/>
      <c r="K1187" s="43" t="str">
        <f t="shared" si="1"/>
        <v/>
      </c>
      <c r="L1187" s="43" t="str">
        <f t="shared" si="2"/>
        <v/>
      </c>
    </row>
    <row r="1188">
      <c r="I1188" s="52"/>
      <c r="K1188" s="43" t="str">
        <f t="shared" si="1"/>
        <v/>
      </c>
      <c r="L1188" s="43" t="str">
        <f t="shared" si="2"/>
        <v/>
      </c>
    </row>
    <row r="1189">
      <c r="I1189" s="52"/>
      <c r="K1189" s="43" t="str">
        <f t="shared" si="1"/>
        <v/>
      </c>
      <c r="L1189" s="43" t="str">
        <f t="shared" si="2"/>
        <v/>
      </c>
    </row>
    <row r="1190">
      <c r="I1190" s="52"/>
      <c r="K1190" s="43" t="str">
        <f t="shared" si="1"/>
        <v/>
      </c>
      <c r="L1190" s="43" t="str">
        <f t="shared" si="2"/>
        <v/>
      </c>
    </row>
    <row r="1191">
      <c r="I1191" s="52"/>
      <c r="K1191" s="43" t="str">
        <f t="shared" si="1"/>
        <v/>
      </c>
      <c r="L1191" s="43" t="str">
        <f t="shared" si="2"/>
        <v/>
      </c>
    </row>
    <row r="1192">
      <c r="I1192" s="52"/>
      <c r="K1192" s="43" t="str">
        <f t="shared" si="1"/>
        <v/>
      </c>
      <c r="L1192" s="43" t="str">
        <f t="shared" si="2"/>
        <v/>
      </c>
    </row>
    <row r="1193">
      <c r="I1193" s="52"/>
      <c r="K1193" s="43" t="str">
        <f t="shared" si="1"/>
        <v/>
      </c>
      <c r="L1193" s="43" t="str">
        <f t="shared" si="2"/>
        <v/>
      </c>
    </row>
    <row r="1194">
      <c r="I1194" s="52"/>
      <c r="K1194" s="43" t="str">
        <f t="shared" si="1"/>
        <v/>
      </c>
      <c r="L1194" s="43" t="str">
        <f t="shared" si="2"/>
        <v/>
      </c>
    </row>
    <row r="1195">
      <c r="I1195" s="52"/>
      <c r="K1195" s="43" t="str">
        <f t="shared" si="1"/>
        <v/>
      </c>
      <c r="L1195" s="43" t="str">
        <f t="shared" si="2"/>
        <v/>
      </c>
    </row>
    <row r="1196">
      <c r="I1196" s="52"/>
      <c r="K1196" s="43" t="str">
        <f t="shared" si="1"/>
        <v/>
      </c>
      <c r="L1196" s="43" t="str">
        <f t="shared" si="2"/>
        <v/>
      </c>
    </row>
    <row r="1197">
      <c r="I1197" s="52"/>
      <c r="K1197" s="43" t="str">
        <f t="shared" si="1"/>
        <v/>
      </c>
      <c r="L1197" s="43" t="str">
        <f t="shared" si="2"/>
        <v/>
      </c>
    </row>
    <row r="1198">
      <c r="I1198" s="52"/>
      <c r="K1198" s="43" t="str">
        <f t="shared" si="1"/>
        <v/>
      </c>
      <c r="L1198" s="43" t="str">
        <f t="shared" si="2"/>
        <v/>
      </c>
    </row>
    <row r="1199">
      <c r="I1199" s="52"/>
      <c r="K1199" s="43" t="str">
        <f t="shared" si="1"/>
        <v/>
      </c>
      <c r="L1199" s="43" t="str">
        <f t="shared" si="2"/>
        <v/>
      </c>
    </row>
    <row r="1200">
      <c r="I1200" s="52"/>
      <c r="K1200" s="43" t="str">
        <f t="shared" si="1"/>
        <v/>
      </c>
      <c r="L1200" s="43" t="str">
        <f t="shared" si="2"/>
        <v/>
      </c>
    </row>
    <row r="1201">
      <c r="I1201" s="52"/>
      <c r="K1201" s="43" t="str">
        <f t="shared" si="1"/>
        <v/>
      </c>
      <c r="L1201" s="43" t="str">
        <f t="shared" si="2"/>
        <v/>
      </c>
    </row>
    <row r="1202">
      <c r="I1202" s="52"/>
      <c r="K1202" s="43" t="str">
        <f t="shared" si="1"/>
        <v/>
      </c>
      <c r="L1202" s="43" t="str">
        <f t="shared" si="2"/>
        <v/>
      </c>
    </row>
    <row r="1203">
      <c r="I1203" s="52"/>
      <c r="K1203" s="43" t="str">
        <f t="shared" si="1"/>
        <v/>
      </c>
      <c r="L1203" s="43" t="str">
        <f t="shared" si="2"/>
        <v/>
      </c>
    </row>
    <row r="1204">
      <c r="I1204" s="52"/>
      <c r="K1204" s="43" t="str">
        <f t="shared" si="1"/>
        <v/>
      </c>
      <c r="L1204" s="43" t="str">
        <f t="shared" si="2"/>
        <v/>
      </c>
    </row>
    <row r="1205">
      <c r="I1205" s="52"/>
      <c r="K1205" s="43" t="str">
        <f t="shared" si="1"/>
        <v/>
      </c>
      <c r="L1205" s="43" t="str">
        <f t="shared" si="2"/>
        <v/>
      </c>
    </row>
    <row r="1206">
      <c r="I1206" s="52"/>
      <c r="K1206" s="43" t="str">
        <f t="shared" si="1"/>
        <v/>
      </c>
      <c r="L1206" s="43" t="str">
        <f t="shared" si="2"/>
        <v/>
      </c>
    </row>
    <row r="1207">
      <c r="I1207" s="52"/>
      <c r="K1207" s="43" t="str">
        <f t="shared" si="1"/>
        <v/>
      </c>
      <c r="L1207" s="43" t="str">
        <f t="shared" si="2"/>
        <v/>
      </c>
    </row>
    <row r="1208">
      <c r="I1208" s="52"/>
      <c r="K1208" s="43" t="str">
        <f t="shared" si="1"/>
        <v/>
      </c>
      <c r="L1208" s="43" t="str">
        <f t="shared" si="2"/>
        <v/>
      </c>
    </row>
    <row r="1209">
      <c r="I1209" s="52"/>
      <c r="K1209" s="43" t="str">
        <f t="shared" si="1"/>
        <v/>
      </c>
      <c r="L1209" s="43" t="str">
        <f t="shared" si="2"/>
        <v/>
      </c>
    </row>
    <row r="1210">
      <c r="I1210" s="52"/>
      <c r="K1210" s="43" t="str">
        <f t="shared" si="1"/>
        <v/>
      </c>
      <c r="L1210" s="43" t="str">
        <f t="shared" si="2"/>
        <v/>
      </c>
    </row>
    <row r="1211">
      <c r="I1211" s="52"/>
      <c r="K1211" s="43" t="str">
        <f t="shared" si="1"/>
        <v/>
      </c>
      <c r="L1211" s="43" t="str">
        <f t="shared" si="2"/>
        <v/>
      </c>
    </row>
    <row r="1212">
      <c r="I1212" s="52"/>
      <c r="K1212" s="43" t="str">
        <f t="shared" si="1"/>
        <v/>
      </c>
      <c r="L1212" s="43" t="str">
        <f t="shared" si="2"/>
        <v/>
      </c>
    </row>
    <row r="1213">
      <c r="I1213" s="52"/>
      <c r="K1213" s="43" t="str">
        <f t="shared" si="1"/>
        <v/>
      </c>
      <c r="L1213" s="43" t="str">
        <f t="shared" si="2"/>
        <v/>
      </c>
    </row>
    <row r="1214">
      <c r="I1214" s="52"/>
      <c r="K1214" s="43" t="str">
        <f t="shared" si="1"/>
        <v/>
      </c>
      <c r="L1214" s="43" t="str">
        <f t="shared" si="2"/>
        <v/>
      </c>
    </row>
    <row r="1215">
      <c r="I1215" s="52"/>
      <c r="K1215" s="43" t="str">
        <f t="shared" si="1"/>
        <v/>
      </c>
      <c r="L1215" s="43" t="str">
        <f t="shared" si="2"/>
        <v/>
      </c>
    </row>
    <row r="1216">
      <c r="I1216" s="52"/>
      <c r="K1216" s="43" t="str">
        <f t="shared" si="1"/>
        <v/>
      </c>
      <c r="L1216" s="43" t="str">
        <f t="shared" si="2"/>
        <v/>
      </c>
    </row>
    <row r="1217">
      <c r="I1217" s="52"/>
      <c r="K1217" s="43" t="str">
        <f t="shared" si="1"/>
        <v/>
      </c>
      <c r="L1217" s="43" t="str">
        <f t="shared" si="2"/>
        <v/>
      </c>
    </row>
    <row r="1218">
      <c r="I1218" s="52"/>
      <c r="K1218" s="43" t="str">
        <f t="shared" si="1"/>
        <v/>
      </c>
      <c r="L1218" s="43" t="str">
        <f t="shared" si="2"/>
        <v/>
      </c>
    </row>
    <row r="1219">
      <c r="I1219" s="52"/>
      <c r="K1219" s="43" t="str">
        <f t="shared" si="1"/>
        <v/>
      </c>
      <c r="L1219" s="43" t="str">
        <f t="shared" si="2"/>
        <v/>
      </c>
    </row>
    <row r="1220">
      <c r="I1220" s="52"/>
      <c r="K1220" s="43" t="str">
        <f t="shared" si="1"/>
        <v/>
      </c>
      <c r="L1220" s="43" t="str">
        <f t="shared" si="2"/>
        <v/>
      </c>
    </row>
    <row r="1221">
      <c r="I1221" s="52"/>
      <c r="K1221" s="43" t="str">
        <f t="shared" si="1"/>
        <v/>
      </c>
      <c r="L1221" s="43" t="str">
        <f t="shared" si="2"/>
        <v/>
      </c>
    </row>
    <row r="1222">
      <c r="I1222" s="52"/>
      <c r="K1222" s="43" t="str">
        <f t="shared" si="1"/>
        <v/>
      </c>
      <c r="L1222" s="43" t="str">
        <f t="shared" si="2"/>
        <v/>
      </c>
    </row>
    <row r="1223">
      <c r="I1223" s="52"/>
      <c r="K1223" s="43" t="str">
        <f t="shared" si="1"/>
        <v/>
      </c>
      <c r="L1223" s="43" t="str">
        <f t="shared" si="2"/>
        <v/>
      </c>
    </row>
    <row r="1224">
      <c r="I1224" s="52"/>
      <c r="K1224" s="43" t="str">
        <f t="shared" si="1"/>
        <v/>
      </c>
      <c r="L1224" s="43" t="str">
        <f t="shared" si="2"/>
        <v/>
      </c>
    </row>
    <row r="1225">
      <c r="I1225" s="52"/>
      <c r="K1225" s="43" t="str">
        <f t="shared" si="1"/>
        <v/>
      </c>
      <c r="L1225" s="43" t="str">
        <f t="shared" si="2"/>
        <v/>
      </c>
    </row>
    <row r="1226">
      <c r="I1226" s="52"/>
      <c r="K1226" s="43" t="str">
        <f t="shared" si="1"/>
        <v/>
      </c>
      <c r="L1226" s="43" t="str">
        <f t="shared" si="2"/>
        <v/>
      </c>
    </row>
    <row r="1227">
      <c r="I1227" s="52"/>
      <c r="K1227" s="43" t="str">
        <f t="shared" si="1"/>
        <v/>
      </c>
      <c r="L1227" s="43" t="str">
        <f t="shared" si="2"/>
        <v/>
      </c>
    </row>
    <row r="1228">
      <c r="I1228" s="52"/>
      <c r="K1228" s="43" t="str">
        <f t="shared" si="1"/>
        <v/>
      </c>
      <c r="L1228" s="43" t="str">
        <f t="shared" si="2"/>
        <v/>
      </c>
    </row>
    <row r="1229">
      <c r="I1229" s="52"/>
      <c r="K1229" s="43" t="str">
        <f t="shared" si="1"/>
        <v/>
      </c>
      <c r="L1229" s="43" t="str">
        <f t="shared" si="2"/>
        <v/>
      </c>
    </row>
    <row r="1230">
      <c r="I1230" s="52"/>
      <c r="K1230" s="43" t="str">
        <f t="shared" si="1"/>
        <v/>
      </c>
      <c r="L1230" s="43" t="str">
        <f t="shared" si="2"/>
        <v/>
      </c>
    </row>
    <row r="1231">
      <c r="I1231" s="52"/>
      <c r="K1231" s="43" t="str">
        <f t="shared" si="1"/>
        <v/>
      </c>
      <c r="L1231" s="43" t="str">
        <f t="shared" si="2"/>
        <v/>
      </c>
    </row>
    <row r="1232">
      <c r="I1232" s="52"/>
      <c r="K1232" s="43" t="str">
        <f t="shared" si="1"/>
        <v/>
      </c>
      <c r="L1232" s="43" t="str">
        <f t="shared" si="2"/>
        <v/>
      </c>
    </row>
    <row r="1233">
      <c r="I1233" s="52"/>
      <c r="K1233" s="43" t="str">
        <f t="shared" si="1"/>
        <v/>
      </c>
      <c r="L1233" s="43" t="str">
        <f t="shared" si="2"/>
        <v/>
      </c>
    </row>
    <row r="1234">
      <c r="I1234" s="52"/>
      <c r="K1234" s="43" t="str">
        <f t="shared" si="1"/>
        <v/>
      </c>
      <c r="L1234" s="43" t="str">
        <f t="shared" si="2"/>
        <v/>
      </c>
    </row>
    <row r="1235">
      <c r="I1235" s="52"/>
      <c r="K1235" s="43" t="str">
        <f t="shared" si="1"/>
        <v/>
      </c>
      <c r="L1235" s="43" t="str">
        <f t="shared" si="2"/>
        <v/>
      </c>
    </row>
    <row r="1236">
      <c r="I1236" s="52"/>
      <c r="K1236" s="43" t="str">
        <f t="shared" si="1"/>
        <v/>
      </c>
      <c r="L1236" s="43" t="str">
        <f t="shared" si="2"/>
        <v/>
      </c>
    </row>
    <row r="1237">
      <c r="I1237" s="52"/>
      <c r="K1237" s="43" t="str">
        <f t="shared" si="1"/>
        <v/>
      </c>
      <c r="L1237" s="43" t="str">
        <f t="shared" si="2"/>
        <v/>
      </c>
    </row>
    <row r="1238">
      <c r="I1238" s="52"/>
      <c r="K1238" s="43" t="str">
        <f t="shared" si="1"/>
        <v/>
      </c>
      <c r="L1238" s="43" t="str">
        <f t="shared" si="2"/>
        <v/>
      </c>
    </row>
    <row r="1239">
      <c r="I1239" s="52"/>
      <c r="K1239" s="43" t="str">
        <f t="shared" si="1"/>
        <v/>
      </c>
      <c r="L1239" s="43" t="str">
        <f t="shared" si="2"/>
        <v/>
      </c>
    </row>
    <row r="1240">
      <c r="I1240" s="52"/>
      <c r="K1240" s="43" t="str">
        <f t="shared" si="1"/>
        <v/>
      </c>
      <c r="L1240" s="43" t="str">
        <f t="shared" si="2"/>
        <v/>
      </c>
    </row>
    <row r="1241">
      <c r="I1241" s="52"/>
      <c r="K1241" s="43" t="str">
        <f t="shared" si="1"/>
        <v/>
      </c>
      <c r="L1241" s="43" t="str">
        <f t="shared" si="2"/>
        <v/>
      </c>
    </row>
    <row r="1242">
      <c r="I1242" s="52"/>
      <c r="K1242" s="43" t="str">
        <f t="shared" si="1"/>
        <v/>
      </c>
      <c r="L1242" s="43" t="str">
        <f t="shared" si="2"/>
        <v/>
      </c>
    </row>
    <row r="1243">
      <c r="I1243" s="52"/>
      <c r="K1243" s="43" t="str">
        <f t="shared" si="1"/>
        <v/>
      </c>
      <c r="L1243" s="43" t="str">
        <f t="shared" si="2"/>
        <v/>
      </c>
    </row>
    <row r="1244">
      <c r="I1244" s="52"/>
      <c r="K1244" s="43" t="str">
        <f t="shared" si="1"/>
        <v/>
      </c>
      <c r="L1244" s="43" t="str">
        <f t="shared" si="2"/>
        <v/>
      </c>
    </row>
    <row r="1245">
      <c r="I1245" s="52"/>
      <c r="K1245" s="43" t="str">
        <f t="shared" si="1"/>
        <v/>
      </c>
      <c r="L1245" s="43" t="str">
        <f t="shared" si="2"/>
        <v/>
      </c>
    </row>
    <row r="1246">
      <c r="I1246" s="52"/>
      <c r="K1246" s="43" t="str">
        <f t="shared" si="1"/>
        <v/>
      </c>
      <c r="L1246" s="43" t="str">
        <f t="shared" si="2"/>
        <v/>
      </c>
    </row>
    <row r="1247">
      <c r="I1247" s="52"/>
      <c r="K1247" s="43" t="str">
        <f t="shared" si="1"/>
        <v/>
      </c>
      <c r="L1247" s="43" t="str">
        <f t="shared" si="2"/>
        <v/>
      </c>
    </row>
    <row r="1248">
      <c r="I1248" s="52"/>
      <c r="K1248" s="43" t="str">
        <f t="shared" si="1"/>
        <v/>
      </c>
      <c r="L1248" s="43" t="str">
        <f t="shared" si="2"/>
        <v/>
      </c>
    </row>
    <row r="1249">
      <c r="I1249" s="52"/>
      <c r="K1249" s="43" t="str">
        <f t="shared" si="1"/>
        <v/>
      </c>
      <c r="L1249" s="43" t="str">
        <f t="shared" si="2"/>
        <v/>
      </c>
    </row>
    <row r="1250">
      <c r="I1250" s="52"/>
      <c r="K1250" s="43" t="str">
        <f t="shared" si="1"/>
        <v/>
      </c>
      <c r="L1250" s="43" t="str">
        <f t="shared" si="2"/>
        <v/>
      </c>
    </row>
    <row r="1251">
      <c r="I1251" s="52"/>
      <c r="K1251" s="43" t="str">
        <f t="shared" si="1"/>
        <v/>
      </c>
      <c r="L1251" s="43" t="str">
        <f t="shared" si="2"/>
        <v/>
      </c>
    </row>
    <row r="1252">
      <c r="I1252" s="52"/>
      <c r="K1252" s="43" t="str">
        <f t="shared" si="1"/>
        <v/>
      </c>
      <c r="L1252" s="43" t="str">
        <f t="shared" si="2"/>
        <v/>
      </c>
    </row>
    <row r="1253">
      <c r="I1253" s="52"/>
      <c r="K1253" s="43" t="str">
        <f t="shared" si="1"/>
        <v/>
      </c>
      <c r="L1253" s="43" t="str">
        <f t="shared" si="2"/>
        <v/>
      </c>
    </row>
    <row r="1254">
      <c r="I1254" s="52"/>
      <c r="K1254" s="43" t="str">
        <f t="shared" si="1"/>
        <v/>
      </c>
      <c r="L1254" s="43" t="str">
        <f t="shared" si="2"/>
        <v/>
      </c>
    </row>
    <row r="1255">
      <c r="I1255" s="52"/>
      <c r="K1255" s="43" t="str">
        <f t="shared" si="1"/>
        <v/>
      </c>
      <c r="L1255" s="43" t="str">
        <f t="shared" si="2"/>
        <v/>
      </c>
    </row>
    <row r="1256">
      <c r="I1256" s="52"/>
      <c r="K1256" s="43" t="str">
        <f t="shared" si="1"/>
        <v/>
      </c>
      <c r="L1256" s="43" t="str">
        <f t="shared" si="2"/>
        <v/>
      </c>
    </row>
    <row r="1257">
      <c r="I1257" s="52"/>
      <c r="K1257" s="43" t="str">
        <f t="shared" si="1"/>
        <v/>
      </c>
      <c r="L1257" s="43" t="str">
        <f t="shared" si="2"/>
        <v/>
      </c>
    </row>
    <row r="1258">
      <c r="I1258" s="52"/>
      <c r="K1258" s="43" t="str">
        <f t="shared" si="1"/>
        <v/>
      </c>
      <c r="L1258" s="43" t="str">
        <f t="shared" si="2"/>
        <v/>
      </c>
    </row>
    <row r="1259">
      <c r="I1259" s="52"/>
      <c r="K1259" s="43" t="str">
        <f t="shared" si="1"/>
        <v/>
      </c>
      <c r="L1259" s="43" t="str">
        <f t="shared" si="2"/>
        <v/>
      </c>
    </row>
    <row r="1260">
      <c r="I1260" s="52"/>
      <c r="K1260" s="43" t="str">
        <f t="shared" si="1"/>
        <v/>
      </c>
      <c r="L1260" s="43" t="str">
        <f t="shared" si="2"/>
        <v/>
      </c>
    </row>
    <row r="1261">
      <c r="I1261" s="52"/>
      <c r="K1261" s="43" t="str">
        <f t="shared" si="1"/>
        <v/>
      </c>
      <c r="L1261" s="43" t="str">
        <f t="shared" si="2"/>
        <v/>
      </c>
    </row>
    <row r="1262">
      <c r="I1262" s="52"/>
      <c r="K1262" s="43" t="str">
        <f t="shared" si="1"/>
        <v/>
      </c>
      <c r="L1262" s="43" t="str">
        <f t="shared" si="2"/>
        <v/>
      </c>
    </row>
    <row r="1263">
      <c r="I1263" s="52"/>
      <c r="K1263" s="43" t="str">
        <f t="shared" si="1"/>
        <v/>
      </c>
      <c r="L1263" s="43" t="str">
        <f t="shared" si="2"/>
        <v/>
      </c>
    </row>
    <row r="1264">
      <c r="I1264" s="52"/>
      <c r="K1264" s="43" t="str">
        <f t="shared" si="1"/>
        <v/>
      </c>
      <c r="L1264" s="43" t="str">
        <f t="shared" si="2"/>
        <v/>
      </c>
    </row>
    <row r="1265">
      <c r="I1265" s="52"/>
      <c r="K1265" s="43" t="str">
        <f t="shared" si="1"/>
        <v/>
      </c>
      <c r="L1265" s="43" t="str">
        <f t="shared" si="2"/>
        <v/>
      </c>
    </row>
    <row r="1266">
      <c r="I1266" s="52"/>
      <c r="K1266" s="43" t="str">
        <f t="shared" si="1"/>
        <v/>
      </c>
      <c r="L1266" s="43" t="str">
        <f t="shared" si="2"/>
        <v/>
      </c>
    </row>
    <row r="1267">
      <c r="I1267" s="52"/>
      <c r="K1267" s="43" t="str">
        <f t="shared" si="1"/>
        <v/>
      </c>
      <c r="L1267" s="43" t="str">
        <f t="shared" si="2"/>
        <v/>
      </c>
    </row>
    <row r="1268">
      <c r="I1268" s="52"/>
      <c r="K1268" s="43" t="str">
        <f t="shared" si="1"/>
        <v/>
      </c>
      <c r="L1268" s="43" t="str">
        <f t="shared" si="2"/>
        <v/>
      </c>
    </row>
    <row r="1269">
      <c r="I1269" s="52"/>
      <c r="K1269" s="43" t="str">
        <f t="shared" si="1"/>
        <v/>
      </c>
      <c r="L1269" s="43" t="str">
        <f t="shared" si="2"/>
        <v/>
      </c>
    </row>
    <row r="1270">
      <c r="I1270" s="52"/>
      <c r="K1270" s="43" t="str">
        <f t="shared" si="1"/>
        <v/>
      </c>
      <c r="L1270" s="43" t="str">
        <f t="shared" si="2"/>
        <v/>
      </c>
    </row>
    <row r="1271">
      <c r="I1271" s="52"/>
      <c r="K1271" s="43" t="str">
        <f t="shared" si="1"/>
        <v/>
      </c>
      <c r="L1271" s="43" t="str">
        <f t="shared" si="2"/>
        <v/>
      </c>
    </row>
    <row r="1272">
      <c r="I1272" s="52"/>
      <c r="K1272" s="43" t="str">
        <f t="shared" si="1"/>
        <v/>
      </c>
      <c r="L1272" s="43" t="str">
        <f t="shared" si="2"/>
        <v/>
      </c>
    </row>
    <row r="1273">
      <c r="I1273" s="52"/>
      <c r="K1273" s="43" t="str">
        <f t="shared" si="1"/>
        <v/>
      </c>
      <c r="L1273" s="43" t="str">
        <f t="shared" si="2"/>
        <v/>
      </c>
    </row>
    <row r="1274">
      <c r="I1274" s="52"/>
      <c r="K1274" s="43" t="str">
        <f t="shared" si="1"/>
        <v/>
      </c>
      <c r="L1274" s="43" t="str">
        <f t="shared" si="2"/>
        <v/>
      </c>
    </row>
    <row r="1275">
      <c r="I1275" s="52"/>
      <c r="K1275" s="43" t="str">
        <f t="shared" si="1"/>
        <v/>
      </c>
      <c r="L1275" s="43" t="str">
        <f t="shared" si="2"/>
        <v/>
      </c>
    </row>
    <row r="1276">
      <c r="I1276" s="52"/>
      <c r="K1276" s="43" t="str">
        <f t="shared" si="1"/>
        <v/>
      </c>
      <c r="L1276" s="43" t="str">
        <f t="shared" si="2"/>
        <v/>
      </c>
    </row>
    <row r="1277">
      <c r="I1277" s="52"/>
      <c r="K1277" s="43" t="str">
        <f t="shared" si="1"/>
        <v/>
      </c>
      <c r="L1277" s="43" t="str">
        <f t="shared" si="2"/>
        <v/>
      </c>
    </row>
    <row r="1278">
      <c r="I1278" s="52"/>
      <c r="K1278" s="43" t="str">
        <f t="shared" si="1"/>
        <v/>
      </c>
      <c r="L1278" s="43" t="str">
        <f t="shared" si="2"/>
        <v/>
      </c>
    </row>
    <row r="1279">
      <c r="I1279" s="52"/>
      <c r="K1279" s="43" t="str">
        <f t="shared" si="1"/>
        <v/>
      </c>
      <c r="L1279" s="43" t="str">
        <f t="shared" si="2"/>
        <v/>
      </c>
    </row>
    <row r="1280">
      <c r="I1280" s="52"/>
      <c r="K1280" s="43" t="str">
        <f t="shared" si="1"/>
        <v/>
      </c>
      <c r="L1280" s="43" t="str">
        <f t="shared" si="2"/>
        <v/>
      </c>
    </row>
    <row r="1281">
      <c r="I1281" s="52"/>
      <c r="K1281" s="43" t="str">
        <f t="shared" si="1"/>
        <v/>
      </c>
      <c r="L1281" s="43" t="str">
        <f t="shared" si="2"/>
        <v/>
      </c>
    </row>
    <row r="1282">
      <c r="I1282" s="52"/>
      <c r="K1282" s="43" t="str">
        <f t="shared" si="1"/>
        <v/>
      </c>
      <c r="L1282" s="43" t="str">
        <f t="shared" si="2"/>
        <v/>
      </c>
    </row>
    <row r="1283">
      <c r="I1283" s="52"/>
      <c r="K1283" s="43" t="str">
        <f t="shared" si="1"/>
        <v/>
      </c>
      <c r="L1283" s="43" t="str">
        <f t="shared" si="2"/>
        <v/>
      </c>
    </row>
    <row r="1284">
      <c r="I1284" s="52"/>
      <c r="K1284" s="43" t="str">
        <f t="shared" si="1"/>
        <v/>
      </c>
      <c r="L1284" s="43" t="str">
        <f t="shared" si="2"/>
        <v/>
      </c>
    </row>
    <row r="1285">
      <c r="I1285" s="52"/>
      <c r="K1285" s="43" t="str">
        <f t="shared" si="1"/>
        <v/>
      </c>
      <c r="L1285" s="43" t="str">
        <f t="shared" si="2"/>
        <v/>
      </c>
    </row>
    <row r="1286">
      <c r="I1286" s="52"/>
      <c r="K1286" s="43" t="str">
        <f t="shared" si="1"/>
        <v/>
      </c>
      <c r="L1286" s="43" t="str">
        <f t="shared" si="2"/>
        <v/>
      </c>
    </row>
    <row r="1287">
      <c r="I1287" s="52"/>
      <c r="K1287" s="43" t="str">
        <f t="shared" si="1"/>
        <v/>
      </c>
      <c r="L1287" s="43" t="str">
        <f t="shared" si="2"/>
        <v/>
      </c>
    </row>
    <row r="1288">
      <c r="I1288" s="52"/>
      <c r="K1288" s="43" t="str">
        <f t="shared" si="1"/>
        <v/>
      </c>
      <c r="L1288" s="43" t="str">
        <f t="shared" si="2"/>
        <v/>
      </c>
    </row>
    <row r="1289">
      <c r="I1289" s="52"/>
      <c r="K1289" s="43" t="str">
        <f t="shared" si="1"/>
        <v/>
      </c>
      <c r="L1289" s="43" t="str">
        <f t="shared" si="2"/>
        <v/>
      </c>
    </row>
    <row r="1290">
      <c r="I1290" s="52"/>
      <c r="K1290" s="43" t="str">
        <f t="shared" si="1"/>
        <v/>
      </c>
      <c r="L1290" s="43" t="str">
        <f t="shared" si="2"/>
        <v/>
      </c>
    </row>
    <row r="1291">
      <c r="I1291" s="52"/>
      <c r="K1291" s="43" t="str">
        <f t="shared" si="1"/>
        <v/>
      </c>
      <c r="L1291" s="43" t="str">
        <f t="shared" si="2"/>
        <v/>
      </c>
    </row>
    <row r="1292">
      <c r="I1292" s="52"/>
      <c r="K1292" s="43" t="str">
        <f t="shared" si="1"/>
        <v/>
      </c>
      <c r="L1292" s="43" t="str">
        <f t="shared" si="2"/>
        <v/>
      </c>
    </row>
    <row r="1293">
      <c r="I1293" s="52"/>
      <c r="K1293" s="43" t="str">
        <f t="shared" si="1"/>
        <v/>
      </c>
      <c r="L1293" s="43" t="str">
        <f t="shared" si="2"/>
        <v/>
      </c>
    </row>
    <row r="1294">
      <c r="I1294" s="52"/>
      <c r="K1294" s="43" t="str">
        <f t="shared" si="1"/>
        <v/>
      </c>
      <c r="L1294" s="43" t="str">
        <f t="shared" si="2"/>
        <v/>
      </c>
    </row>
    <row r="1295">
      <c r="I1295" s="52"/>
      <c r="K1295" s="43" t="str">
        <f t="shared" si="1"/>
        <v/>
      </c>
      <c r="L1295" s="43" t="str">
        <f t="shared" si="2"/>
        <v/>
      </c>
    </row>
    <row r="1296">
      <c r="I1296" s="52"/>
      <c r="K1296" s="43" t="str">
        <f t="shared" si="1"/>
        <v/>
      </c>
      <c r="L1296" s="43" t="str">
        <f t="shared" si="2"/>
        <v/>
      </c>
    </row>
    <row r="1297">
      <c r="I1297" s="52"/>
      <c r="K1297" s="43" t="str">
        <f t="shared" si="1"/>
        <v/>
      </c>
      <c r="L1297" s="43" t="str">
        <f t="shared" si="2"/>
        <v/>
      </c>
    </row>
    <row r="1298">
      <c r="I1298" s="52"/>
      <c r="K1298" s="43" t="str">
        <f t="shared" si="1"/>
        <v/>
      </c>
      <c r="L1298" s="43" t="str">
        <f t="shared" si="2"/>
        <v/>
      </c>
    </row>
    <row r="1299">
      <c r="I1299" s="52"/>
      <c r="K1299" s="43" t="str">
        <f t="shared" si="1"/>
        <v/>
      </c>
      <c r="L1299" s="43" t="str">
        <f t="shared" si="2"/>
        <v/>
      </c>
    </row>
    <row r="1300">
      <c r="I1300" s="52"/>
      <c r="K1300" s="43" t="str">
        <f t="shared" si="1"/>
        <v/>
      </c>
      <c r="L1300" s="43" t="str">
        <f t="shared" si="2"/>
        <v/>
      </c>
    </row>
    <row r="1301">
      <c r="I1301" s="52"/>
      <c r="K1301" s="43" t="str">
        <f t="shared" si="1"/>
        <v/>
      </c>
      <c r="L1301" s="43" t="str">
        <f t="shared" si="2"/>
        <v/>
      </c>
    </row>
    <row r="1302">
      <c r="I1302" s="52"/>
      <c r="K1302" s="43" t="str">
        <f t="shared" si="1"/>
        <v/>
      </c>
      <c r="L1302" s="43" t="str">
        <f t="shared" si="2"/>
        <v/>
      </c>
    </row>
    <row r="1303">
      <c r="I1303" s="52"/>
      <c r="K1303" s="43" t="str">
        <f t="shared" si="1"/>
        <v/>
      </c>
      <c r="L1303" s="43" t="str">
        <f t="shared" si="2"/>
        <v/>
      </c>
    </row>
    <row r="1304">
      <c r="I1304" s="52"/>
      <c r="K1304" s="43" t="str">
        <f t="shared" si="1"/>
        <v/>
      </c>
      <c r="L1304" s="43" t="str">
        <f t="shared" si="2"/>
        <v/>
      </c>
    </row>
    <row r="1305">
      <c r="I1305" s="52"/>
      <c r="K1305" s="43" t="str">
        <f t="shared" si="1"/>
        <v/>
      </c>
      <c r="L1305" s="43" t="str">
        <f t="shared" si="2"/>
        <v/>
      </c>
    </row>
    <row r="1306">
      <c r="I1306" s="52"/>
      <c r="K1306" s="43" t="str">
        <f t="shared" si="1"/>
        <v/>
      </c>
      <c r="L1306" s="43" t="str">
        <f t="shared" si="2"/>
        <v/>
      </c>
    </row>
    <row r="1307">
      <c r="I1307" s="52"/>
      <c r="K1307" s="43" t="str">
        <f t="shared" si="1"/>
        <v/>
      </c>
      <c r="L1307" s="43" t="str">
        <f t="shared" si="2"/>
        <v/>
      </c>
    </row>
    <row r="1308">
      <c r="I1308" s="52"/>
      <c r="K1308" s="43" t="str">
        <f t="shared" si="1"/>
        <v/>
      </c>
      <c r="L1308" s="43" t="str">
        <f t="shared" si="2"/>
        <v/>
      </c>
    </row>
    <row r="1309">
      <c r="I1309" s="52"/>
      <c r="K1309" s="43" t="str">
        <f t="shared" si="1"/>
        <v/>
      </c>
      <c r="L1309" s="43" t="str">
        <f t="shared" si="2"/>
        <v/>
      </c>
    </row>
    <row r="1310">
      <c r="I1310" s="52"/>
      <c r="K1310" s="43" t="str">
        <f t="shared" si="1"/>
        <v/>
      </c>
      <c r="L1310" s="43" t="str">
        <f t="shared" si="2"/>
        <v/>
      </c>
    </row>
    <row r="1311">
      <c r="I1311" s="52"/>
      <c r="K1311" s="43" t="str">
        <f t="shared" si="1"/>
        <v/>
      </c>
      <c r="L1311" s="43" t="str">
        <f t="shared" si="2"/>
        <v/>
      </c>
    </row>
    <row r="1312">
      <c r="I1312" s="52"/>
      <c r="K1312" s="43" t="str">
        <f t="shared" si="1"/>
        <v/>
      </c>
      <c r="L1312" s="43" t="str">
        <f t="shared" si="2"/>
        <v/>
      </c>
    </row>
    <row r="1313">
      <c r="I1313" s="52"/>
      <c r="K1313" s="43" t="str">
        <f t="shared" si="1"/>
        <v/>
      </c>
      <c r="L1313" s="43" t="str">
        <f t="shared" si="2"/>
        <v/>
      </c>
    </row>
    <row r="1314">
      <c r="I1314" s="52"/>
      <c r="K1314" s="43" t="str">
        <f t="shared" si="1"/>
        <v/>
      </c>
      <c r="L1314" s="43" t="str">
        <f t="shared" si="2"/>
        <v/>
      </c>
    </row>
    <row r="1315">
      <c r="I1315" s="52"/>
      <c r="K1315" s="43" t="str">
        <f t="shared" si="1"/>
        <v/>
      </c>
      <c r="L1315" s="43" t="str">
        <f t="shared" si="2"/>
        <v/>
      </c>
    </row>
    <row r="1316">
      <c r="I1316" s="52"/>
      <c r="K1316" s="43" t="str">
        <f t="shared" si="1"/>
        <v/>
      </c>
      <c r="L1316" s="43" t="str">
        <f t="shared" si="2"/>
        <v/>
      </c>
    </row>
    <row r="1317">
      <c r="I1317" s="52"/>
      <c r="K1317" s="43" t="str">
        <f t="shared" si="1"/>
        <v/>
      </c>
      <c r="L1317" s="43" t="str">
        <f t="shared" si="2"/>
        <v/>
      </c>
    </row>
    <row r="1318">
      <c r="I1318" s="52"/>
      <c r="K1318" s="43" t="str">
        <f t="shared" si="1"/>
        <v/>
      </c>
      <c r="L1318" s="43" t="str">
        <f t="shared" si="2"/>
        <v/>
      </c>
    </row>
    <row r="1319">
      <c r="I1319" s="52"/>
      <c r="K1319" s="43" t="str">
        <f t="shared" si="1"/>
        <v/>
      </c>
      <c r="L1319" s="43" t="str">
        <f t="shared" si="2"/>
        <v/>
      </c>
    </row>
    <row r="1320">
      <c r="I1320" s="52"/>
      <c r="K1320" s="43" t="str">
        <f t="shared" si="1"/>
        <v/>
      </c>
      <c r="L1320" s="43" t="str">
        <f t="shared" si="2"/>
        <v/>
      </c>
    </row>
    <row r="1321">
      <c r="I1321" s="52"/>
      <c r="K1321" s="43" t="str">
        <f t="shared" si="1"/>
        <v/>
      </c>
      <c r="L1321" s="43" t="str">
        <f t="shared" si="2"/>
        <v/>
      </c>
    </row>
    <row r="1322">
      <c r="I1322" s="52"/>
      <c r="K1322" s="43" t="str">
        <f t="shared" si="1"/>
        <v/>
      </c>
      <c r="L1322" s="43" t="str">
        <f t="shared" si="2"/>
        <v/>
      </c>
    </row>
    <row r="1323">
      <c r="I1323" s="52"/>
      <c r="K1323" s="43" t="str">
        <f t="shared" si="1"/>
        <v/>
      </c>
      <c r="L1323" s="43" t="str">
        <f t="shared" si="2"/>
        <v/>
      </c>
    </row>
    <row r="1324">
      <c r="I1324" s="52"/>
      <c r="K1324" s="43" t="str">
        <f t="shared" si="1"/>
        <v/>
      </c>
      <c r="L1324" s="43" t="str">
        <f t="shared" si="2"/>
        <v/>
      </c>
    </row>
    <row r="1325">
      <c r="I1325" s="52"/>
      <c r="K1325" s="43" t="str">
        <f t="shared" si="1"/>
        <v/>
      </c>
      <c r="L1325" s="43" t="str">
        <f t="shared" si="2"/>
        <v/>
      </c>
    </row>
    <row r="1326">
      <c r="I1326" s="52"/>
      <c r="K1326" s="43" t="str">
        <f t="shared" si="1"/>
        <v/>
      </c>
      <c r="L1326" s="43" t="str">
        <f t="shared" si="2"/>
        <v/>
      </c>
    </row>
    <row r="1327">
      <c r="I1327" s="52"/>
      <c r="K1327" s="43" t="str">
        <f t="shared" si="1"/>
        <v/>
      </c>
      <c r="L1327" s="43" t="str">
        <f t="shared" si="2"/>
        <v/>
      </c>
    </row>
    <row r="1328">
      <c r="I1328" s="52"/>
      <c r="K1328" s="43" t="str">
        <f t="shared" si="1"/>
        <v/>
      </c>
      <c r="L1328" s="43" t="str">
        <f t="shared" si="2"/>
        <v/>
      </c>
    </row>
    <row r="1329">
      <c r="I1329" s="52"/>
      <c r="K1329" s="43" t="str">
        <f t="shared" si="1"/>
        <v/>
      </c>
      <c r="L1329" s="43" t="str">
        <f t="shared" si="2"/>
        <v/>
      </c>
    </row>
    <row r="1330">
      <c r="I1330" s="52"/>
      <c r="K1330" s="43" t="str">
        <f t="shared" si="1"/>
        <v/>
      </c>
      <c r="L1330" s="43" t="str">
        <f t="shared" si="2"/>
        <v/>
      </c>
    </row>
    <row r="1331">
      <c r="I1331" s="52"/>
      <c r="K1331" s="43" t="str">
        <f t="shared" si="1"/>
        <v/>
      </c>
      <c r="L1331" s="43" t="str">
        <f t="shared" si="2"/>
        <v/>
      </c>
    </row>
    <row r="1332">
      <c r="I1332" s="52"/>
      <c r="K1332" s="43" t="str">
        <f t="shared" si="1"/>
        <v/>
      </c>
      <c r="L1332" s="43" t="str">
        <f t="shared" si="2"/>
        <v/>
      </c>
    </row>
    <row r="1333">
      <c r="I1333" s="52"/>
      <c r="K1333" s="43" t="str">
        <f t="shared" si="1"/>
        <v/>
      </c>
      <c r="L1333" s="43" t="str">
        <f t="shared" si="2"/>
        <v/>
      </c>
    </row>
    <row r="1334">
      <c r="I1334" s="52"/>
      <c r="K1334" s="43" t="str">
        <f t="shared" si="1"/>
        <v/>
      </c>
      <c r="L1334" s="43" t="str">
        <f t="shared" si="2"/>
        <v/>
      </c>
    </row>
    <row r="1335">
      <c r="I1335" s="52"/>
      <c r="K1335" s="43" t="str">
        <f t="shared" si="1"/>
        <v/>
      </c>
      <c r="L1335" s="43" t="str">
        <f t="shared" si="2"/>
        <v/>
      </c>
    </row>
    <row r="1336">
      <c r="I1336" s="52"/>
      <c r="K1336" s="43" t="str">
        <f t="shared" si="1"/>
        <v/>
      </c>
      <c r="L1336" s="43" t="str">
        <f t="shared" si="2"/>
        <v/>
      </c>
    </row>
    <row r="1337">
      <c r="I1337" s="52"/>
      <c r="K1337" s="43" t="str">
        <f t="shared" si="1"/>
        <v/>
      </c>
      <c r="L1337" s="43" t="str">
        <f t="shared" si="2"/>
        <v/>
      </c>
    </row>
    <row r="1338">
      <c r="I1338" s="52"/>
      <c r="K1338" s="43" t="str">
        <f t="shared" si="1"/>
        <v/>
      </c>
      <c r="L1338" s="43" t="str">
        <f t="shared" si="2"/>
        <v/>
      </c>
    </row>
    <row r="1339">
      <c r="I1339" s="52"/>
      <c r="K1339" s="43" t="str">
        <f t="shared" si="1"/>
        <v/>
      </c>
      <c r="L1339" s="43" t="str">
        <f t="shared" si="2"/>
        <v/>
      </c>
    </row>
    <row r="1340">
      <c r="I1340" s="52"/>
      <c r="K1340" s="43" t="str">
        <f t="shared" si="1"/>
        <v/>
      </c>
      <c r="L1340" s="43" t="str">
        <f t="shared" si="2"/>
        <v/>
      </c>
    </row>
    <row r="1341">
      <c r="I1341" s="52"/>
      <c r="K1341" s="43" t="str">
        <f t="shared" si="1"/>
        <v/>
      </c>
      <c r="L1341" s="43" t="str">
        <f t="shared" si="2"/>
        <v/>
      </c>
    </row>
    <row r="1342">
      <c r="I1342" s="52"/>
      <c r="K1342" s="43" t="str">
        <f t="shared" si="1"/>
        <v/>
      </c>
      <c r="L1342" s="43" t="str">
        <f t="shared" si="2"/>
        <v/>
      </c>
    </row>
    <row r="1343">
      <c r="I1343" s="52"/>
      <c r="K1343" s="43" t="str">
        <f t="shared" si="1"/>
        <v/>
      </c>
      <c r="L1343" s="43" t="str">
        <f t="shared" si="2"/>
        <v/>
      </c>
    </row>
    <row r="1344">
      <c r="I1344" s="52"/>
      <c r="K1344" s="43" t="str">
        <f t="shared" si="1"/>
        <v/>
      </c>
      <c r="L1344" s="43" t="str">
        <f t="shared" si="2"/>
        <v/>
      </c>
    </row>
    <row r="1345">
      <c r="I1345" s="52"/>
      <c r="K1345" s="43" t="str">
        <f t="shared" si="1"/>
        <v/>
      </c>
      <c r="L1345" s="43" t="str">
        <f t="shared" si="2"/>
        <v/>
      </c>
    </row>
    <row r="1346">
      <c r="I1346" s="52"/>
      <c r="K1346" s="43" t="str">
        <f t="shared" si="1"/>
        <v/>
      </c>
      <c r="L1346" s="43" t="str">
        <f t="shared" si="2"/>
        <v/>
      </c>
    </row>
    <row r="1347">
      <c r="I1347" s="52"/>
      <c r="K1347" s="43" t="str">
        <f t="shared" si="1"/>
        <v/>
      </c>
      <c r="L1347" s="43" t="str">
        <f t="shared" si="2"/>
        <v/>
      </c>
    </row>
    <row r="1348">
      <c r="I1348" s="52"/>
      <c r="K1348" s="43" t="str">
        <f t="shared" si="1"/>
        <v/>
      </c>
      <c r="L1348" s="43" t="str">
        <f t="shared" si="2"/>
        <v/>
      </c>
    </row>
    <row r="1349">
      <c r="I1349" s="52"/>
      <c r="K1349" s="43" t="str">
        <f t="shared" si="1"/>
        <v/>
      </c>
      <c r="L1349" s="43" t="str">
        <f t="shared" si="2"/>
        <v/>
      </c>
    </row>
    <row r="1350">
      <c r="I1350" s="52"/>
      <c r="K1350" s="43" t="str">
        <f t="shared" si="1"/>
        <v/>
      </c>
      <c r="L1350" s="43" t="str">
        <f t="shared" si="2"/>
        <v/>
      </c>
    </row>
    <row r="1351">
      <c r="I1351" s="52"/>
      <c r="K1351" s="43" t="str">
        <f t="shared" si="1"/>
        <v/>
      </c>
      <c r="L1351" s="43" t="str">
        <f t="shared" si="2"/>
        <v/>
      </c>
    </row>
    <row r="1352">
      <c r="I1352" s="52"/>
      <c r="K1352" s="43" t="str">
        <f t="shared" si="1"/>
        <v/>
      </c>
      <c r="L1352" s="43" t="str">
        <f t="shared" si="2"/>
        <v/>
      </c>
    </row>
    <row r="1353">
      <c r="I1353" s="52"/>
      <c r="K1353" s="43" t="str">
        <f t="shared" si="1"/>
        <v/>
      </c>
      <c r="L1353" s="43" t="str">
        <f t="shared" si="2"/>
        <v/>
      </c>
    </row>
    <row r="1354">
      <c r="I1354" s="52"/>
      <c r="K1354" s="43" t="str">
        <f t="shared" si="1"/>
        <v/>
      </c>
      <c r="L1354" s="43" t="str">
        <f t="shared" si="2"/>
        <v/>
      </c>
    </row>
    <row r="1355">
      <c r="I1355" s="52"/>
      <c r="K1355" s="43" t="str">
        <f t="shared" si="1"/>
        <v/>
      </c>
      <c r="L1355" s="43" t="str">
        <f t="shared" si="2"/>
        <v/>
      </c>
    </row>
    <row r="1356">
      <c r="I1356" s="52"/>
      <c r="K1356" s="43" t="str">
        <f t="shared" si="1"/>
        <v/>
      </c>
      <c r="L1356" s="43" t="str">
        <f t="shared" si="2"/>
        <v/>
      </c>
    </row>
    <row r="1357">
      <c r="I1357" s="52"/>
      <c r="K1357" s="43" t="str">
        <f t="shared" si="1"/>
        <v/>
      </c>
      <c r="L1357" s="43" t="str">
        <f t="shared" si="2"/>
        <v/>
      </c>
    </row>
    <row r="1358">
      <c r="I1358" s="52"/>
      <c r="K1358" s="43" t="str">
        <f t="shared" si="1"/>
        <v/>
      </c>
      <c r="L1358" s="43" t="str">
        <f t="shared" si="2"/>
        <v/>
      </c>
    </row>
    <row r="1359">
      <c r="I1359" s="52"/>
      <c r="K1359" s="43" t="str">
        <f t="shared" si="1"/>
        <v/>
      </c>
      <c r="L1359" s="43" t="str">
        <f t="shared" si="2"/>
        <v/>
      </c>
    </row>
    <row r="1360">
      <c r="I1360" s="52"/>
      <c r="K1360" s="43" t="str">
        <f t="shared" si="1"/>
        <v/>
      </c>
      <c r="L1360" s="43" t="str">
        <f t="shared" si="2"/>
        <v/>
      </c>
    </row>
    <row r="1361">
      <c r="I1361" s="52"/>
      <c r="K1361" s="43" t="str">
        <f t="shared" si="1"/>
        <v/>
      </c>
      <c r="L1361" s="43" t="str">
        <f t="shared" si="2"/>
        <v/>
      </c>
    </row>
    <row r="1362">
      <c r="I1362" s="52"/>
      <c r="K1362" s="43" t="str">
        <f t="shared" si="1"/>
        <v/>
      </c>
      <c r="L1362" s="43" t="str">
        <f t="shared" si="2"/>
        <v/>
      </c>
    </row>
    <row r="1363">
      <c r="I1363" s="52"/>
      <c r="K1363" s="43" t="str">
        <f t="shared" si="1"/>
        <v/>
      </c>
      <c r="L1363" s="43" t="str">
        <f t="shared" si="2"/>
        <v/>
      </c>
    </row>
    <row r="1364">
      <c r="I1364" s="52"/>
      <c r="K1364" s="43" t="str">
        <f t="shared" si="1"/>
        <v/>
      </c>
      <c r="L1364" s="43" t="str">
        <f t="shared" si="2"/>
        <v/>
      </c>
    </row>
    <row r="1365">
      <c r="I1365" s="52"/>
      <c r="K1365" s="43" t="str">
        <f t="shared" si="1"/>
        <v/>
      </c>
      <c r="L1365" s="43" t="str">
        <f t="shared" si="2"/>
        <v/>
      </c>
    </row>
    <row r="1366">
      <c r="I1366" s="52"/>
      <c r="K1366" s="43" t="str">
        <f t="shared" si="1"/>
        <v/>
      </c>
      <c r="L1366" s="43" t="str">
        <f t="shared" si="2"/>
        <v/>
      </c>
    </row>
    <row r="1367">
      <c r="I1367" s="52"/>
      <c r="K1367" s="43" t="str">
        <f t="shared" si="1"/>
        <v/>
      </c>
      <c r="L1367" s="43" t="str">
        <f t="shared" si="2"/>
        <v/>
      </c>
    </row>
    <row r="1368">
      <c r="I1368" s="52"/>
      <c r="K1368" s="43" t="str">
        <f t="shared" si="1"/>
        <v/>
      </c>
      <c r="L1368" s="43" t="str">
        <f t="shared" si="2"/>
        <v/>
      </c>
    </row>
    <row r="1369">
      <c r="I1369" s="52"/>
      <c r="K1369" s="43" t="str">
        <f t="shared" si="1"/>
        <v/>
      </c>
      <c r="L1369" s="43" t="str">
        <f t="shared" si="2"/>
        <v/>
      </c>
    </row>
    <row r="1370">
      <c r="I1370" s="52"/>
      <c r="K1370" s="43" t="str">
        <f t="shared" si="1"/>
        <v/>
      </c>
      <c r="L1370" s="43" t="str">
        <f t="shared" si="2"/>
        <v/>
      </c>
    </row>
    <row r="1371">
      <c r="I1371" s="52"/>
      <c r="K1371" s="43" t="str">
        <f t="shared" si="1"/>
        <v/>
      </c>
      <c r="L1371" s="43" t="str">
        <f t="shared" si="2"/>
        <v/>
      </c>
    </row>
    <row r="1372">
      <c r="I1372" s="52"/>
      <c r="K1372" s="43" t="str">
        <f t="shared" si="1"/>
        <v/>
      </c>
      <c r="L1372" s="43" t="str">
        <f t="shared" si="2"/>
        <v/>
      </c>
    </row>
    <row r="1373">
      <c r="I1373" s="52"/>
      <c r="K1373" s="43" t="str">
        <f t="shared" si="1"/>
        <v/>
      </c>
      <c r="L1373" s="43" t="str">
        <f t="shared" si="2"/>
        <v/>
      </c>
    </row>
    <row r="1374">
      <c r="I1374" s="52"/>
      <c r="K1374" s="43" t="str">
        <f t="shared" si="1"/>
        <v/>
      </c>
      <c r="L1374" s="43" t="str">
        <f t="shared" si="2"/>
        <v/>
      </c>
    </row>
    <row r="1375">
      <c r="I1375" s="52"/>
      <c r="K1375" s="43" t="str">
        <f t="shared" si="1"/>
        <v/>
      </c>
      <c r="L1375" s="43" t="str">
        <f t="shared" si="2"/>
        <v/>
      </c>
    </row>
    <row r="1376">
      <c r="I1376" s="52"/>
      <c r="K1376" s="43" t="str">
        <f t="shared" si="1"/>
        <v/>
      </c>
      <c r="L1376" s="43" t="str">
        <f t="shared" si="2"/>
        <v/>
      </c>
    </row>
    <row r="1377">
      <c r="I1377" s="52"/>
      <c r="K1377" s="43" t="str">
        <f t="shared" si="1"/>
        <v/>
      </c>
      <c r="L1377" s="43" t="str">
        <f t="shared" si="2"/>
        <v/>
      </c>
    </row>
    <row r="1378">
      <c r="I1378" s="52"/>
      <c r="K1378" s="43" t="str">
        <f t="shared" si="1"/>
        <v/>
      </c>
      <c r="L1378" s="43" t="str">
        <f t="shared" si="2"/>
        <v/>
      </c>
    </row>
    <row r="1379">
      <c r="I1379" s="52"/>
      <c r="K1379" s="43" t="str">
        <f t="shared" si="1"/>
        <v/>
      </c>
      <c r="L1379" s="43" t="str">
        <f t="shared" si="2"/>
        <v/>
      </c>
    </row>
    <row r="1380">
      <c r="I1380" s="52"/>
      <c r="K1380" s="43" t="str">
        <f t="shared" si="1"/>
        <v/>
      </c>
      <c r="L1380" s="43" t="str">
        <f t="shared" si="2"/>
        <v/>
      </c>
    </row>
    <row r="1381">
      <c r="I1381" s="52"/>
      <c r="K1381" s="43" t="str">
        <f t="shared" si="1"/>
        <v/>
      </c>
      <c r="L1381" s="43" t="str">
        <f t="shared" si="2"/>
        <v/>
      </c>
    </row>
    <row r="1382">
      <c r="I1382" s="52"/>
      <c r="K1382" s="43" t="str">
        <f t="shared" si="1"/>
        <v/>
      </c>
      <c r="L1382" s="43" t="str">
        <f t="shared" si="2"/>
        <v/>
      </c>
    </row>
    <row r="1383">
      <c r="I1383" s="52"/>
      <c r="K1383" s="43" t="str">
        <f t="shared" si="1"/>
        <v/>
      </c>
      <c r="L1383" s="43" t="str">
        <f t="shared" si="2"/>
        <v/>
      </c>
    </row>
    <row r="1384">
      <c r="I1384" s="52"/>
      <c r="K1384" s="43" t="str">
        <f t="shared" si="1"/>
        <v/>
      </c>
      <c r="L1384" s="43" t="str">
        <f t="shared" si="2"/>
        <v/>
      </c>
    </row>
    <row r="1385">
      <c r="I1385" s="52"/>
      <c r="K1385" s="43" t="str">
        <f t="shared" si="1"/>
        <v/>
      </c>
      <c r="L1385" s="43" t="str">
        <f t="shared" si="2"/>
        <v/>
      </c>
    </row>
    <row r="1386">
      <c r="I1386" s="52"/>
      <c r="K1386" s="43" t="str">
        <f t="shared" si="1"/>
        <v/>
      </c>
      <c r="L1386" s="43" t="str">
        <f t="shared" si="2"/>
        <v/>
      </c>
    </row>
    <row r="1387">
      <c r="I1387" s="52"/>
      <c r="K1387" s="43" t="str">
        <f t="shared" si="1"/>
        <v/>
      </c>
      <c r="L1387" s="43" t="str">
        <f t="shared" si="2"/>
        <v/>
      </c>
    </row>
    <row r="1388">
      <c r="I1388" s="52"/>
      <c r="K1388" s="43" t="str">
        <f t="shared" si="1"/>
        <v/>
      </c>
      <c r="L1388" s="43" t="str">
        <f t="shared" si="2"/>
        <v/>
      </c>
    </row>
    <row r="1389">
      <c r="I1389" s="52"/>
      <c r="K1389" s="43" t="str">
        <f t="shared" si="1"/>
        <v/>
      </c>
      <c r="L1389" s="43" t="str">
        <f t="shared" si="2"/>
        <v/>
      </c>
    </row>
    <row r="1390">
      <c r="I1390" s="52"/>
      <c r="K1390" s="43" t="str">
        <f t="shared" si="1"/>
        <v/>
      </c>
      <c r="L1390" s="43" t="str">
        <f t="shared" si="2"/>
        <v/>
      </c>
    </row>
    <row r="1391">
      <c r="I1391" s="52"/>
      <c r="K1391" s="43" t="str">
        <f t="shared" si="1"/>
        <v/>
      </c>
      <c r="L1391" s="43" t="str">
        <f t="shared" si="2"/>
        <v/>
      </c>
    </row>
    <row r="1392">
      <c r="I1392" s="52"/>
      <c r="K1392" s="43" t="str">
        <f t="shared" si="1"/>
        <v/>
      </c>
      <c r="L1392" s="43" t="str">
        <f t="shared" si="2"/>
        <v/>
      </c>
    </row>
    <row r="1393">
      <c r="I1393" s="52"/>
      <c r="K1393" s="43" t="str">
        <f t="shared" si="1"/>
        <v/>
      </c>
      <c r="L1393" s="43" t="str">
        <f t="shared" si="2"/>
        <v/>
      </c>
    </row>
    <row r="1394">
      <c r="I1394" s="52"/>
      <c r="K1394" s="43" t="str">
        <f t="shared" si="1"/>
        <v/>
      </c>
      <c r="L1394" s="43" t="str">
        <f t="shared" si="2"/>
        <v/>
      </c>
    </row>
    <row r="1395">
      <c r="I1395" s="52"/>
      <c r="K1395" s="43" t="str">
        <f t="shared" si="1"/>
        <v/>
      </c>
      <c r="L1395" s="43" t="str">
        <f t="shared" si="2"/>
        <v/>
      </c>
    </row>
    <row r="1396">
      <c r="I1396" s="52"/>
      <c r="K1396" s="43" t="str">
        <f t="shared" si="1"/>
        <v/>
      </c>
      <c r="L1396" s="43" t="str">
        <f t="shared" si="2"/>
        <v/>
      </c>
    </row>
    <row r="1397">
      <c r="I1397" s="52"/>
      <c r="K1397" s="43" t="str">
        <f t="shared" si="1"/>
        <v/>
      </c>
      <c r="L1397" s="43" t="str">
        <f t="shared" si="2"/>
        <v/>
      </c>
    </row>
    <row r="1398">
      <c r="I1398" s="52"/>
      <c r="K1398" s="43" t="str">
        <f t="shared" si="1"/>
        <v/>
      </c>
      <c r="L1398" s="43" t="str">
        <f t="shared" si="2"/>
        <v/>
      </c>
    </row>
    <row r="1399">
      <c r="I1399" s="52"/>
      <c r="K1399" s="43" t="str">
        <f t="shared" si="1"/>
        <v/>
      </c>
      <c r="L1399" s="43" t="str">
        <f t="shared" si="2"/>
        <v/>
      </c>
    </row>
    <row r="1400">
      <c r="I1400" s="52"/>
      <c r="K1400" s="43" t="str">
        <f t="shared" si="1"/>
        <v/>
      </c>
      <c r="L1400" s="43" t="str">
        <f t="shared" si="2"/>
        <v/>
      </c>
    </row>
    <row r="1401">
      <c r="I1401" s="52"/>
      <c r="K1401" s="43" t="str">
        <f t="shared" si="1"/>
        <v/>
      </c>
      <c r="L1401" s="43" t="str">
        <f t="shared" si="2"/>
        <v/>
      </c>
    </row>
    <row r="1402">
      <c r="I1402" s="52"/>
      <c r="K1402" s="43" t="str">
        <f t="shared" si="1"/>
        <v/>
      </c>
      <c r="L1402" s="43" t="str">
        <f t="shared" si="2"/>
        <v/>
      </c>
    </row>
    <row r="1403">
      <c r="I1403" s="52"/>
      <c r="K1403" s="43" t="str">
        <f t="shared" si="1"/>
        <v/>
      </c>
      <c r="L1403" s="43" t="str">
        <f t="shared" si="2"/>
        <v/>
      </c>
    </row>
    <row r="1404">
      <c r="I1404" s="52"/>
      <c r="K1404" s="43" t="str">
        <f t="shared" si="1"/>
        <v/>
      </c>
      <c r="L1404" s="43" t="str">
        <f t="shared" si="2"/>
        <v/>
      </c>
    </row>
    <row r="1405">
      <c r="I1405" s="52"/>
      <c r="K1405" s="43" t="str">
        <f t="shared" si="1"/>
        <v/>
      </c>
      <c r="L1405" s="43" t="str">
        <f t="shared" si="2"/>
        <v/>
      </c>
    </row>
    <row r="1406">
      <c r="I1406" s="52"/>
      <c r="K1406" s="43" t="str">
        <f t="shared" si="1"/>
        <v/>
      </c>
      <c r="L1406" s="43" t="str">
        <f t="shared" si="2"/>
        <v/>
      </c>
    </row>
    <row r="1407">
      <c r="I1407" s="52"/>
      <c r="K1407" s="43" t="str">
        <f t="shared" si="1"/>
        <v/>
      </c>
      <c r="L1407" s="43" t="str">
        <f t="shared" si="2"/>
        <v/>
      </c>
    </row>
    <row r="1408">
      <c r="I1408" s="52"/>
      <c r="K1408" s="43" t="str">
        <f t="shared" si="1"/>
        <v/>
      </c>
      <c r="L1408" s="43" t="str">
        <f t="shared" si="2"/>
        <v/>
      </c>
    </row>
    <row r="1409">
      <c r="I1409" s="52"/>
      <c r="K1409" s="43" t="str">
        <f t="shared" si="1"/>
        <v/>
      </c>
      <c r="L1409" s="43" t="str">
        <f t="shared" si="2"/>
        <v/>
      </c>
    </row>
    <row r="1410">
      <c r="I1410" s="52"/>
      <c r="K1410" s="43" t="str">
        <f t="shared" si="1"/>
        <v/>
      </c>
      <c r="L1410" s="43" t="str">
        <f t="shared" si="2"/>
        <v/>
      </c>
    </row>
    <row r="1411">
      <c r="I1411" s="52"/>
      <c r="K1411" s="43" t="str">
        <f t="shared" si="1"/>
        <v/>
      </c>
      <c r="L1411" s="43" t="str">
        <f t="shared" si="2"/>
        <v/>
      </c>
    </row>
    <row r="1412">
      <c r="I1412" s="52"/>
      <c r="K1412" s="43" t="str">
        <f t="shared" si="1"/>
        <v/>
      </c>
      <c r="L1412" s="43" t="str">
        <f t="shared" si="2"/>
        <v/>
      </c>
    </row>
    <row r="1413">
      <c r="I1413" s="52"/>
      <c r="K1413" s="43" t="str">
        <f t="shared" si="1"/>
        <v/>
      </c>
      <c r="L1413" s="43" t="str">
        <f t="shared" si="2"/>
        <v/>
      </c>
    </row>
    <row r="1414">
      <c r="I1414" s="52"/>
      <c r="K1414" s="43" t="str">
        <f t="shared" si="1"/>
        <v/>
      </c>
      <c r="L1414" s="43" t="str">
        <f t="shared" si="2"/>
        <v/>
      </c>
    </row>
    <row r="1415">
      <c r="I1415" s="52"/>
      <c r="K1415" s="43" t="str">
        <f t="shared" si="1"/>
        <v/>
      </c>
      <c r="L1415" s="43" t="str">
        <f t="shared" si="2"/>
        <v/>
      </c>
    </row>
    <row r="1416">
      <c r="I1416" s="52"/>
      <c r="K1416" s="43" t="str">
        <f t="shared" si="1"/>
        <v/>
      </c>
      <c r="L1416" s="43" t="str">
        <f t="shared" si="2"/>
        <v/>
      </c>
    </row>
    <row r="1417">
      <c r="I1417" s="52"/>
      <c r="K1417" s="43" t="str">
        <f t="shared" si="1"/>
        <v/>
      </c>
      <c r="L1417" s="43" t="str">
        <f t="shared" si="2"/>
        <v/>
      </c>
    </row>
    <row r="1418">
      <c r="I1418" s="52"/>
      <c r="K1418" s="43" t="str">
        <f t="shared" si="1"/>
        <v/>
      </c>
      <c r="L1418" s="43" t="str">
        <f t="shared" si="2"/>
        <v/>
      </c>
    </row>
    <row r="1419">
      <c r="I1419" s="52"/>
      <c r="K1419" s="43" t="str">
        <f t="shared" si="1"/>
        <v/>
      </c>
      <c r="L1419" s="43" t="str">
        <f t="shared" si="2"/>
        <v/>
      </c>
    </row>
    <row r="1420">
      <c r="I1420" s="52"/>
      <c r="K1420" s="43" t="str">
        <f t="shared" si="1"/>
        <v/>
      </c>
      <c r="L1420" s="43" t="str">
        <f t="shared" si="2"/>
        <v/>
      </c>
    </row>
    <row r="1421">
      <c r="I1421" s="52"/>
      <c r="K1421" s="43" t="str">
        <f t="shared" si="1"/>
        <v/>
      </c>
      <c r="L1421" s="43" t="str">
        <f t="shared" si="2"/>
        <v/>
      </c>
    </row>
    <row r="1422">
      <c r="I1422" s="52"/>
      <c r="K1422" s="43" t="str">
        <f t="shared" si="1"/>
        <v/>
      </c>
      <c r="L1422" s="43" t="str">
        <f t="shared" si="2"/>
        <v/>
      </c>
    </row>
    <row r="1423">
      <c r="I1423" s="52"/>
      <c r="K1423" s="43" t="str">
        <f t="shared" si="1"/>
        <v/>
      </c>
      <c r="L1423" s="43" t="str">
        <f t="shared" si="2"/>
        <v/>
      </c>
    </row>
    <row r="1424">
      <c r="I1424" s="52"/>
      <c r="K1424" s="43" t="str">
        <f t="shared" si="1"/>
        <v/>
      </c>
      <c r="L1424" s="43" t="str">
        <f t="shared" si="2"/>
        <v/>
      </c>
    </row>
    <row r="1425">
      <c r="I1425" s="52"/>
      <c r="K1425" s="43" t="str">
        <f t="shared" si="1"/>
        <v/>
      </c>
      <c r="L1425" s="43" t="str">
        <f t="shared" si="2"/>
        <v/>
      </c>
    </row>
    <row r="1426">
      <c r="I1426" s="52"/>
      <c r="K1426" s="43" t="str">
        <f t="shared" si="1"/>
        <v/>
      </c>
      <c r="L1426" s="43" t="str">
        <f t="shared" si="2"/>
        <v/>
      </c>
    </row>
    <row r="1427">
      <c r="I1427" s="52"/>
      <c r="K1427" s="43" t="str">
        <f t="shared" si="1"/>
        <v/>
      </c>
      <c r="L1427" s="43" t="str">
        <f t="shared" si="2"/>
        <v/>
      </c>
    </row>
    <row r="1428">
      <c r="I1428" s="52"/>
      <c r="K1428" s="43" t="str">
        <f t="shared" si="1"/>
        <v/>
      </c>
      <c r="L1428" s="43" t="str">
        <f t="shared" si="2"/>
        <v/>
      </c>
    </row>
    <row r="1429">
      <c r="I1429" s="52"/>
      <c r="K1429" s="43" t="str">
        <f t="shared" si="1"/>
        <v/>
      </c>
      <c r="L1429" s="43" t="str">
        <f t="shared" si="2"/>
        <v/>
      </c>
    </row>
    <row r="1430">
      <c r="I1430" s="52"/>
      <c r="K1430" s="43" t="str">
        <f t="shared" si="1"/>
        <v/>
      </c>
      <c r="L1430" s="43" t="str">
        <f t="shared" si="2"/>
        <v/>
      </c>
    </row>
    <row r="1431">
      <c r="I1431" s="52"/>
      <c r="K1431" s="43" t="str">
        <f t="shared" si="1"/>
        <v/>
      </c>
      <c r="L1431" s="43" t="str">
        <f t="shared" si="2"/>
        <v/>
      </c>
    </row>
    <row r="1432">
      <c r="I1432" s="52"/>
      <c r="K1432" s="43" t="str">
        <f t="shared" si="1"/>
        <v/>
      </c>
      <c r="L1432" s="43" t="str">
        <f t="shared" si="2"/>
        <v/>
      </c>
    </row>
    <row r="1433">
      <c r="I1433" s="52"/>
      <c r="K1433" s="43" t="str">
        <f t="shared" si="1"/>
        <v/>
      </c>
      <c r="L1433" s="43" t="str">
        <f t="shared" si="2"/>
        <v/>
      </c>
    </row>
    <row r="1434">
      <c r="I1434" s="52"/>
      <c r="K1434" s="43" t="str">
        <f t="shared" si="1"/>
        <v/>
      </c>
      <c r="L1434" s="43" t="str">
        <f t="shared" si="2"/>
        <v/>
      </c>
    </row>
    <row r="1435">
      <c r="I1435" s="52"/>
      <c r="K1435" s="43" t="str">
        <f t="shared" si="1"/>
        <v/>
      </c>
      <c r="L1435" s="43" t="str">
        <f t="shared" si="2"/>
        <v/>
      </c>
    </row>
    <row r="1436">
      <c r="I1436" s="52"/>
      <c r="K1436" s="43" t="str">
        <f t="shared" si="1"/>
        <v/>
      </c>
      <c r="L1436" s="43" t="str">
        <f t="shared" si="2"/>
        <v/>
      </c>
    </row>
    <row r="1437">
      <c r="I1437" s="52"/>
      <c r="K1437" s="43" t="str">
        <f t="shared" si="1"/>
        <v/>
      </c>
      <c r="L1437" s="43" t="str">
        <f t="shared" si="2"/>
        <v/>
      </c>
    </row>
    <row r="1438">
      <c r="I1438" s="52"/>
      <c r="K1438" s="43" t="str">
        <f t="shared" si="1"/>
        <v/>
      </c>
      <c r="L1438" s="43" t="str">
        <f t="shared" si="2"/>
        <v/>
      </c>
    </row>
    <row r="1439">
      <c r="I1439" s="52"/>
      <c r="K1439" s="43" t="str">
        <f t="shared" si="1"/>
        <v/>
      </c>
      <c r="L1439" s="43" t="str">
        <f t="shared" si="2"/>
        <v/>
      </c>
    </row>
    <row r="1440">
      <c r="I1440" s="52"/>
      <c r="K1440" s="43" t="str">
        <f t="shared" si="1"/>
        <v/>
      </c>
      <c r="L1440" s="43" t="str">
        <f t="shared" si="2"/>
        <v/>
      </c>
    </row>
    <row r="1441">
      <c r="I1441" s="52"/>
      <c r="K1441" s="43" t="str">
        <f t="shared" si="1"/>
        <v/>
      </c>
      <c r="L1441" s="43" t="str">
        <f t="shared" si="2"/>
        <v/>
      </c>
    </row>
    <row r="1442">
      <c r="I1442" s="52"/>
      <c r="K1442" s="43" t="str">
        <f t="shared" si="1"/>
        <v/>
      </c>
      <c r="L1442" s="43" t="str">
        <f t="shared" si="2"/>
        <v/>
      </c>
    </row>
    <row r="1443">
      <c r="I1443" s="52"/>
      <c r="K1443" s="43" t="str">
        <f t="shared" si="1"/>
        <v/>
      </c>
      <c r="L1443" s="43" t="str">
        <f t="shared" si="2"/>
        <v/>
      </c>
    </row>
    <row r="1444">
      <c r="I1444" s="52"/>
      <c r="K1444" s="43" t="str">
        <f t="shared" si="1"/>
        <v/>
      </c>
      <c r="L1444" s="43" t="str">
        <f t="shared" si="2"/>
        <v/>
      </c>
    </row>
    <row r="1445">
      <c r="I1445" s="52"/>
      <c r="K1445" s="43" t="str">
        <f t="shared" si="1"/>
        <v/>
      </c>
      <c r="L1445" s="43" t="str">
        <f t="shared" si="2"/>
        <v/>
      </c>
    </row>
    <row r="1446">
      <c r="I1446" s="52"/>
      <c r="K1446" s="43" t="str">
        <f t="shared" si="1"/>
        <v/>
      </c>
      <c r="L1446" s="43" t="str">
        <f t="shared" si="2"/>
        <v/>
      </c>
    </row>
    <row r="1447">
      <c r="I1447" s="52"/>
      <c r="K1447" s="43" t="str">
        <f t="shared" si="1"/>
        <v/>
      </c>
      <c r="L1447" s="43" t="str">
        <f t="shared" si="2"/>
        <v/>
      </c>
    </row>
    <row r="1448">
      <c r="I1448" s="52"/>
      <c r="K1448" s="43" t="str">
        <f t="shared" si="1"/>
        <v/>
      </c>
      <c r="L1448" s="43" t="str">
        <f t="shared" si="2"/>
        <v/>
      </c>
    </row>
    <row r="1449">
      <c r="I1449" s="52"/>
      <c r="K1449" s="43" t="str">
        <f t="shared" si="1"/>
        <v/>
      </c>
      <c r="L1449" s="43" t="str">
        <f t="shared" si="2"/>
        <v/>
      </c>
    </row>
    <row r="1450">
      <c r="I1450" s="52"/>
      <c r="K1450" s="43" t="str">
        <f t="shared" si="1"/>
        <v/>
      </c>
      <c r="L1450" s="43" t="str">
        <f t="shared" si="2"/>
        <v/>
      </c>
    </row>
    <row r="1451">
      <c r="I1451" s="52"/>
      <c r="K1451" s="43" t="str">
        <f t="shared" si="1"/>
        <v/>
      </c>
      <c r="L1451" s="43" t="str">
        <f t="shared" si="2"/>
        <v/>
      </c>
    </row>
    <row r="1452">
      <c r="I1452" s="52"/>
      <c r="K1452" s="43" t="str">
        <f t="shared" si="1"/>
        <v/>
      </c>
      <c r="L1452" s="43" t="str">
        <f t="shared" si="2"/>
        <v/>
      </c>
    </row>
    <row r="1453">
      <c r="I1453" s="52"/>
      <c r="K1453" s="43" t="str">
        <f t="shared" si="1"/>
        <v/>
      </c>
      <c r="L1453" s="43" t="str">
        <f t="shared" si="2"/>
        <v/>
      </c>
    </row>
    <row r="1454">
      <c r="I1454" s="52"/>
      <c r="K1454" s="43" t="str">
        <f t="shared" si="1"/>
        <v/>
      </c>
      <c r="L1454" s="43" t="str">
        <f t="shared" si="2"/>
        <v/>
      </c>
    </row>
    <row r="1455">
      <c r="I1455" s="52"/>
      <c r="K1455" s="43" t="str">
        <f t="shared" si="1"/>
        <v/>
      </c>
      <c r="L1455" s="43" t="str">
        <f t="shared" si="2"/>
        <v/>
      </c>
    </row>
    <row r="1456">
      <c r="I1456" s="52"/>
      <c r="K1456" s="43" t="str">
        <f t="shared" si="1"/>
        <v/>
      </c>
      <c r="L1456" s="43" t="str">
        <f t="shared" si="2"/>
        <v/>
      </c>
    </row>
    <row r="1457">
      <c r="I1457" s="52"/>
      <c r="K1457" s="43" t="str">
        <f t="shared" si="1"/>
        <v/>
      </c>
      <c r="L1457" s="43" t="str">
        <f t="shared" si="2"/>
        <v/>
      </c>
    </row>
    <row r="1458">
      <c r="I1458" s="52"/>
      <c r="K1458" s="43" t="str">
        <f t="shared" si="1"/>
        <v/>
      </c>
      <c r="L1458" s="43" t="str">
        <f t="shared" si="2"/>
        <v/>
      </c>
    </row>
    <row r="1459">
      <c r="I1459" s="52"/>
      <c r="K1459" s="43" t="str">
        <f t="shared" si="1"/>
        <v/>
      </c>
      <c r="L1459" s="43" t="str">
        <f t="shared" si="2"/>
        <v/>
      </c>
    </row>
    <row r="1460">
      <c r="I1460" s="52"/>
      <c r="K1460" s="43" t="str">
        <f t="shared" si="1"/>
        <v/>
      </c>
      <c r="L1460" s="43" t="str">
        <f t="shared" si="2"/>
        <v/>
      </c>
    </row>
    <row r="1461">
      <c r="I1461" s="52"/>
      <c r="K1461" s="43" t="str">
        <f t="shared" si="1"/>
        <v/>
      </c>
      <c r="L1461" s="43" t="str">
        <f t="shared" si="2"/>
        <v/>
      </c>
    </row>
    <row r="1462">
      <c r="I1462" s="52"/>
      <c r="K1462" s="43" t="str">
        <f t="shared" si="1"/>
        <v/>
      </c>
      <c r="L1462" s="43" t="str">
        <f t="shared" si="2"/>
        <v/>
      </c>
    </row>
    <row r="1463">
      <c r="I1463" s="52"/>
      <c r="K1463" s="43" t="str">
        <f t="shared" si="1"/>
        <v/>
      </c>
      <c r="L1463" s="43" t="str">
        <f t="shared" si="2"/>
        <v/>
      </c>
    </row>
    <row r="1464">
      <c r="I1464" s="52"/>
      <c r="K1464" s="43" t="str">
        <f t="shared" si="1"/>
        <v/>
      </c>
      <c r="L1464" s="43" t="str">
        <f t="shared" si="2"/>
        <v/>
      </c>
    </row>
    <row r="1465">
      <c r="I1465" s="52"/>
      <c r="K1465" s="43" t="str">
        <f t="shared" si="1"/>
        <v/>
      </c>
      <c r="L1465" s="43" t="str">
        <f t="shared" si="2"/>
        <v/>
      </c>
    </row>
    <row r="1466">
      <c r="I1466" s="52"/>
      <c r="K1466" s="43" t="str">
        <f t="shared" si="1"/>
        <v/>
      </c>
      <c r="L1466" s="43" t="str">
        <f t="shared" si="2"/>
        <v/>
      </c>
    </row>
    <row r="1467">
      <c r="I1467" s="52"/>
      <c r="K1467" s="43" t="str">
        <f t="shared" si="1"/>
        <v/>
      </c>
      <c r="L1467" s="43" t="str">
        <f t="shared" si="2"/>
        <v/>
      </c>
    </row>
    <row r="1468">
      <c r="I1468" s="52"/>
      <c r="K1468" s="43" t="str">
        <f t="shared" si="1"/>
        <v/>
      </c>
      <c r="L1468" s="43" t="str">
        <f t="shared" si="2"/>
        <v/>
      </c>
    </row>
    <row r="1469">
      <c r="I1469" s="52"/>
      <c r="K1469" s="43" t="str">
        <f t="shared" si="1"/>
        <v/>
      </c>
      <c r="L1469" s="43" t="str">
        <f t="shared" si="2"/>
        <v/>
      </c>
    </row>
    <row r="1470">
      <c r="I1470" s="52"/>
      <c r="K1470" s="43" t="str">
        <f t="shared" si="1"/>
        <v/>
      </c>
      <c r="L1470" s="43" t="str">
        <f t="shared" si="2"/>
        <v/>
      </c>
    </row>
    <row r="1471">
      <c r="I1471" s="52"/>
      <c r="K1471" s="43" t="str">
        <f t="shared" si="1"/>
        <v/>
      </c>
      <c r="L1471" s="43" t="str">
        <f t="shared" si="2"/>
        <v/>
      </c>
    </row>
    <row r="1472">
      <c r="I1472" s="52"/>
      <c r="K1472" s="43" t="str">
        <f t="shared" si="1"/>
        <v/>
      </c>
      <c r="L1472" s="43" t="str">
        <f t="shared" si="2"/>
        <v/>
      </c>
    </row>
    <row r="1473">
      <c r="I1473" s="52"/>
      <c r="K1473" s="43" t="str">
        <f t="shared" si="1"/>
        <v/>
      </c>
      <c r="L1473" s="43" t="str">
        <f t="shared" si="2"/>
        <v/>
      </c>
    </row>
    <row r="1474">
      <c r="I1474" s="52"/>
      <c r="K1474" s="43" t="str">
        <f t="shared" si="1"/>
        <v/>
      </c>
      <c r="L1474" s="43" t="str">
        <f t="shared" si="2"/>
        <v/>
      </c>
    </row>
    <row r="1475">
      <c r="I1475" s="52"/>
      <c r="K1475" s="43" t="str">
        <f t="shared" si="1"/>
        <v/>
      </c>
      <c r="L1475" s="43" t="str">
        <f t="shared" si="2"/>
        <v/>
      </c>
    </row>
    <row r="1476">
      <c r="I1476" s="52"/>
      <c r="K1476" s="43" t="str">
        <f t="shared" si="1"/>
        <v/>
      </c>
      <c r="L1476" s="43" t="str">
        <f t="shared" si="2"/>
        <v/>
      </c>
    </row>
    <row r="1477">
      <c r="I1477" s="52"/>
      <c r="K1477" s="43" t="str">
        <f t="shared" si="1"/>
        <v/>
      </c>
      <c r="L1477" s="43" t="str">
        <f t="shared" si="2"/>
        <v/>
      </c>
    </row>
    <row r="1478">
      <c r="I1478" s="52"/>
      <c r="K1478" s="43" t="str">
        <f t="shared" si="1"/>
        <v/>
      </c>
      <c r="L1478" s="43" t="str">
        <f t="shared" si="2"/>
        <v/>
      </c>
    </row>
    <row r="1479">
      <c r="I1479" s="52"/>
      <c r="K1479" s="43" t="str">
        <f t="shared" si="1"/>
        <v/>
      </c>
      <c r="L1479" s="43" t="str">
        <f t="shared" si="2"/>
        <v/>
      </c>
    </row>
    <row r="1480">
      <c r="I1480" s="52"/>
      <c r="K1480" s="43" t="str">
        <f t="shared" si="1"/>
        <v/>
      </c>
      <c r="L1480" s="43" t="str">
        <f t="shared" si="2"/>
        <v/>
      </c>
    </row>
    <row r="1481">
      <c r="I1481" s="52"/>
      <c r="K1481" s="43" t="str">
        <f t="shared" si="1"/>
        <v/>
      </c>
      <c r="L1481" s="43" t="str">
        <f t="shared" si="2"/>
        <v/>
      </c>
    </row>
    <row r="1482">
      <c r="I1482" s="52"/>
      <c r="K1482" s="43" t="str">
        <f t="shared" si="1"/>
        <v/>
      </c>
      <c r="L1482" s="43" t="str">
        <f t="shared" si="2"/>
        <v/>
      </c>
    </row>
    <row r="1483">
      <c r="I1483" s="52"/>
      <c r="K1483" s="43" t="str">
        <f t="shared" si="1"/>
        <v/>
      </c>
      <c r="L1483" s="43" t="str">
        <f t="shared" si="2"/>
        <v/>
      </c>
    </row>
    <row r="1484">
      <c r="I1484" s="52"/>
      <c r="K1484" s="43" t="str">
        <f t="shared" si="1"/>
        <v/>
      </c>
      <c r="L1484" s="43" t="str">
        <f t="shared" si="2"/>
        <v/>
      </c>
    </row>
    <row r="1485">
      <c r="I1485" s="52"/>
      <c r="K1485" s="43" t="str">
        <f t="shared" si="1"/>
        <v/>
      </c>
      <c r="L1485" s="43" t="str">
        <f t="shared" si="2"/>
        <v/>
      </c>
    </row>
    <row r="1486">
      <c r="I1486" s="52"/>
      <c r="K1486" s="43" t="str">
        <f t="shared" si="1"/>
        <v/>
      </c>
      <c r="L1486" s="43" t="str">
        <f t="shared" si="2"/>
        <v/>
      </c>
    </row>
    <row r="1487">
      <c r="I1487" s="52"/>
      <c r="K1487" s="43" t="str">
        <f t="shared" si="1"/>
        <v/>
      </c>
      <c r="L1487" s="43" t="str">
        <f t="shared" si="2"/>
        <v/>
      </c>
    </row>
    <row r="1488">
      <c r="I1488" s="52"/>
      <c r="K1488" s="43" t="str">
        <f t="shared" si="1"/>
        <v/>
      </c>
      <c r="L1488" s="43" t="str">
        <f t="shared" si="2"/>
        <v/>
      </c>
    </row>
    <row r="1489">
      <c r="I1489" s="52"/>
      <c r="K1489" s="43" t="str">
        <f t="shared" si="1"/>
        <v/>
      </c>
      <c r="L1489" s="43" t="str">
        <f t="shared" si="2"/>
        <v/>
      </c>
    </row>
    <row r="1490">
      <c r="I1490" s="52"/>
      <c r="K1490" s="43" t="str">
        <f t="shared" si="1"/>
        <v/>
      </c>
      <c r="L1490" s="43" t="str">
        <f t="shared" si="2"/>
        <v/>
      </c>
    </row>
    <row r="1491">
      <c r="I1491" s="52"/>
      <c r="K1491" s="43" t="str">
        <f t="shared" si="1"/>
        <v/>
      </c>
      <c r="L1491" s="43" t="str">
        <f t="shared" si="2"/>
        <v/>
      </c>
    </row>
    <row r="1492">
      <c r="I1492" s="52"/>
      <c r="K1492" s="43" t="str">
        <f t="shared" si="1"/>
        <v/>
      </c>
      <c r="L1492" s="43" t="str">
        <f t="shared" si="2"/>
        <v/>
      </c>
    </row>
    <row r="1493">
      <c r="I1493" s="52"/>
      <c r="K1493" s="43" t="str">
        <f t="shared" si="1"/>
        <v/>
      </c>
      <c r="L1493" s="43" t="str">
        <f t="shared" si="2"/>
        <v/>
      </c>
    </row>
    <row r="1494">
      <c r="I1494" s="52"/>
      <c r="K1494" s="43" t="str">
        <f t="shared" si="1"/>
        <v/>
      </c>
      <c r="L1494" s="43" t="str">
        <f t="shared" si="2"/>
        <v/>
      </c>
    </row>
    <row r="1495">
      <c r="I1495" s="52"/>
      <c r="K1495" s="43" t="str">
        <f t="shared" si="1"/>
        <v/>
      </c>
      <c r="L1495" s="43" t="str">
        <f t="shared" si="2"/>
        <v/>
      </c>
    </row>
    <row r="1496">
      <c r="I1496" s="52"/>
      <c r="K1496" s="43" t="str">
        <f t="shared" si="1"/>
        <v/>
      </c>
      <c r="L1496" s="43" t="str">
        <f t="shared" si="2"/>
        <v/>
      </c>
    </row>
    <row r="1497">
      <c r="I1497" s="52"/>
      <c r="K1497" s="43" t="str">
        <f t="shared" si="1"/>
        <v/>
      </c>
      <c r="L1497" s="43" t="str">
        <f t="shared" si="2"/>
        <v/>
      </c>
    </row>
    <row r="1498">
      <c r="I1498" s="52"/>
      <c r="K1498" s="43" t="str">
        <f t="shared" si="1"/>
        <v/>
      </c>
      <c r="L1498" s="43" t="str">
        <f t="shared" si="2"/>
        <v/>
      </c>
    </row>
    <row r="1499">
      <c r="I1499" s="52"/>
      <c r="K1499" s="43" t="str">
        <f t="shared" si="1"/>
        <v/>
      </c>
      <c r="L1499" s="43" t="str">
        <f t="shared" si="2"/>
        <v/>
      </c>
    </row>
    <row r="1500">
      <c r="I1500" s="52"/>
      <c r="K1500" s="43" t="str">
        <f t="shared" si="1"/>
        <v/>
      </c>
      <c r="L1500" s="43" t="str">
        <f t="shared" si="2"/>
        <v/>
      </c>
    </row>
    <row r="1501">
      <c r="I1501" s="52"/>
      <c r="K1501" s="43" t="str">
        <f t="shared" si="1"/>
        <v/>
      </c>
      <c r="L1501" s="43" t="str">
        <f t="shared" si="2"/>
        <v/>
      </c>
    </row>
    <row r="1502">
      <c r="I1502" s="52"/>
      <c r="K1502" s="43" t="str">
        <f t="shared" si="1"/>
        <v/>
      </c>
      <c r="L1502" s="43" t="str">
        <f t="shared" si="2"/>
        <v/>
      </c>
    </row>
    <row r="1503">
      <c r="I1503" s="52"/>
      <c r="K1503" s="43" t="str">
        <f t="shared" si="1"/>
        <v/>
      </c>
      <c r="L1503" s="43" t="str">
        <f t="shared" si="2"/>
        <v/>
      </c>
    </row>
    <row r="1504">
      <c r="I1504" s="52"/>
      <c r="K1504" s="43" t="str">
        <f t="shared" si="1"/>
        <v/>
      </c>
      <c r="L1504" s="43" t="str">
        <f t="shared" si="2"/>
        <v/>
      </c>
    </row>
    <row r="1505">
      <c r="I1505" s="52"/>
      <c r="K1505" s="43" t="str">
        <f t="shared" si="1"/>
        <v/>
      </c>
      <c r="L1505" s="43" t="str">
        <f t="shared" si="2"/>
        <v/>
      </c>
    </row>
    <row r="1506">
      <c r="I1506" s="52"/>
      <c r="K1506" s="43" t="str">
        <f t="shared" si="1"/>
        <v/>
      </c>
      <c r="L1506" s="43" t="str">
        <f t="shared" si="2"/>
        <v/>
      </c>
    </row>
    <row r="1507">
      <c r="I1507" s="52"/>
      <c r="K1507" s="43" t="str">
        <f t="shared" si="1"/>
        <v/>
      </c>
      <c r="L1507" s="43" t="str">
        <f t="shared" si="2"/>
        <v/>
      </c>
    </row>
    <row r="1508">
      <c r="I1508" s="52"/>
      <c r="K1508" s="43" t="str">
        <f t="shared" si="1"/>
        <v/>
      </c>
      <c r="L1508" s="43" t="str">
        <f t="shared" si="2"/>
        <v/>
      </c>
    </row>
    <row r="1509">
      <c r="I1509" s="52"/>
      <c r="K1509" s="43" t="str">
        <f t="shared" si="1"/>
        <v/>
      </c>
      <c r="L1509" s="43" t="str">
        <f t="shared" si="2"/>
        <v/>
      </c>
    </row>
    <row r="1510">
      <c r="I1510" s="52"/>
      <c r="K1510" s="43" t="str">
        <f t="shared" si="1"/>
        <v/>
      </c>
      <c r="L1510" s="43" t="str">
        <f t="shared" si="2"/>
        <v/>
      </c>
    </row>
    <row r="1511">
      <c r="I1511" s="52"/>
      <c r="K1511" s="43" t="str">
        <f t="shared" si="1"/>
        <v/>
      </c>
      <c r="L1511" s="43" t="str">
        <f t="shared" si="2"/>
        <v/>
      </c>
    </row>
    <row r="1512">
      <c r="I1512" s="52"/>
      <c r="K1512" s="43" t="str">
        <f t="shared" si="1"/>
        <v/>
      </c>
      <c r="L1512" s="43" t="str">
        <f t="shared" si="2"/>
        <v/>
      </c>
    </row>
    <row r="1513">
      <c r="I1513" s="52"/>
      <c r="K1513" s="43" t="str">
        <f t="shared" si="1"/>
        <v/>
      </c>
      <c r="L1513" s="43" t="str">
        <f t="shared" si="2"/>
        <v/>
      </c>
    </row>
    <row r="1514">
      <c r="I1514" s="52"/>
      <c r="K1514" s="43" t="str">
        <f t="shared" si="1"/>
        <v/>
      </c>
      <c r="L1514" s="43" t="str">
        <f t="shared" si="2"/>
        <v/>
      </c>
    </row>
    <row r="1515">
      <c r="I1515" s="52"/>
      <c r="K1515" s="43" t="str">
        <f t="shared" si="1"/>
        <v/>
      </c>
      <c r="L1515" s="43" t="str">
        <f t="shared" si="2"/>
        <v/>
      </c>
    </row>
    <row r="1516">
      <c r="I1516" s="52"/>
      <c r="K1516" s="43" t="str">
        <f t="shared" si="1"/>
        <v/>
      </c>
      <c r="L1516" s="43" t="str">
        <f t="shared" si="2"/>
        <v/>
      </c>
    </row>
    <row r="1517">
      <c r="I1517" s="52"/>
      <c r="K1517" s="43" t="str">
        <f t="shared" si="1"/>
        <v/>
      </c>
      <c r="L1517" s="43" t="str">
        <f t="shared" si="2"/>
        <v/>
      </c>
    </row>
    <row r="1518">
      <c r="I1518" s="52"/>
      <c r="K1518" s="43" t="str">
        <f t="shared" si="1"/>
        <v/>
      </c>
      <c r="L1518" s="43" t="str">
        <f t="shared" si="2"/>
        <v/>
      </c>
    </row>
    <row r="1519">
      <c r="I1519" s="52"/>
      <c r="K1519" s="43" t="str">
        <f t="shared" si="1"/>
        <v/>
      </c>
      <c r="L1519" s="43" t="str">
        <f t="shared" si="2"/>
        <v/>
      </c>
    </row>
    <row r="1520">
      <c r="I1520" s="52"/>
      <c r="K1520" s="43" t="str">
        <f t="shared" si="1"/>
        <v/>
      </c>
      <c r="L1520" s="43" t="str">
        <f t="shared" si="2"/>
        <v/>
      </c>
    </row>
    <row r="1521">
      <c r="I1521" s="52"/>
      <c r="K1521" s="43" t="str">
        <f t="shared" si="1"/>
        <v/>
      </c>
      <c r="L1521" s="43" t="str">
        <f t="shared" si="2"/>
        <v/>
      </c>
    </row>
    <row r="1522">
      <c r="I1522" s="52"/>
      <c r="K1522" s="43" t="str">
        <f t="shared" si="1"/>
        <v/>
      </c>
      <c r="L1522" s="43" t="str">
        <f t="shared" si="2"/>
        <v/>
      </c>
    </row>
    <row r="1523">
      <c r="I1523" s="52"/>
      <c r="K1523" s="43" t="str">
        <f t="shared" si="1"/>
        <v/>
      </c>
      <c r="L1523" s="43" t="str">
        <f t="shared" si="2"/>
        <v/>
      </c>
    </row>
    <row r="1524">
      <c r="I1524" s="52"/>
      <c r="K1524" s="43" t="str">
        <f t="shared" si="1"/>
        <v/>
      </c>
      <c r="L1524" s="43" t="str">
        <f t="shared" si="2"/>
        <v/>
      </c>
    </row>
    <row r="1525">
      <c r="I1525" s="52"/>
      <c r="K1525" s="43" t="str">
        <f t="shared" si="1"/>
        <v/>
      </c>
      <c r="L1525" s="43" t="str">
        <f t="shared" si="2"/>
        <v/>
      </c>
    </row>
    <row r="1526">
      <c r="I1526" s="52"/>
      <c r="K1526" s="43" t="str">
        <f t="shared" si="1"/>
        <v/>
      </c>
      <c r="L1526" s="43" t="str">
        <f t="shared" si="2"/>
        <v/>
      </c>
    </row>
    <row r="1527">
      <c r="I1527" s="52"/>
      <c r="K1527" s="43" t="str">
        <f t="shared" si="1"/>
        <v/>
      </c>
      <c r="L1527" s="43" t="str">
        <f t="shared" si="2"/>
        <v/>
      </c>
    </row>
    <row r="1528">
      <c r="I1528" s="52"/>
      <c r="K1528" s="43" t="str">
        <f t="shared" si="1"/>
        <v/>
      </c>
      <c r="L1528" s="43" t="str">
        <f t="shared" si="2"/>
        <v/>
      </c>
    </row>
    <row r="1529">
      <c r="I1529" s="52"/>
      <c r="K1529" s="43" t="str">
        <f t="shared" si="1"/>
        <v/>
      </c>
      <c r="L1529" s="43" t="str">
        <f t="shared" si="2"/>
        <v/>
      </c>
    </row>
    <row r="1530">
      <c r="I1530" s="52"/>
      <c r="K1530" s="43" t="str">
        <f t="shared" si="1"/>
        <v/>
      </c>
      <c r="L1530" s="43" t="str">
        <f t="shared" si="2"/>
        <v/>
      </c>
    </row>
    <row r="1531">
      <c r="I1531" s="52"/>
      <c r="K1531" s="43" t="str">
        <f t="shared" si="1"/>
        <v/>
      </c>
      <c r="L1531" s="43" t="str">
        <f t="shared" si="2"/>
        <v/>
      </c>
    </row>
    <row r="1532">
      <c r="I1532" s="52"/>
      <c r="K1532" s="43" t="str">
        <f t="shared" si="1"/>
        <v/>
      </c>
      <c r="L1532" s="43" t="str">
        <f t="shared" si="2"/>
        <v/>
      </c>
    </row>
    <row r="1533">
      <c r="I1533" s="52"/>
      <c r="K1533" s="43" t="str">
        <f t="shared" si="1"/>
        <v/>
      </c>
      <c r="L1533" s="43" t="str">
        <f t="shared" si="2"/>
        <v/>
      </c>
    </row>
    <row r="1534">
      <c r="I1534" s="52"/>
      <c r="K1534" s="43" t="str">
        <f t="shared" si="1"/>
        <v/>
      </c>
      <c r="L1534" s="43" t="str">
        <f t="shared" si="2"/>
        <v/>
      </c>
    </row>
    <row r="1535">
      <c r="I1535" s="52"/>
      <c r="K1535" s="43" t="str">
        <f t="shared" si="1"/>
        <v/>
      </c>
      <c r="L1535" s="43" t="str">
        <f t="shared" si="2"/>
        <v/>
      </c>
    </row>
    <row r="1536">
      <c r="I1536" s="52"/>
      <c r="K1536" s="43" t="str">
        <f t="shared" si="1"/>
        <v/>
      </c>
      <c r="L1536" s="43" t="str">
        <f t="shared" si="2"/>
        <v/>
      </c>
    </row>
    <row r="1537">
      <c r="I1537" s="52"/>
      <c r="K1537" s="43" t="str">
        <f t="shared" si="1"/>
        <v/>
      </c>
      <c r="L1537" s="43" t="str">
        <f t="shared" si="2"/>
        <v/>
      </c>
    </row>
    <row r="1538">
      <c r="I1538" s="52"/>
      <c r="K1538" s="43" t="str">
        <f t="shared" si="1"/>
        <v/>
      </c>
      <c r="L1538" s="43" t="str">
        <f t="shared" si="2"/>
        <v/>
      </c>
    </row>
    <row r="1539">
      <c r="I1539" s="52"/>
      <c r="K1539" s="43" t="str">
        <f t="shared" si="1"/>
        <v/>
      </c>
      <c r="L1539" s="43" t="str">
        <f t="shared" si="2"/>
        <v/>
      </c>
    </row>
    <row r="1540">
      <c r="I1540" s="52"/>
      <c r="K1540" s="43" t="str">
        <f t="shared" si="1"/>
        <v/>
      </c>
      <c r="L1540" s="43" t="str">
        <f t="shared" si="2"/>
        <v/>
      </c>
    </row>
    <row r="1541">
      <c r="I1541" s="52"/>
      <c r="K1541" s="43" t="str">
        <f t="shared" si="1"/>
        <v/>
      </c>
      <c r="L1541" s="43" t="str">
        <f t="shared" si="2"/>
        <v/>
      </c>
    </row>
    <row r="1542">
      <c r="I1542" s="52"/>
      <c r="K1542" s="43" t="str">
        <f t="shared" si="1"/>
        <v/>
      </c>
      <c r="L1542" s="43" t="str">
        <f t="shared" si="2"/>
        <v/>
      </c>
    </row>
    <row r="1543">
      <c r="I1543" s="52"/>
      <c r="K1543" s="43" t="str">
        <f t="shared" si="1"/>
        <v/>
      </c>
      <c r="L1543" s="43" t="str">
        <f t="shared" si="2"/>
        <v/>
      </c>
    </row>
    <row r="1544">
      <c r="I1544" s="52"/>
      <c r="K1544" s="43" t="str">
        <f t="shared" si="1"/>
        <v/>
      </c>
      <c r="L1544" s="43" t="str">
        <f t="shared" si="2"/>
        <v/>
      </c>
    </row>
    <row r="1545">
      <c r="I1545" s="52"/>
      <c r="K1545" s="43" t="str">
        <f t="shared" si="1"/>
        <v/>
      </c>
      <c r="L1545" s="43" t="str">
        <f t="shared" si="2"/>
        <v/>
      </c>
    </row>
    <row r="1546">
      <c r="I1546" s="52"/>
      <c r="K1546" s="43" t="str">
        <f t="shared" si="1"/>
        <v/>
      </c>
      <c r="L1546" s="43" t="str">
        <f t="shared" si="2"/>
        <v/>
      </c>
    </row>
    <row r="1547">
      <c r="I1547" s="52"/>
      <c r="K1547" s="43" t="str">
        <f t="shared" si="1"/>
        <v/>
      </c>
      <c r="L1547" s="43" t="str">
        <f t="shared" si="2"/>
        <v/>
      </c>
    </row>
    <row r="1548">
      <c r="I1548" s="52"/>
      <c r="K1548" s="43" t="str">
        <f t="shared" si="1"/>
        <v/>
      </c>
      <c r="L1548" s="43" t="str">
        <f t="shared" si="2"/>
        <v/>
      </c>
    </row>
    <row r="1549">
      <c r="I1549" s="52"/>
      <c r="K1549" s="43" t="str">
        <f t="shared" si="1"/>
        <v/>
      </c>
      <c r="L1549" s="43" t="str">
        <f t="shared" si="2"/>
        <v/>
      </c>
    </row>
    <row r="1550">
      <c r="I1550" s="52"/>
      <c r="K1550" s="43" t="str">
        <f t="shared" si="1"/>
        <v/>
      </c>
      <c r="L1550" s="43" t="str">
        <f t="shared" si="2"/>
        <v/>
      </c>
    </row>
    <row r="1551">
      <c r="I1551" s="52"/>
      <c r="K1551" s="43" t="str">
        <f t="shared" si="1"/>
        <v/>
      </c>
      <c r="L1551" s="43" t="str">
        <f t="shared" si="2"/>
        <v/>
      </c>
    </row>
    <row r="1552">
      <c r="I1552" s="52"/>
      <c r="K1552" s="43" t="str">
        <f t="shared" si="1"/>
        <v/>
      </c>
      <c r="L1552" s="43" t="str">
        <f t="shared" si="2"/>
        <v/>
      </c>
    </row>
    <row r="1553">
      <c r="I1553" s="52"/>
      <c r="K1553" s="43" t="str">
        <f t="shared" si="1"/>
        <v/>
      </c>
      <c r="L1553" s="43" t="str">
        <f t="shared" si="2"/>
        <v/>
      </c>
    </row>
    <row r="1554">
      <c r="I1554" s="52"/>
      <c r="K1554" s="43" t="str">
        <f t="shared" si="1"/>
        <v/>
      </c>
      <c r="L1554" s="43" t="str">
        <f t="shared" si="2"/>
        <v/>
      </c>
    </row>
    <row r="1555">
      <c r="I1555" s="52"/>
      <c r="K1555" s="43" t="str">
        <f t="shared" si="1"/>
        <v/>
      </c>
      <c r="L1555" s="43" t="str">
        <f t="shared" si="2"/>
        <v/>
      </c>
    </row>
    <row r="1556">
      <c r="I1556" s="52"/>
      <c r="K1556" s="43" t="str">
        <f t="shared" si="1"/>
        <v/>
      </c>
      <c r="L1556" s="43" t="str">
        <f t="shared" si="2"/>
        <v/>
      </c>
    </row>
    <row r="1557">
      <c r="I1557" s="52"/>
      <c r="K1557" s="43" t="str">
        <f t="shared" si="1"/>
        <v/>
      </c>
      <c r="L1557" s="43" t="str">
        <f t="shared" si="2"/>
        <v/>
      </c>
    </row>
    <row r="1558">
      <c r="I1558" s="52"/>
      <c r="K1558" s="43" t="str">
        <f t="shared" si="1"/>
        <v/>
      </c>
      <c r="L1558" s="43" t="str">
        <f t="shared" si="2"/>
        <v/>
      </c>
    </row>
    <row r="1559">
      <c r="I1559" s="52"/>
      <c r="K1559" s="43" t="str">
        <f t="shared" si="1"/>
        <v/>
      </c>
      <c r="L1559" s="43" t="str">
        <f t="shared" si="2"/>
        <v/>
      </c>
    </row>
    <row r="1560">
      <c r="I1560" s="52"/>
      <c r="K1560" s="43" t="str">
        <f t="shared" si="1"/>
        <v/>
      </c>
      <c r="L1560" s="43" t="str">
        <f t="shared" si="2"/>
        <v/>
      </c>
    </row>
    <row r="1561">
      <c r="I1561" s="52"/>
      <c r="K1561" s="43" t="str">
        <f t="shared" si="1"/>
        <v/>
      </c>
      <c r="L1561" s="43" t="str">
        <f t="shared" si="2"/>
        <v/>
      </c>
    </row>
    <row r="1562">
      <c r="I1562" s="52"/>
      <c r="K1562" s="43" t="str">
        <f t="shared" si="1"/>
        <v/>
      </c>
      <c r="L1562" s="43" t="str">
        <f t="shared" si="2"/>
        <v/>
      </c>
    </row>
    <row r="1563">
      <c r="I1563" s="52"/>
      <c r="K1563" s="43" t="str">
        <f t="shared" si="1"/>
        <v/>
      </c>
      <c r="L1563" s="43" t="str">
        <f t="shared" si="2"/>
        <v/>
      </c>
    </row>
    <row r="1564">
      <c r="I1564" s="52"/>
      <c r="K1564" s="43" t="str">
        <f t="shared" si="1"/>
        <v/>
      </c>
      <c r="L1564" s="43" t="str">
        <f t="shared" si="2"/>
        <v/>
      </c>
    </row>
    <row r="1565">
      <c r="I1565" s="52"/>
      <c r="K1565" s="43" t="str">
        <f t="shared" si="1"/>
        <v/>
      </c>
      <c r="L1565" s="43" t="str">
        <f t="shared" si="2"/>
        <v/>
      </c>
    </row>
    <row r="1566">
      <c r="I1566" s="52"/>
      <c r="K1566" s="43" t="str">
        <f t="shared" si="1"/>
        <v/>
      </c>
      <c r="L1566" s="43" t="str">
        <f t="shared" si="2"/>
        <v/>
      </c>
    </row>
    <row r="1567">
      <c r="I1567" s="52"/>
      <c r="K1567" s="43" t="str">
        <f t="shared" si="1"/>
        <v/>
      </c>
      <c r="L1567" s="43" t="str">
        <f t="shared" si="2"/>
        <v/>
      </c>
    </row>
    <row r="1568">
      <c r="I1568" s="52"/>
      <c r="K1568" s="43" t="str">
        <f t="shared" si="1"/>
        <v/>
      </c>
      <c r="L1568" s="43" t="str">
        <f t="shared" si="2"/>
        <v/>
      </c>
    </row>
    <row r="1569">
      <c r="I1569" s="52"/>
      <c r="K1569" s="43" t="str">
        <f t="shared" si="1"/>
        <v/>
      </c>
      <c r="L1569" s="43" t="str">
        <f t="shared" si="2"/>
        <v/>
      </c>
    </row>
    <row r="1570">
      <c r="I1570" s="52"/>
      <c r="K1570" s="43" t="str">
        <f t="shared" si="1"/>
        <v/>
      </c>
      <c r="L1570" s="43" t="str">
        <f t="shared" si="2"/>
        <v/>
      </c>
    </row>
    <row r="1571">
      <c r="I1571" s="52"/>
      <c r="K1571" s="43" t="str">
        <f t="shared" si="1"/>
        <v/>
      </c>
      <c r="L1571" s="43" t="str">
        <f t="shared" si="2"/>
        <v/>
      </c>
    </row>
    <row r="1572">
      <c r="I1572" s="52"/>
      <c r="K1572" s="43" t="str">
        <f t="shared" si="1"/>
        <v/>
      </c>
      <c r="L1572" s="43" t="str">
        <f t="shared" si="2"/>
        <v/>
      </c>
    </row>
    <row r="1573">
      <c r="I1573" s="52"/>
      <c r="K1573" s="43" t="str">
        <f t="shared" si="1"/>
        <v/>
      </c>
      <c r="L1573" s="43" t="str">
        <f t="shared" si="2"/>
        <v/>
      </c>
    </row>
    <row r="1574">
      <c r="I1574" s="52"/>
      <c r="K1574" s="43" t="str">
        <f t="shared" si="1"/>
        <v/>
      </c>
      <c r="L1574" s="43" t="str">
        <f t="shared" si="2"/>
        <v/>
      </c>
    </row>
    <row r="1575">
      <c r="I1575" s="52"/>
      <c r="K1575" s="43" t="str">
        <f t="shared" si="1"/>
        <v/>
      </c>
      <c r="L1575" s="43" t="str">
        <f t="shared" si="2"/>
        <v/>
      </c>
    </row>
    <row r="1576">
      <c r="I1576" s="52"/>
      <c r="K1576" s="43" t="str">
        <f t="shared" si="1"/>
        <v/>
      </c>
      <c r="L1576" s="43" t="str">
        <f t="shared" si="2"/>
        <v/>
      </c>
    </row>
    <row r="1577">
      <c r="I1577" s="52"/>
      <c r="K1577" s="43" t="str">
        <f t="shared" si="1"/>
        <v/>
      </c>
      <c r="L1577" s="43" t="str">
        <f t="shared" si="2"/>
        <v/>
      </c>
    </row>
    <row r="1578">
      <c r="I1578" s="52"/>
      <c r="K1578" s="43" t="str">
        <f t="shared" si="1"/>
        <v/>
      </c>
      <c r="L1578" s="43" t="str">
        <f t="shared" si="2"/>
        <v/>
      </c>
    </row>
    <row r="1579">
      <c r="I1579" s="52"/>
      <c r="K1579" s="43" t="str">
        <f t="shared" si="1"/>
        <v/>
      </c>
      <c r="L1579" s="43" t="str">
        <f t="shared" si="2"/>
        <v/>
      </c>
    </row>
    <row r="1580">
      <c r="I1580" s="52"/>
      <c r="K1580" s="43" t="str">
        <f t="shared" si="1"/>
        <v/>
      </c>
      <c r="L1580" s="43" t="str">
        <f t="shared" si="2"/>
        <v/>
      </c>
    </row>
    <row r="1581">
      <c r="I1581" s="52"/>
      <c r="K1581" s="43" t="str">
        <f t="shared" si="1"/>
        <v/>
      </c>
      <c r="L1581" s="43" t="str">
        <f t="shared" si="2"/>
        <v/>
      </c>
    </row>
    <row r="1582">
      <c r="I1582" s="52"/>
      <c r="K1582" s="43" t="str">
        <f t="shared" si="1"/>
        <v/>
      </c>
      <c r="L1582" s="43" t="str">
        <f t="shared" si="2"/>
        <v/>
      </c>
    </row>
    <row r="1583">
      <c r="I1583" s="52"/>
      <c r="K1583" s="43" t="str">
        <f t="shared" si="1"/>
        <v/>
      </c>
      <c r="L1583" s="43" t="str">
        <f t="shared" si="2"/>
        <v/>
      </c>
    </row>
    <row r="1584">
      <c r="I1584" s="52"/>
      <c r="K1584" s="43" t="str">
        <f t="shared" si="1"/>
        <v/>
      </c>
      <c r="L1584" s="43" t="str">
        <f t="shared" si="2"/>
        <v/>
      </c>
    </row>
    <row r="1585">
      <c r="I1585" s="52"/>
      <c r="K1585" s="43" t="str">
        <f t="shared" si="1"/>
        <v/>
      </c>
      <c r="L1585" s="43" t="str">
        <f t="shared" si="2"/>
        <v/>
      </c>
    </row>
    <row r="1586">
      <c r="I1586" s="52"/>
      <c r="K1586" s="43" t="str">
        <f t="shared" si="1"/>
        <v/>
      </c>
      <c r="L1586" s="43" t="str">
        <f t="shared" si="2"/>
        <v/>
      </c>
    </row>
    <row r="1587">
      <c r="I1587" s="52"/>
      <c r="K1587" s="43" t="str">
        <f t="shared" si="1"/>
        <v/>
      </c>
      <c r="L1587" s="43" t="str">
        <f t="shared" si="2"/>
        <v/>
      </c>
    </row>
    <row r="1588">
      <c r="I1588" s="52"/>
      <c r="K1588" s="43" t="str">
        <f t="shared" si="1"/>
        <v/>
      </c>
      <c r="L1588" s="43" t="str">
        <f t="shared" si="2"/>
        <v/>
      </c>
    </row>
    <row r="1589">
      <c r="I1589" s="52"/>
      <c r="K1589" s="43" t="str">
        <f t="shared" si="1"/>
        <v/>
      </c>
      <c r="L1589" s="43" t="str">
        <f t="shared" si="2"/>
        <v/>
      </c>
    </row>
    <row r="1590">
      <c r="I1590" s="52"/>
      <c r="K1590" s="43" t="str">
        <f t="shared" si="1"/>
        <v/>
      </c>
      <c r="L1590" s="43" t="str">
        <f t="shared" si="2"/>
        <v/>
      </c>
    </row>
    <row r="1591">
      <c r="I1591" s="52"/>
      <c r="K1591" s="43" t="str">
        <f t="shared" si="1"/>
        <v/>
      </c>
      <c r="L1591" s="43" t="str">
        <f t="shared" si="2"/>
        <v/>
      </c>
    </row>
    <row r="1592">
      <c r="I1592" s="52"/>
      <c r="K1592" s="43" t="str">
        <f t="shared" si="1"/>
        <v/>
      </c>
      <c r="L1592" s="43" t="str">
        <f t="shared" si="2"/>
        <v/>
      </c>
    </row>
    <row r="1593">
      <c r="I1593" s="52"/>
      <c r="K1593" s="43" t="str">
        <f t="shared" si="1"/>
        <v/>
      </c>
      <c r="L1593" s="43" t="str">
        <f t="shared" si="2"/>
        <v/>
      </c>
    </row>
    <row r="1594">
      <c r="I1594" s="52"/>
      <c r="K1594" s="43" t="str">
        <f t="shared" si="1"/>
        <v/>
      </c>
      <c r="L1594" s="43" t="str">
        <f t="shared" si="2"/>
        <v/>
      </c>
    </row>
    <row r="1595">
      <c r="I1595" s="52"/>
      <c r="K1595" s="43" t="str">
        <f t="shared" si="1"/>
        <v/>
      </c>
      <c r="L1595" s="43" t="str">
        <f t="shared" si="2"/>
        <v/>
      </c>
    </row>
    <row r="1596">
      <c r="I1596" s="52"/>
      <c r="K1596" s="43" t="str">
        <f t="shared" si="1"/>
        <v/>
      </c>
      <c r="L1596" s="43" t="str">
        <f t="shared" si="2"/>
        <v/>
      </c>
    </row>
    <row r="1597">
      <c r="I1597" s="52"/>
      <c r="K1597" s="43" t="str">
        <f t="shared" si="1"/>
        <v/>
      </c>
      <c r="L1597" s="43" t="str">
        <f t="shared" si="2"/>
        <v/>
      </c>
    </row>
    <row r="1598">
      <c r="I1598" s="52"/>
      <c r="K1598" s="43" t="str">
        <f t="shared" si="1"/>
        <v/>
      </c>
      <c r="L1598" s="43" t="str">
        <f t="shared" si="2"/>
        <v/>
      </c>
    </row>
    <row r="1599">
      <c r="I1599" s="52"/>
      <c r="K1599" s="43" t="str">
        <f t="shared" si="1"/>
        <v/>
      </c>
      <c r="L1599" s="43" t="str">
        <f t="shared" si="2"/>
        <v/>
      </c>
    </row>
    <row r="1600">
      <c r="I1600" s="52"/>
      <c r="K1600" s="43" t="str">
        <f t="shared" si="1"/>
        <v/>
      </c>
      <c r="L1600" s="43" t="str">
        <f t="shared" si="2"/>
        <v/>
      </c>
    </row>
    <row r="1601">
      <c r="I1601" s="52"/>
      <c r="K1601" s="43" t="str">
        <f t="shared" si="1"/>
        <v/>
      </c>
      <c r="L1601" s="43" t="str">
        <f t="shared" si="2"/>
        <v/>
      </c>
    </row>
    <row r="1602">
      <c r="I1602" s="52"/>
      <c r="K1602" s="43" t="str">
        <f t="shared" si="1"/>
        <v/>
      </c>
      <c r="L1602" s="43" t="str">
        <f t="shared" si="2"/>
        <v/>
      </c>
    </row>
    <row r="1603">
      <c r="I1603" s="52"/>
      <c r="K1603" s="43" t="str">
        <f t="shared" si="1"/>
        <v/>
      </c>
      <c r="L1603" s="43" t="str">
        <f t="shared" si="2"/>
        <v/>
      </c>
    </row>
    <row r="1604">
      <c r="I1604" s="52"/>
      <c r="K1604" s="43" t="str">
        <f t="shared" si="1"/>
        <v/>
      </c>
      <c r="L1604" s="43" t="str">
        <f t="shared" si="2"/>
        <v/>
      </c>
    </row>
    <row r="1605">
      <c r="I1605" s="52"/>
      <c r="K1605" s="43" t="str">
        <f t="shared" si="1"/>
        <v/>
      </c>
      <c r="L1605" s="43" t="str">
        <f t="shared" si="2"/>
        <v/>
      </c>
    </row>
    <row r="1606">
      <c r="I1606" s="52"/>
      <c r="K1606" s="43" t="str">
        <f t="shared" si="1"/>
        <v/>
      </c>
      <c r="L1606" s="43" t="str">
        <f t="shared" si="2"/>
        <v/>
      </c>
    </row>
    <row r="1607">
      <c r="I1607" s="52"/>
      <c r="K1607" s="43" t="str">
        <f t="shared" si="1"/>
        <v/>
      </c>
      <c r="L1607" s="43" t="str">
        <f t="shared" si="2"/>
        <v/>
      </c>
    </row>
    <row r="1608">
      <c r="I1608" s="52"/>
      <c r="K1608" s="43" t="str">
        <f t="shared" si="1"/>
        <v/>
      </c>
      <c r="L1608" s="43" t="str">
        <f t="shared" si="2"/>
        <v/>
      </c>
    </row>
    <row r="1609">
      <c r="I1609" s="52"/>
      <c r="K1609" s="43" t="str">
        <f t="shared" si="1"/>
        <v/>
      </c>
      <c r="L1609" s="43" t="str">
        <f t="shared" si="2"/>
        <v/>
      </c>
    </row>
    <row r="1610">
      <c r="I1610" s="52"/>
      <c r="K1610" s="43" t="str">
        <f t="shared" si="1"/>
        <v/>
      </c>
      <c r="L1610" s="43" t="str">
        <f t="shared" si="2"/>
        <v/>
      </c>
    </row>
    <row r="1611">
      <c r="I1611" s="52"/>
      <c r="K1611" s="43" t="str">
        <f t="shared" si="1"/>
        <v/>
      </c>
      <c r="L1611" s="43" t="str">
        <f t="shared" si="2"/>
        <v/>
      </c>
    </row>
    <row r="1612">
      <c r="I1612" s="52"/>
      <c r="K1612" s="43" t="str">
        <f t="shared" si="1"/>
        <v/>
      </c>
      <c r="L1612" s="43" t="str">
        <f t="shared" si="2"/>
        <v/>
      </c>
    </row>
    <row r="1613">
      <c r="I1613" s="52"/>
      <c r="K1613" s="43" t="str">
        <f t="shared" si="1"/>
        <v/>
      </c>
      <c r="L1613" s="43" t="str">
        <f t="shared" si="2"/>
        <v/>
      </c>
    </row>
    <row r="1614">
      <c r="I1614" s="52"/>
      <c r="K1614" s="43" t="str">
        <f t="shared" si="1"/>
        <v/>
      </c>
      <c r="L1614" s="43" t="str">
        <f t="shared" si="2"/>
        <v/>
      </c>
    </row>
    <row r="1615">
      <c r="I1615" s="52"/>
      <c r="K1615" s="43" t="str">
        <f t="shared" si="1"/>
        <v/>
      </c>
      <c r="L1615" s="43" t="str">
        <f t="shared" si="2"/>
        <v/>
      </c>
    </row>
    <row r="1616">
      <c r="I1616" s="52"/>
      <c r="K1616" s="43" t="str">
        <f t="shared" si="1"/>
        <v/>
      </c>
      <c r="L1616" s="43" t="str">
        <f t="shared" si="2"/>
        <v/>
      </c>
    </row>
    <row r="1617">
      <c r="I1617" s="52"/>
      <c r="K1617" s="43" t="str">
        <f t="shared" si="1"/>
        <v/>
      </c>
      <c r="L1617" s="43" t="str">
        <f t="shared" si="2"/>
        <v/>
      </c>
    </row>
    <row r="1618">
      <c r="I1618" s="52"/>
      <c r="K1618" s="43" t="str">
        <f t="shared" si="1"/>
        <v/>
      </c>
      <c r="L1618" s="43" t="str">
        <f t="shared" si="2"/>
        <v/>
      </c>
    </row>
    <row r="1619">
      <c r="I1619" s="52"/>
      <c r="K1619" s="43" t="str">
        <f t="shared" si="1"/>
        <v/>
      </c>
      <c r="L1619" s="43" t="str">
        <f t="shared" si="2"/>
        <v/>
      </c>
    </row>
    <row r="1620">
      <c r="I1620" s="52"/>
      <c r="K1620" s="43" t="str">
        <f t="shared" si="1"/>
        <v/>
      </c>
      <c r="L1620" s="43" t="str">
        <f t="shared" si="2"/>
        <v/>
      </c>
    </row>
    <row r="1621">
      <c r="I1621" s="52"/>
      <c r="K1621" s="43" t="str">
        <f t="shared" si="1"/>
        <v/>
      </c>
      <c r="L1621" s="43" t="str">
        <f t="shared" si="2"/>
        <v/>
      </c>
    </row>
    <row r="1622">
      <c r="I1622" s="52"/>
      <c r="K1622" s="43" t="str">
        <f t="shared" si="1"/>
        <v/>
      </c>
      <c r="L1622" s="43" t="str">
        <f t="shared" si="2"/>
        <v/>
      </c>
    </row>
    <row r="1623">
      <c r="I1623" s="52"/>
      <c r="K1623" s="43" t="str">
        <f t="shared" si="1"/>
        <v/>
      </c>
      <c r="L1623" s="43" t="str">
        <f t="shared" si="2"/>
        <v/>
      </c>
    </row>
    <row r="1624">
      <c r="I1624" s="52"/>
      <c r="K1624" s="43" t="str">
        <f t="shared" si="1"/>
        <v/>
      </c>
      <c r="L1624" s="43" t="str">
        <f t="shared" si="2"/>
        <v/>
      </c>
    </row>
    <row r="1625">
      <c r="I1625" s="52"/>
      <c r="K1625" s="43" t="str">
        <f t="shared" si="1"/>
        <v/>
      </c>
      <c r="L1625" s="43" t="str">
        <f t="shared" si="2"/>
        <v/>
      </c>
    </row>
    <row r="1626">
      <c r="I1626" s="52"/>
      <c r="K1626" s="43" t="str">
        <f t="shared" si="1"/>
        <v/>
      </c>
      <c r="L1626" s="43" t="str">
        <f t="shared" si="2"/>
        <v/>
      </c>
    </row>
    <row r="1627">
      <c r="I1627" s="52"/>
      <c r="K1627" s="43" t="str">
        <f t="shared" si="1"/>
        <v/>
      </c>
      <c r="L1627" s="43" t="str">
        <f t="shared" si="2"/>
        <v/>
      </c>
    </row>
    <row r="1628">
      <c r="I1628" s="52"/>
      <c r="K1628" s="43" t="str">
        <f t="shared" si="1"/>
        <v/>
      </c>
      <c r="L1628" s="43" t="str">
        <f t="shared" si="2"/>
        <v/>
      </c>
    </row>
    <row r="1629">
      <c r="I1629" s="52"/>
      <c r="K1629" s="43" t="str">
        <f t="shared" si="1"/>
        <v/>
      </c>
      <c r="L1629" s="43" t="str">
        <f t="shared" si="2"/>
        <v/>
      </c>
    </row>
    <row r="1630">
      <c r="I1630" s="52"/>
      <c r="K1630" s="43" t="str">
        <f t="shared" si="1"/>
        <v/>
      </c>
      <c r="L1630" s="43" t="str">
        <f t="shared" si="2"/>
        <v/>
      </c>
    </row>
    <row r="1631">
      <c r="I1631" s="52"/>
      <c r="K1631" s="43" t="str">
        <f t="shared" si="1"/>
        <v/>
      </c>
      <c r="L1631" s="43" t="str">
        <f t="shared" si="2"/>
        <v/>
      </c>
    </row>
    <row r="1632">
      <c r="I1632" s="52"/>
      <c r="K1632" s="43" t="str">
        <f t="shared" si="1"/>
        <v/>
      </c>
      <c r="L1632" s="43" t="str">
        <f t="shared" si="2"/>
        <v/>
      </c>
    </row>
    <row r="1633">
      <c r="I1633" s="52"/>
      <c r="K1633" s="43" t="str">
        <f t="shared" si="1"/>
        <v/>
      </c>
      <c r="L1633" s="43" t="str">
        <f t="shared" si="2"/>
        <v/>
      </c>
    </row>
    <row r="1634">
      <c r="I1634" s="52"/>
      <c r="K1634" s="43" t="str">
        <f t="shared" si="1"/>
        <v/>
      </c>
      <c r="L1634" s="43" t="str">
        <f t="shared" si="2"/>
        <v/>
      </c>
    </row>
    <row r="1635">
      <c r="I1635" s="52"/>
      <c r="K1635" s="43" t="str">
        <f t="shared" si="1"/>
        <v/>
      </c>
      <c r="L1635" s="43" t="str">
        <f t="shared" si="2"/>
        <v/>
      </c>
    </row>
    <row r="1636">
      <c r="I1636" s="52"/>
      <c r="K1636" s="43" t="str">
        <f t="shared" si="1"/>
        <v/>
      </c>
      <c r="L1636" s="43" t="str">
        <f t="shared" si="2"/>
        <v/>
      </c>
    </row>
    <row r="1637">
      <c r="I1637" s="52"/>
      <c r="K1637" s="43" t="str">
        <f t="shared" si="1"/>
        <v/>
      </c>
      <c r="L1637" s="43" t="str">
        <f t="shared" si="2"/>
        <v/>
      </c>
    </row>
    <row r="1638">
      <c r="I1638" s="52"/>
      <c r="K1638" s="43" t="str">
        <f t="shared" si="1"/>
        <v/>
      </c>
      <c r="L1638" s="43" t="str">
        <f t="shared" si="2"/>
        <v/>
      </c>
    </row>
    <row r="1639">
      <c r="I1639" s="52"/>
      <c r="K1639" s="43" t="str">
        <f t="shared" si="1"/>
        <v/>
      </c>
      <c r="L1639" s="43" t="str">
        <f t="shared" si="2"/>
        <v/>
      </c>
    </row>
    <row r="1640">
      <c r="I1640" s="52"/>
      <c r="K1640" s="43" t="str">
        <f t="shared" si="1"/>
        <v/>
      </c>
      <c r="L1640" s="43" t="str">
        <f t="shared" si="2"/>
        <v/>
      </c>
    </row>
    <row r="1641">
      <c r="I1641" s="52"/>
      <c r="K1641" s="43" t="str">
        <f t="shared" si="1"/>
        <v/>
      </c>
      <c r="L1641" s="43" t="str">
        <f t="shared" si="2"/>
        <v/>
      </c>
    </row>
    <row r="1642">
      <c r="I1642" s="52"/>
      <c r="K1642" s="43" t="str">
        <f t="shared" si="1"/>
        <v/>
      </c>
      <c r="L1642" s="43" t="str">
        <f t="shared" si="2"/>
        <v/>
      </c>
    </row>
    <row r="1643">
      <c r="I1643" s="52"/>
      <c r="K1643" s="43" t="str">
        <f t="shared" si="1"/>
        <v/>
      </c>
      <c r="L1643" s="43" t="str">
        <f t="shared" si="2"/>
        <v/>
      </c>
    </row>
    <row r="1644">
      <c r="I1644" s="52"/>
      <c r="K1644" s="43" t="str">
        <f t="shared" si="1"/>
        <v/>
      </c>
      <c r="L1644" s="43" t="str">
        <f t="shared" si="2"/>
        <v/>
      </c>
    </row>
    <row r="1645">
      <c r="I1645" s="52"/>
      <c r="K1645" s="43" t="str">
        <f t="shared" si="1"/>
        <v/>
      </c>
      <c r="L1645" s="43" t="str">
        <f t="shared" si="2"/>
        <v/>
      </c>
    </row>
    <row r="1646">
      <c r="I1646" s="52"/>
      <c r="K1646" s="43" t="str">
        <f t="shared" si="1"/>
        <v/>
      </c>
      <c r="L1646" s="43" t="str">
        <f t="shared" si="2"/>
        <v/>
      </c>
    </row>
    <row r="1647">
      <c r="I1647" s="52"/>
      <c r="K1647" s="43" t="str">
        <f t="shared" si="1"/>
        <v/>
      </c>
      <c r="L1647" s="43" t="str">
        <f t="shared" si="2"/>
        <v/>
      </c>
    </row>
    <row r="1648">
      <c r="I1648" s="52"/>
      <c r="K1648" s="43" t="str">
        <f t="shared" si="1"/>
        <v/>
      </c>
      <c r="L1648" s="43" t="str">
        <f t="shared" si="2"/>
        <v/>
      </c>
    </row>
    <row r="1649">
      <c r="I1649" s="52"/>
      <c r="K1649" s="43" t="str">
        <f t="shared" si="1"/>
        <v/>
      </c>
      <c r="L1649" s="43" t="str">
        <f t="shared" si="2"/>
        <v/>
      </c>
    </row>
    <row r="1650">
      <c r="I1650" s="52"/>
      <c r="K1650" s="43" t="str">
        <f t="shared" si="1"/>
        <v/>
      </c>
      <c r="L1650" s="43" t="str">
        <f t="shared" si="2"/>
        <v/>
      </c>
    </row>
    <row r="1651">
      <c r="I1651" s="52"/>
      <c r="K1651" s="43" t="str">
        <f t="shared" si="1"/>
        <v/>
      </c>
      <c r="L1651" s="43" t="str">
        <f t="shared" si="2"/>
        <v/>
      </c>
    </row>
    <row r="1652">
      <c r="I1652" s="52"/>
      <c r="K1652" s="43" t="str">
        <f t="shared" si="1"/>
        <v/>
      </c>
      <c r="L1652" s="43" t="str">
        <f t="shared" si="2"/>
        <v/>
      </c>
    </row>
    <row r="1653">
      <c r="I1653" s="52"/>
      <c r="K1653" s="43" t="str">
        <f t="shared" si="1"/>
        <v/>
      </c>
      <c r="L1653" s="43" t="str">
        <f t="shared" si="2"/>
        <v/>
      </c>
    </row>
    <row r="1654">
      <c r="I1654" s="52"/>
      <c r="K1654" s="43" t="str">
        <f t="shared" si="1"/>
        <v/>
      </c>
      <c r="L1654" s="43" t="str">
        <f t="shared" si="2"/>
        <v/>
      </c>
    </row>
    <row r="1655">
      <c r="I1655" s="52"/>
      <c r="K1655" s="43" t="str">
        <f t="shared" si="1"/>
        <v/>
      </c>
      <c r="L1655" s="43" t="str">
        <f t="shared" si="2"/>
        <v/>
      </c>
    </row>
    <row r="1656">
      <c r="I1656" s="52"/>
      <c r="K1656" s="43" t="str">
        <f t="shared" si="1"/>
        <v/>
      </c>
      <c r="L1656" s="43" t="str">
        <f t="shared" si="2"/>
        <v/>
      </c>
    </row>
    <row r="1657">
      <c r="I1657" s="52"/>
      <c r="K1657" s="43" t="str">
        <f t="shared" si="1"/>
        <v/>
      </c>
      <c r="L1657" s="43" t="str">
        <f t="shared" si="2"/>
        <v/>
      </c>
    </row>
    <row r="1658">
      <c r="I1658" s="52"/>
      <c r="K1658" s="43" t="str">
        <f t="shared" si="1"/>
        <v/>
      </c>
      <c r="L1658" s="43" t="str">
        <f t="shared" si="2"/>
        <v/>
      </c>
    </row>
    <row r="1659">
      <c r="I1659" s="52"/>
      <c r="K1659" s="43" t="str">
        <f t="shared" si="1"/>
        <v/>
      </c>
      <c r="L1659" s="43" t="str">
        <f t="shared" si="2"/>
        <v/>
      </c>
    </row>
    <row r="1660">
      <c r="I1660" s="52"/>
      <c r="K1660" s="43" t="str">
        <f t="shared" si="1"/>
        <v/>
      </c>
      <c r="L1660" s="43" t="str">
        <f t="shared" si="2"/>
        <v/>
      </c>
    </row>
    <row r="1661">
      <c r="I1661" s="52"/>
      <c r="K1661" s="43" t="str">
        <f t="shared" si="1"/>
        <v/>
      </c>
      <c r="L1661" s="43" t="str">
        <f t="shared" si="2"/>
        <v/>
      </c>
    </row>
    <row r="1662">
      <c r="I1662" s="52"/>
      <c r="K1662" s="43" t="str">
        <f t="shared" si="1"/>
        <v/>
      </c>
      <c r="L1662" s="43" t="str">
        <f t="shared" si="2"/>
        <v/>
      </c>
    </row>
    <row r="1663">
      <c r="I1663" s="52"/>
      <c r="K1663" s="43" t="str">
        <f t="shared" si="1"/>
        <v/>
      </c>
      <c r="L1663" s="43" t="str">
        <f t="shared" si="2"/>
        <v/>
      </c>
    </row>
    <row r="1664">
      <c r="I1664" s="52"/>
      <c r="K1664" s="43" t="str">
        <f t="shared" si="1"/>
        <v/>
      </c>
      <c r="L1664" s="43" t="str">
        <f t="shared" si="2"/>
        <v/>
      </c>
    </row>
    <row r="1665">
      <c r="I1665" s="52"/>
      <c r="K1665" s="43" t="str">
        <f t="shared" si="1"/>
        <v/>
      </c>
      <c r="L1665" s="43" t="str">
        <f t="shared" si="2"/>
        <v/>
      </c>
    </row>
    <row r="1666">
      <c r="I1666" s="52"/>
      <c r="K1666" s="43" t="str">
        <f t="shared" si="1"/>
        <v/>
      </c>
      <c r="L1666" s="43" t="str">
        <f t="shared" si="2"/>
        <v/>
      </c>
    </row>
    <row r="1667">
      <c r="I1667" s="52"/>
      <c r="K1667" s="43" t="str">
        <f t="shared" si="1"/>
        <v/>
      </c>
      <c r="L1667" s="43" t="str">
        <f t="shared" si="2"/>
        <v/>
      </c>
    </row>
    <row r="1668">
      <c r="I1668" s="52"/>
      <c r="K1668" s="43" t="str">
        <f t="shared" si="1"/>
        <v/>
      </c>
      <c r="L1668" s="43" t="str">
        <f t="shared" si="2"/>
        <v/>
      </c>
    </row>
    <row r="1669">
      <c r="I1669" s="52"/>
      <c r="K1669" s="43" t="str">
        <f t="shared" si="1"/>
        <v/>
      </c>
      <c r="L1669" s="43" t="str">
        <f t="shared" si="2"/>
        <v/>
      </c>
    </row>
    <row r="1670">
      <c r="I1670" s="52"/>
      <c r="K1670" s="43" t="str">
        <f t="shared" si="1"/>
        <v/>
      </c>
      <c r="L1670" s="43" t="str">
        <f t="shared" si="2"/>
        <v/>
      </c>
    </row>
    <row r="1671">
      <c r="I1671" s="52"/>
      <c r="K1671" s="43" t="str">
        <f t="shared" si="1"/>
        <v/>
      </c>
      <c r="L1671" s="43" t="str">
        <f t="shared" si="2"/>
        <v/>
      </c>
    </row>
    <row r="1672">
      <c r="I1672" s="52"/>
      <c r="K1672" s="43" t="str">
        <f t="shared" si="1"/>
        <v/>
      </c>
      <c r="L1672" s="43" t="str">
        <f t="shared" si="2"/>
        <v/>
      </c>
    </row>
    <row r="1673">
      <c r="I1673" s="52"/>
      <c r="K1673" s="43" t="str">
        <f t="shared" si="1"/>
        <v/>
      </c>
      <c r="L1673" s="43" t="str">
        <f t="shared" si="2"/>
        <v/>
      </c>
    </row>
    <row r="1674">
      <c r="I1674" s="52"/>
      <c r="K1674" s="43" t="str">
        <f t="shared" si="1"/>
        <v/>
      </c>
      <c r="L1674" s="43" t="str">
        <f t="shared" si="2"/>
        <v/>
      </c>
    </row>
    <row r="1675">
      <c r="I1675" s="52"/>
      <c r="K1675" s="43" t="str">
        <f t="shared" si="1"/>
        <v/>
      </c>
      <c r="L1675" s="43" t="str">
        <f t="shared" si="2"/>
        <v/>
      </c>
    </row>
    <row r="1676">
      <c r="I1676" s="52"/>
      <c r="K1676" s="43" t="str">
        <f t="shared" si="1"/>
        <v/>
      </c>
      <c r="L1676" s="43" t="str">
        <f t="shared" si="2"/>
        <v/>
      </c>
    </row>
    <row r="1677">
      <c r="I1677" s="52"/>
      <c r="K1677" s="43" t="str">
        <f t="shared" si="1"/>
        <v/>
      </c>
      <c r="L1677" s="43" t="str">
        <f t="shared" si="2"/>
        <v/>
      </c>
    </row>
    <row r="1678">
      <c r="I1678" s="52"/>
      <c r="K1678" s="43" t="str">
        <f t="shared" si="1"/>
        <v/>
      </c>
      <c r="L1678" s="43" t="str">
        <f t="shared" si="2"/>
        <v/>
      </c>
    </row>
    <row r="1679">
      <c r="I1679" s="52"/>
      <c r="K1679" s="43" t="str">
        <f t="shared" si="1"/>
        <v/>
      </c>
      <c r="L1679" s="43" t="str">
        <f t="shared" si="2"/>
        <v/>
      </c>
    </row>
    <row r="1680">
      <c r="I1680" s="52"/>
      <c r="K1680" s="43" t="str">
        <f t="shared" si="1"/>
        <v/>
      </c>
      <c r="L1680" s="43" t="str">
        <f t="shared" si="2"/>
        <v/>
      </c>
    </row>
    <row r="1681">
      <c r="I1681" s="52"/>
      <c r="K1681" s="43" t="str">
        <f t="shared" si="1"/>
        <v/>
      </c>
      <c r="L1681" s="43" t="str">
        <f t="shared" si="2"/>
        <v/>
      </c>
    </row>
    <row r="1682">
      <c r="I1682" s="52"/>
      <c r="K1682" s="43" t="str">
        <f t="shared" si="1"/>
        <v/>
      </c>
      <c r="L1682" s="43" t="str">
        <f t="shared" si="2"/>
        <v/>
      </c>
    </row>
    <row r="1683">
      <c r="I1683" s="52"/>
      <c r="K1683" s="43" t="str">
        <f t="shared" si="1"/>
        <v/>
      </c>
      <c r="L1683" s="43" t="str">
        <f t="shared" si="2"/>
        <v/>
      </c>
    </row>
    <row r="1684">
      <c r="I1684" s="52"/>
      <c r="K1684" s="43" t="str">
        <f t="shared" si="1"/>
        <v/>
      </c>
      <c r="L1684" s="43" t="str">
        <f t="shared" si="2"/>
        <v/>
      </c>
    </row>
    <row r="1685">
      <c r="I1685" s="52"/>
      <c r="K1685" s="43" t="str">
        <f t="shared" si="1"/>
        <v/>
      </c>
      <c r="L1685" s="43" t="str">
        <f t="shared" si="2"/>
        <v/>
      </c>
    </row>
    <row r="1686">
      <c r="I1686" s="52"/>
      <c r="K1686" s="43" t="str">
        <f t="shared" si="1"/>
        <v/>
      </c>
      <c r="L1686" s="43" t="str">
        <f t="shared" si="2"/>
        <v/>
      </c>
    </row>
    <row r="1687">
      <c r="I1687" s="52"/>
      <c r="K1687" s="43" t="str">
        <f t="shared" si="1"/>
        <v/>
      </c>
      <c r="L1687" s="43" t="str">
        <f t="shared" si="2"/>
        <v/>
      </c>
    </row>
    <row r="1688">
      <c r="I1688" s="52"/>
      <c r="K1688" s="43" t="str">
        <f t="shared" si="1"/>
        <v/>
      </c>
      <c r="L1688" s="43" t="str">
        <f t="shared" si="2"/>
        <v/>
      </c>
    </row>
    <row r="1689">
      <c r="I1689" s="52"/>
      <c r="K1689" s="43" t="str">
        <f t="shared" si="1"/>
        <v/>
      </c>
      <c r="L1689" s="43" t="str">
        <f t="shared" si="2"/>
        <v/>
      </c>
    </row>
    <row r="1690">
      <c r="I1690" s="52"/>
      <c r="K1690" s="43" t="str">
        <f t="shared" si="1"/>
        <v/>
      </c>
      <c r="L1690" s="43" t="str">
        <f t="shared" si="2"/>
        <v/>
      </c>
    </row>
    <row r="1691">
      <c r="I1691" s="52"/>
      <c r="K1691" s="43" t="str">
        <f t="shared" si="1"/>
        <v/>
      </c>
      <c r="L1691" s="43" t="str">
        <f t="shared" si="2"/>
        <v/>
      </c>
    </row>
    <row r="1692">
      <c r="I1692" s="52"/>
      <c r="K1692" s="43" t="str">
        <f t="shared" si="1"/>
        <v/>
      </c>
      <c r="L1692" s="43" t="str">
        <f t="shared" si="2"/>
        <v/>
      </c>
    </row>
    <row r="1693">
      <c r="I1693" s="52"/>
      <c r="K1693" s="43" t="str">
        <f t="shared" si="1"/>
        <v/>
      </c>
      <c r="L1693" s="43" t="str">
        <f t="shared" si="2"/>
        <v/>
      </c>
    </row>
    <row r="1694">
      <c r="I1694" s="52"/>
      <c r="K1694" s="43" t="str">
        <f t="shared" si="1"/>
        <v/>
      </c>
      <c r="L1694" s="43" t="str">
        <f t="shared" si="2"/>
        <v/>
      </c>
    </row>
    <row r="1695">
      <c r="I1695" s="52"/>
      <c r="K1695" s="43" t="str">
        <f t="shared" si="1"/>
        <v/>
      </c>
      <c r="L1695" s="43" t="str">
        <f t="shared" si="2"/>
        <v/>
      </c>
    </row>
    <row r="1696">
      <c r="I1696" s="52"/>
      <c r="K1696" s="43" t="str">
        <f t="shared" si="1"/>
        <v/>
      </c>
      <c r="L1696" s="43" t="str">
        <f t="shared" si="2"/>
        <v/>
      </c>
    </row>
    <row r="1697">
      <c r="I1697" s="52"/>
      <c r="K1697" s="43" t="str">
        <f t="shared" si="1"/>
        <v/>
      </c>
      <c r="L1697" s="43" t="str">
        <f t="shared" si="2"/>
        <v/>
      </c>
    </row>
    <row r="1698">
      <c r="I1698" s="52"/>
      <c r="K1698" s="43" t="str">
        <f t="shared" si="1"/>
        <v/>
      </c>
      <c r="L1698" s="43" t="str">
        <f t="shared" si="2"/>
        <v/>
      </c>
    </row>
    <row r="1699">
      <c r="I1699" s="52"/>
      <c r="K1699" s="43" t="str">
        <f t="shared" si="1"/>
        <v/>
      </c>
      <c r="L1699" s="43" t="str">
        <f t="shared" si="2"/>
        <v/>
      </c>
    </row>
    <row r="1700">
      <c r="I1700" s="52"/>
      <c r="K1700" s="43" t="str">
        <f t="shared" si="1"/>
        <v/>
      </c>
      <c r="L1700" s="43" t="str">
        <f t="shared" si="2"/>
        <v/>
      </c>
    </row>
    <row r="1701">
      <c r="I1701" s="52"/>
      <c r="K1701" s="43" t="str">
        <f t="shared" si="1"/>
        <v/>
      </c>
      <c r="L1701" s="43" t="str">
        <f t="shared" si="2"/>
        <v/>
      </c>
    </row>
    <row r="1702">
      <c r="I1702" s="52"/>
      <c r="K1702" s="43" t="str">
        <f t="shared" si="1"/>
        <v/>
      </c>
      <c r="L1702" s="43" t="str">
        <f t="shared" si="2"/>
        <v/>
      </c>
    </row>
    <row r="1703">
      <c r="I1703" s="52"/>
      <c r="K1703" s="43" t="str">
        <f t="shared" si="1"/>
        <v/>
      </c>
      <c r="L1703" s="43" t="str">
        <f t="shared" si="2"/>
        <v/>
      </c>
    </row>
    <row r="1704">
      <c r="I1704" s="52"/>
      <c r="K1704" s="43" t="str">
        <f t="shared" si="1"/>
        <v/>
      </c>
      <c r="L1704" s="43" t="str">
        <f t="shared" si="2"/>
        <v/>
      </c>
    </row>
    <row r="1705">
      <c r="I1705" s="52"/>
      <c r="K1705" s="43" t="str">
        <f t="shared" si="1"/>
        <v/>
      </c>
      <c r="L1705" s="43" t="str">
        <f t="shared" si="2"/>
        <v/>
      </c>
    </row>
    <row r="1706">
      <c r="I1706" s="52"/>
      <c r="K1706" s="43" t="str">
        <f t="shared" si="1"/>
        <v/>
      </c>
      <c r="L1706" s="43" t="str">
        <f t="shared" si="2"/>
        <v/>
      </c>
    </row>
    <row r="1707">
      <c r="I1707" s="52"/>
      <c r="K1707" s="43" t="str">
        <f t="shared" si="1"/>
        <v/>
      </c>
      <c r="L1707" s="43" t="str">
        <f t="shared" si="2"/>
        <v/>
      </c>
    </row>
    <row r="1708">
      <c r="I1708" s="52"/>
      <c r="K1708" s="43" t="str">
        <f t="shared" si="1"/>
        <v/>
      </c>
      <c r="L1708" s="43" t="str">
        <f t="shared" si="2"/>
        <v/>
      </c>
    </row>
    <row r="1709">
      <c r="I1709" s="52"/>
      <c r="K1709" s="43" t="str">
        <f t="shared" si="1"/>
        <v/>
      </c>
      <c r="L1709" s="43" t="str">
        <f t="shared" si="2"/>
        <v/>
      </c>
    </row>
    <row r="1710">
      <c r="I1710" s="52"/>
      <c r="K1710" s="43" t="str">
        <f t="shared" si="1"/>
        <v/>
      </c>
      <c r="L1710" s="43" t="str">
        <f t="shared" si="2"/>
        <v/>
      </c>
    </row>
    <row r="1711">
      <c r="I1711" s="52"/>
      <c r="K1711" s="43" t="str">
        <f t="shared" si="1"/>
        <v/>
      </c>
      <c r="L1711" s="43" t="str">
        <f t="shared" si="2"/>
        <v/>
      </c>
    </row>
    <row r="1712">
      <c r="I1712" s="52"/>
      <c r="K1712" s="43" t="str">
        <f t="shared" si="1"/>
        <v/>
      </c>
      <c r="L1712" s="43" t="str">
        <f t="shared" si="2"/>
        <v/>
      </c>
    </row>
    <row r="1713">
      <c r="I1713" s="52"/>
      <c r="K1713" s="43" t="str">
        <f t="shared" si="1"/>
        <v/>
      </c>
      <c r="L1713" s="43" t="str">
        <f t="shared" si="2"/>
        <v/>
      </c>
    </row>
    <row r="1714">
      <c r="I1714" s="52"/>
      <c r="K1714" s="43" t="str">
        <f t="shared" si="1"/>
        <v/>
      </c>
      <c r="L1714" s="43" t="str">
        <f t="shared" si="2"/>
        <v/>
      </c>
    </row>
    <row r="1715">
      <c r="I1715" s="52"/>
      <c r="K1715" s="43" t="str">
        <f t="shared" si="1"/>
        <v/>
      </c>
      <c r="L1715" s="43" t="str">
        <f t="shared" si="2"/>
        <v/>
      </c>
    </row>
    <row r="1716">
      <c r="I1716" s="52"/>
      <c r="K1716" s="43" t="str">
        <f t="shared" si="1"/>
        <v/>
      </c>
      <c r="L1716" s="43" t="str">
        <f t="shared" si="2"/>
        <v/>
      </c>
    </row>
    <row r="1717">
      <c r="I1717" s="52"/>
      <c r="K1717" s="43" t="str">
        <f t="shared" si="1"/>
        <v/>
      </c>
      <c r="L1717" s="43" t="str">
        <f t="shared" si="2"/>
        <v/>
      </c>
    </row>
    <row r="1718">
      <c r="I1718" s="52"/>
      <c r="K1718" s="43" t="str">
        <f t="shared" si="1"/>
        <v/>
      </c>
      <c r="L1718" s="43" t="str">
        <f t="shared" si="2"/>
        <v/>
      </c>
    </row>
    <row r="1719">
      <c r="I1719" s="52"/>
      <c r="K1719" s="43" t="str">
        <f t="shared" si="1"/>
        <v/>
      </c>
      <c r="L1719" s="43" t="str">
        <f t="shared" si="2"/>
        <v/>
      </c>
    </row>
    <row r="1720">
      <c r="I1720" s="52"/>
      <c r="K1720" s="43" t="str">
        <f t="shared" si="1"/>
        <v/>
      </c>
      <c r="L1720" s="43" t="str">
        <f t="shared" si="2"/>
        <v/>
      </c>
    </row>
    <row r="1721">
      <c r="I1721" s="52"/>
      <c r="K1721" s="43" t="str">
        <f t="shared" si="1"/>
        <v/>
      </c>
      <c r="L1721" s="43" t="str">
        <f t="shared" si="2"/>
        <v/>
      </c>
    </row>
    <row r="1722">
      <c r="I1722" s="52"/>
      <c r="K1722" s="43" t="str">
        <f t="shared" si="1"/>
        <v/>
      </c>
      <c r="L1722" s="43" t="str">
        <f t="shared" si="2"/>
        <v/>
      </c>
    </row>
    <row r="1723">
      <c r="I1723" s="52"/>
      <c r="K1723" s="43" t="str">
        <f t="shared" si="1"/>
        <v/>
      </c>
      <c r="L1723" s="43" t="str">
        <f t="shared" si="2"/>
        <v/>
      </c>
    </row>
    <row r="1724">
      <c r="I1724" s="52"/>
      <c r="K1724" s="43" t="str">
        <f t="shared" si="1"/>
        <v/>
      </c>
      <c r="L1724" s="43" t="str">
        <f t="shared" si="2"/>
        <v/>
      </c>
    </row>
    <row r="1725">
      <c r="I1725" s="52"/>
      <c r="K1725" s="43" t="str">
        <f t="shared" si="1"/>
        <v/>
      </c>
      <c r="L1725" s="43" t="str">
        <f t="shared" si="2"/>
        <v/>
      </c>
    </row>
    <row r="1726">
      <c r="I1726" s="52"/>
      <c r="K1726" s="43" t="str">
        <f t="shared" si="1"/>
        <v/>
      </c>
      <c r="L1726" s="43" t="str">
        <f t="shared" si="2"/>
        <v/>
      </c>
    </row>
    <row r="1727">
      <c r="I1727" s="52"/>
      <c r="K1727" s="43" t="str">
        <f t="shared" si="1"/>
        <v/>
      </c>
      <c r="L1727" s="43" t="str">
        <f t="shared" si="2"/>
        <v/>
      </c>
    </row>
    <row r="1728">
      <c r="I1728" s="52"/>
      <c r="K1728" s="43" t="str">
        <f t="shared" si="1"/>
        <v/>
      </c>
      <c r="L1728" s="43" t="str">
        <f t="shared" si="2"/>
        <v/>
      </c>
    </row>
    <row r="1729">
      <c r="I1729" s="52"/>
      <c r="K1729" s="43" t="str">
        <f t="shared" si="1"/>
        <v/>
      </c>
      <c r="L1729" s="43" t="str">
        <f t="shared" si="2"/>
        <v/>
      </c>
    </row>
    <row r="1730">
      <c r="I1730" s="52"/>
      <c r="K1730" s="43" t="str">
        <f t="shared" si="1"/>
        <v/>
      </c>
      <c r="L1730" s="43" t="str">
        <f t="shared" si="2"/>
        <v/>
      </c>
    </row>
    <row r="1731">
      <c r="I1731" s="52"/>
      <c r="K1731" s="43" t="str">
        <f t="shared" si="1"/>
        <v/>
      </c>
      <c r="L1731" s="43" t="str">
        <f t="shared" si="2"/>
        <v/>
      </c>
    </row>
    <row r="1732">
      <c r="I1732" s="52"/>
      <c r="K1732" s="43" t="str">
        <f t="shared" si="1"/>
        <v/>
      </c>
      <c r="L1732" s="43" t="str">
        <f t="shared" si="2"/>
        <v/>
      </c>
    </row>
    <row r="1733">
      <c r="I1733" s="52"/>
      <c r="K1733" s="43" t="str">
        <f t="shared" si="1"/>
        <v/>
      </c>
      <c r="L1733" s="43" t="str">
        <f t="shared" si="2"/>
        <v/>
      </c>
    </row>
    <row r="1734">
      <c r="I1734" s="52"/>
      <c r="K1734" s="43" t="str">
        <f t="shared" si="1"/>
        <v/>
      </c>
      <c r="L1734" s="43" t="str">
        <f t="shared" si="2"/>
        <v/>
      </c>
    </row>
    <row r="1735">
      <c r="I1735" s="52"/>
      <c r="K1735" s="43" t="str">
        <f t="shared" si="1"/>
        <v/>
      </c>
      <c r="L1735" s="43" t="str">
        <f t="shared" si="2"/>
        <v/>
      </c>
    </row>
    <row r="1736">
      <c r="I1736" s="52"/>
      <c r="K1736" s="43" t="str">
        <f t="shared" si="1"/>
        <v/>
      </c>
      <c r="L1736" s="43" t="str">
        <f t="shared" si="2"/>
        <v/>
      </c>
    </row>
    <row r="1737">
      <c r="I1737" s="52"/>
      <c r="K1737" s="43" t="str">
        <f t="shared" si="1"/>
        <v/>
      </c>
      <c r="L1737" s="43" t="str">
        <f t="shared" si="2"/>
        <v/>
      </c>
    </row>
    <row r="1738">
      <c r="I1738" s="52"/>
      <c r="K1738" s="43" t="str">
        <f t="shared" si="1"/>
        <v/>
      </c>
      <c r="L1738" s="43" t="str">
        <f t="shared" si="2"/>
        <v/>
      </c>
    </row>
    <row r="1739">
      <c r="I1739" s="52"/>
      <c r="K1739" s="43" t="str">
        <f t="shared" si="1"/>
        <v/>
      </c>
      <c r="L1739" s="43" t="str">
        <f t="shared" si="2"/>
        <v/>
      </c>
    </row>
    <row r="1740">
      <c r="I1740" s="52"/>
      <c r="K1740" s="43" t="str">
        <f t="shared" si="1"/>
        <v/>
      </c>
      <c r="L1740" s="43" t="str">
        <f t="shared" si="2"/>
        <v/>
      </c>
    </row>
    <row r="1741">
      <c r="I1741" s="52"/>
      <c r="K1741" s="43" t="str">
        <f t="shared" si="1"/>
        <v/>
      </c>
      <c r="L1741" s="43" t="str">
        <f t="shared" si="2"/>
        <v/>
      </c>
    </row>
    <row r="1742">
      <c r="I1742" s="52"/>
      <c r="K1742" s="43" t="str">
        <f t="shared" si="1"/>
        <v/>
      </c>
      <c r="L1742" s="43" t="str">
        <f t="shared" si="2"/>
        <v/>
      </c>
    </row>
    <row r="1743">
      <c r="I1743" s="52"/>
      <c r="K1743" s="43" t="str">
        <f t="shared" si="1"/>
        <v/>
      </c>
      <c r="L1743" s="43" t="str">
        <f t="shared" si="2"/>
        <v/>
      </c>
    </row>
    <row r="1744">
      <c r="I1744" s="52"/>
      <c r="K1744" s="43" t="str">
        <f t="shared" si="1"/>
        <v/>
      </c>
      <c r="L1744" s="43" t="str">
        <f t="shared" si="2"/>
        <v/>
      </c>
    </row>
    <row r="1745">
      <c r="I1745" s="52"/>
      <c r="K1745" s="43" t="str">
        <f t="shared" si="1"/>
        <v/>
      </c>
      <c r="L1745" s="43" t="str">
        <f t="shared" si="2"/>
        <v/>
      </c>
    </row>
    <row r="1746">
      <c r="I1746" s="52"/>
      <c r="K1746" s="43" t="str">
        <f t="shared" si="1"/>
        <v/>
      </c>
      <c r="L1746" s="43" t="str">
        <f t="shared" si="2"/>
        <v/>
      </c>
    </row>
    <row r="1747">
      <c r="I1747" s="52"/>
      <c r="K1747" s="43" t="str">
        <f t="shared" si="1"/>
        <v/>
      </c>
      <c r="L1747" s="43" t="str">
        <f t="shared" si="2"/>
        <v/>
      </c>
    </row>
    <row r="1748">
      <c r="I1748" s="52"/>
      <c r="K1748" s="43" t="str">
        <f t="shared" si="1"/>
        <v/>
      </c>
      <c r="L1748" s="43" t="str">
        <f t="shared" si="2"/>
        <v/>
      </c>
    </row>
    <row r="1749">
      <c r="I1749" s="52"/>
      <c r="K1749" s="43" t="str">
        <f t="shared" si="1"/>
        <v/>
      </c>
      <c r="L1749" s="43" t="str">
        <f t="shared" si="2"/>
        <v/>
      </c>
    </row>
    <row r="1750">
      <c r="I1750" s="52"/>
      <c r="K1750" s="43" t="str">
        <f t="shared" si="1"/>
        <v/>
      </c>
      <c r="L1750" s="43" t="str">
        <f t="shared" si="2"/>
        <v/>
      </c>
    </row>
    <row r="1751">
      <c r="I1751" s="52"/>
      <c r="K1751" s="43" t="str">
        <f t="shared" si="1"/>
        <v/>
      </c>
      <c r="L1751" s="43" t="str">
        <f t="shared" si="2"/>
        <v/>
      </c>
    </row>
    <row r="1752">
      <c r="I1752" s="52"/>
      <c r="K1752" s="43" t="str">
        <f t="shared" si="1"/>
        <v/>
      </c>
      <c r="L1752" s="43" t="str">
        <f t="shared" si="2"/>
        <v/>
      </c>
    </row>
    <row r="1753">
      <c r="I1753" s="52"/>
      <c r="K1753" s="43" t="str">
        <f t="shared" si="1"/>
        <v/>
      </c>
      <c r="L1753" s="43" t="str">
        <f t="shared" si="2"/>
        <v/>
      </c>
    </row>
    <row r="1754">
      <c r="I1754" s="52"/>
      <c r="K1754" s="43" t="str">
        <f t="shared" si="1"/>
        <v/>
      </c>
      <c r="L1754" s="43" t="str">
        <f t="shared" si="2"/>
        <v/>
      </c>
    </row>
    <row r="1755">
      <c r="I1755" s="52"/>
      <c r="K1755" s="43" t="str">
        <f t="shared" si="1"/>
        <v/>
      </c>
      <c r="L1755" s="43" t="str">
        <f t="shared" si="2"/>
        <v/>
      </c>
    </row>
    <row r="1756">
      <c r="I1756" s="52"/>
      <c r="K1756" s="43" t="str">
        <f t="shared" si="1"/>
        <v/>
      </c>
      <c r="L1756" s="43" t="str">
        <f t="shared" si="2"/>
        <v/>
      </c>
    </row>
    <row r="1757">
      <c r="I1757" s="52"/>
      <c r="K1757" s="43" t="str">
        <f t="shared" si="1"/>
        <v/>
      </c>
      <c r="L1757" s="43" t="str">
        <f t="shared" si="2"/>
        <v/>
      </c>
    </row>
    <row r="1758">
      <c r="I1758" s="52"/>
      <c r="K1758" s="43" t="str">
        <f t="shared" si="1"/>
        <v/>
      </c>
      <c r="L1758" s="43" t="str">
        <f t="shared" si="2"/>
        <v/>
      </c>
    </row>
    <row r="1759">
      <c r="I1759" s="52"/>
      <c r="K1759" s="43" t="str">
        <f t="shared" si="1"/>
        <v/>
      </c>
      <c r="L1759" s="43" t="str">
        <f t="shared" si="2"/>
        <v/>
      </c>
    </row>
    <row r="1760">
      <c r="I1760" s="52"/>
      <c r="K1760" s="43" t="str">
        <f t="shared" si="1"/>
        <v/>
      </c>
      <c r="L1760" s="43" t="str">
        <f t="shared" si="2"/>
        <v/>
      </c>
    </row>
    <row r="1761">
      <c r="I1761" s="52"/>
      <c r="K1761" s="43" t="str">
        <f t="shared" si="1"/>
        <v/>
      </c>
      <c r="L1761" s="43" t="str">
        <f t="shared" si="2"/>
        <v/>
      </c>
    </row>
    <row r="1762">
      <c r="I1762" s="52"/>
      <c r="K1762" s="43" t="str">
        <f t="shared" si="1"/>
        <v/>
      </c>
      <c r="L1762" s="43" t="str">
        <f t="shared" si="2"/>
        <v/>
      </c>
    </row>
    <row r="1763">
      <c r="I1763" s="52"/>
      <c r="K1763" s="43" t="str">
        <f t="shared" si="1"/>
        <v/>
      </c>
      <c r="L1763" s="43" t="str">
        <f t="shared" si="2"/>
        <v/>
      </c>
    </row>
    <row r="1764">
      <c r="I1764" s="52"/>
      <c r="K1764" s="43" t="str">
        <f t="shared" si="1"/>
        <v/>
      </c>
      <c r="L1764" s="43" t="str">
        <f t="shared" si="2"/>
        <v/>
      </c>
    </row>
    <row r="1765">
      <c r="I1765" s="52"/>
      <c r="K1765" s="43" t="str">
        <f t="shared" si="1"/>
        <v/>
      </c>
      <c r="L1765" s="43" t="str">
        <f t="shared" si="2"/>
        <v/>
      </c>
    </row>
    <row r="1766">
      <c r="I1766" s="52"/>
      <c r="K1766" s="43" t="str">
        <f t="shared" si="1"/>
        <v/>
      </c>
      <c r="L1766" s="43" t="str">
        <f t="shared" si="2"/>
        <v/>
      </c>
    </row>
    <row r="1767">
      <c r="I1767" s="52"/>
      <c r="K1767" s="43" t="str">
        <f t="shared" si="1"/>
        <v/>
      </c>
      <c r="L1767" s="43" t="str">
        <f t="shared" si="2"/>
        <v/>
      </c>
    </row>
    <row r="1768">
      <c r="I1768" s="52"/>
      <c r="K1768" s="43" t="str">
        <f t="shared" si="1"/>
        <v/>
      </c>
      <c r="L1768" s="43" t="str">
        <f t="shared" si="2"/>
        <v/>
      </c>
    </row>
    <row r="1769">
      <c r="I1769" s="52"/>
      <c r="K1769" s="43" t="str">
        <f t="shared" si="1"/>
        <v/>
      </c>
      <c r="L1769" s="43" t="str">
        <f t="shared" si="2"/>
        <v/>
      </c>
    </row>
    <row r="1770">
      <c r="I1770" s="52"/>
      <c r="K1770" s="43" t="str">
        <f t="shared" si="1"/>
        <v/>
      </c>
      <c r="L1770" s="43" t="str">
        <f t="shared" si="2"/>
        <v/>
      </c>
    </row>
    <row r="1771">
      <c r="I1771" s="52"/>
      <c r="K1771" s="43" t="str">
        <f t="shared" si="1"/>
        <v/>
      </c>
      <c r="L1771" s="43" t="str">
        <f t="shared" si="2"/>
        <v/>
      </c>
    </row>
    <row r="1772">
      <c r="I1772" s="52"/>
      <c r="K1772" s="43" t="str">
        <f t="shared" si="1"/>
        <v/>
      </c>
      <c r="L1772" s="43" t="str">
        <f t="shared" si="2"/>
        <v/>
      </c>
    </row>
    <row r="1773">
      <c r="I1773" s="52"/>
      <c r="K1773" s="43" t="str">
        <f t="shared" si="1"/>
        <v/>
      </c>
      <c r="L1773" s="43" t="str">
        <f t="shared" si="2"/>
        <v/>
      </c>
    </row>
    <row r="1774">
      <c r="I1774" s="52"/>
      <c r="K1774" s="43" t="str">
        <f t="shared" si="1"/>
        <v/>
      </c>
      <c r="L1774" s="43" t="str">
        <f t="shared" si="2"/>
        <v/>
      </c>
    </row>
    <row r="1775">
      <c r="I1775" s="52"/>
      <c r="K1775" s="43" t="str">
        <f t="shared" si="1"/>
        <v/>
      </c>
      <c r="L1775" s="43" t="str">
        <f t="shared" si="2"/>
        <v/>
      </c>
    </row>
    <row r="1776">
      <c r="I1776" s="52"/>
      <c r="K1776" s="43" t="str">
        <f t="shared" si="1"/>
        <v/>
      </c>
      <c r="L1776" s="43" t="str">
        <f t="shared" si="2"/>
        <v/>
      </c>
    </row>
    <row r="1777">
      <c r="I1777" s="52"/>
      <c r="K1777" s="43" t="str">
        <f t="shared" si="1"/>
        <v/>
      </c>
      <c r="L1777" s="43" t="str">
        <f t="shared" si="2"/>
        <v/>
      </c>
    </row>
    <row r="1778">
      <c r="I1778" s="52"/>
      <c r="K1778" s="43" t="str">
        <f t="shared" si="1"/>
        <v/>
      </c>
      <c r="L1778" s="43" t="str">
        <f t="shared" si="2"/>
        <v/>
      </c>
    </row>
    <row r="1779">
      <c r="I1779" s="52"/>
      <c r="K1779" s="43" t="str">
        <f t="shared" si="1"/>
        <v/>
      </c>
      <c r="L1779" s="43" t="str">
        <f t="shared" si="2"/>
        <v/>
      </c>
    </row>
    <row r="1780">
      <c r="I1780" s="52"/>
      <c r="K1780" s="43" t="str">
        <f t="shared" si="1"/>
        <v/>
      </c>
      <c r="L1780" s="43" t="str">
        <f t="shared" si="2"/>
        <v/>
      </c>
    </row>
    <row r="1781">
      <c r="I1781" s="52"/>
      <c r="K1781" s="43" t="str">
        <f t="shared" si="1"/>
        <v/>
      </c>
      <c r="L1781" s="43" t="str">
        <f t="shared" si="2"/>
        <v/>
      </c>
    </row>
    <row r="1782">
      <c r="I1782" s="52"/>
      <c r="K1782" s="43" t="str">
        <f t="shared" si="1"/>
        <v/>
      </c>
      <c r="L1782" s="43" t="str">
        <f t="shared" si="2"/>
        <v/>
      </c>
    </row>
    <row r="1783">
      <c r="I1783" s="52"/>
      <c r="K1783" s="43" t="str">
        <f t="shared" si="1"/>
        <v/>
      </c>
      <c r="L1783" s="43" t="str">
        <f t="shared" si="2"/>
        <v/>
      </c>
    </row>
    <row r="1784">
      <c r="I1784" s="52"/>
      <c r="K1784" s="43" t="str">
        <f t="shared" si="1"/>
        <v/>
      </c>
      <c r="L1784" s="43" t="str">
        <f t="shared" si="2"/>
        <v/>
      </c>
    </row>
    <row r="1785">
      <c r="I1785" s="52"/>
      <c r="K1785" s="43" t="str">
        <f t="shared" si="1"/>
        <v/>
      </c>
      <c r="L1785" s="43" t="str">
        <f t="shared" si="2"/>
        <v/>
      </c>
    </row>
    <row r="1786">
      <c r="I1786" s="52"/>
      <c r="K1786" s="43" t="str">
        <f t="shared" si="1"/>
        <v/>
      </c>
      <c r="L1786" s="43" t="str">
        <f t="shared" si="2"/>
        <v/>
      </c>
    </row>
    <row r="1787">
      <c r="I1787" s="52"/>
      <c r="K1787" s="43" t="str">
        <f t="shared" si="1"/>
        <v/>
      </c>
      <c r="L1787" s="43" t="str">
        <f t="shared" si="2"/>
        <v/>
      </c>
    </row>
    <row r="1788">
      <c r="I1788" s="52"/>
      <c r="K1788" s="43" t="str">
        <f t="shared" si="1"/>
        <v/>
      </c>
      <c r="L1788" s="43" t="str">
        <f t="shared" si="2"/>
        <v/>
      </c>
    </row>
    <row r="1789">
      <c r="I1789" s="52"/>
      <c r="K1789" s="43" t="str">
        <f t="shared" si="1"/>
        <v/>
      </c>
      <c r="L1789" s="43" t="str">
        <f t="shared" si="2"/>
        <v/>
      </c>
    </row>
    <row r="1790">
      <c r="I1790" s="52"/>
      <c r="K1790" s="43" t="str">
        <f t="shared" si="1"/>
        <v/>
      </c>
      <c r="L1790" s="43" t="str">
        <f t="shared" si="2"/>
        <v/>
      </c>
    </row>
    <row r="1791">
      <c r="I1791" s="52"/>
      <c r="K1791" s="43" t="str">
        <f t="shared" si="1"/>
        <v/>
      </c>
      <c r="L1791" s="43" t="str">
        <f t="shared" si="2"/>
        <v/>
      </c>
    </row>
    <row r="1792">
      <c r="I1792" s="52"/>
      <c r="K1792" s="43" t="str">
        <f t="shared" si="1"/>
        <v/>
      </c>
      <c r="L1792" s="43" t="str">
        <f t="shared" si="2"/>
        <v/>
      </c>
    </row>
    <row r="1793">
      <c r="I1793" s="52"/>
      <c r="K1793" s="43" t="str">
        <f t="shared" si="1"/>
        <v/>
      </c>
      <c r="L1793" s="43" t="str">
        <f t="shared" si="2"/>
        <v/>
      </c>
    </row>
    <row r="1794">
      <c r="I1794" s="52"/>
      <c r="K1794" s="43" t="str">
        <f t="shared" si="1"/>
        <v/>
      </c>
      <c r="L1794" s="43" t="str">
        <f t="shared" si="2"/>
        <v/>
      </c>
    </row>
    <row r="1795">
      <c r="I1795" s="52"/>
      <c r="K1795" s="43" t="str">
        <f t="shared" si="1"/>
        <v/>
      </c>
      <c r="L1795" s="43" t="str">
        <f t="shared" si="2"/>
        <v/>
      </c>
    </row>
    <row r="1796">
      <c r="I1796" s="52"/>
      <c r="K1796" s="43" t="str">
        <f t="shared" si="1"/>
        <v/>
      </c>
      <c r="L1796" s="43" t="str">
        <f t="shared" si="2"/>
        <v/>
      </c>
    </row>
    <row r="1797">
      <c r="I1797" s="52"/>
      <c r="K1797" s="43" t="str">
        <f t="shared" si="1"/>
        <v/>
      </c>
      <c r="L1797" s="43" t="str">
        <f t="shared" si="2"/>
        <v/>
      </c>
    </row>
    <row r="1798">
      <c r="I1798" s="52"/>
      <c r="K1798" s="43" t="str">
        <f t="shared" si="1"/>
        <v/>
      </c>
      <c r="L1798" s="43" t="str">
        <f t="shared" si="2"/>
        <v/>
      </c>
    </row>
    <row r="1799">
      <c r="I1799" s="52"/>
      <c r="K1799" s="43" t="str">
        <f t="shared" si="1"/>
        <v/>
      </c>
      <c r="L1799" s="43" t="str">
        <f t="shared" si="2"/>
        <v/>
      </c>
    </row>
    <row r="1800">
      <c r="I1800" s="52"/>
      <c r="K1800" s="43" t="str">
        <f t="shared" si="1"/>
        <v/>
      </c>
      <c r="L1800" s="43" t="str">
        <f t="shared" si="2"/>
        <v/>
      </c>
    </row>
    <row r="1801">
      <c r="I1801" s="52"/>
      <c r="K1801" s="43" t="str">
        <f t="shared" si="1"/>
        <v/>
      </c>
      <c r="L1801" s="43" t="str">
        <f t="shared" si="2"/>
        <v/>
      </c>
    </row>
    <row r="1802">
      <c r="I1802" s="52"/>
      <c r="K1802" s="43" t="str">
        <f t="shared" si="1"/>
        <v/>
      </c>
      <c r="L1802" s="43" t="str">
        <f t="shared" si="2"/>
        <v/>
      </c>
    </row>
    <row r="1803">
      <c r="I1803" s="52"/>
      <c r="K1803" s="43" t="str">
        <f t="shared" si="1"/>
        <v/>
      </c>
      <c r="L1803" s="43" t="str">
        <f t="shared" si="2"/>
        <v/>
      </c>
    </row>
    <row r="1804">
      <c r="I1804" s="52"/>
      <c r="K1804" s="43" t="str">
        <f t="shared" si="1"/>
        <v/>
      </c>
      <c r="L1804" s="43" t="str">
        <f t="shared" si="2"/>
        <v/>
      </c>
    </row>
    <row r="1805">
      <c r="I1805" s="52"/>
      <c r="K1805" s="43" t="str">
        <f t="shared" si="1"/>
        <v/>
      </c>
      <c r="L1805" s="43" t="str">
        <f t="shared" si="2"/>
        <v/>
      </c>
    </row>
    <row r="1806">
      <c r="I1806" s="52"/>
      <c r="K1806" s="43" t="str">
        <f t="shared" si="1"/>
        <v/>
      </c>
      <c r="L1806" s="43" t="str">
        <f t="shared" si="2"/>
        <v/>
      </c>
    </row>
    <row r="1807">
      <c r="I1807" s="52"/>
      <c r="K1807" s="43" t="str">
        <f t="shared" si="1"/>
        <v/>
      </c>
      <c r="L1807" s="43" t="str">
        <f t="shared" si="2"/>
        <v/>
      </c>
    </row>
    <row r="1808">
      <c r="I1808" s="52"/>
      <c r="K1808" s="43" t="str">
        <f t="shared" si="1"/>
        <v/>
      </c>
      <c r="L1808" s="43" t="str">
        <f t="shared" si="2"/>
        <v/>
      </c>
    </row>
    <row r="1809">
      <c r="I1809" s="52"/>
      <c r="K1809" s="43" t="str">
        <f t="shared" si="1"/>
        <v/>
      </c>
      <c r="L1809" s="43" t="str">
        <f t="shared" si="2"/>
        <v/>
      </c>
    </row>
    <row r="1810">
      <c r="I1810" s="52"/>
      <c r="K1810" s="43" t="str">
        <f t="shared" si="1"/>
        <v/>
      </c>
      <c r="L1810" s="43" t="str">
        <f t="shared" si="2"/>
        <v/>
      </c>
    </row>
    <row r="1811">
      <c r="I1811" s="52"/>
      <c r="K1811" s="43" t="str">
        <f t="shared" si="1"/>
        <v/>
      </c>
      <c r="L1811" s="43" t="str">
        <f t="shared" si="2"/>
        <v/>
      </c>
    </row>
    <row r="1812">
      <c r="I1812" s="52"/>
      <c r="K1812" s="43" t="str">
        <f t="shared" si="1"/>
        <v/>
      </c>
      <c r="L1812" s="43" t="str">
        <f t="shared" si="2"/>
        <v/>
      </c>
    </row>
    <row r="1813">
      <c r="I1813" s="52"/>
      <c r="K1813" s="43" t="str">
        <f t="shared" si="1"/>
        <v/>
      </c>
      <c r="L1813" s="43" t="str">
        <f t="shared" si="2"/>
        <v/>
      </c>
    </row>
    <row r="1814">
      <c r="I1814" s="52"/>
      <c r="K1814" s="43" t="str">
        <f t="shared" si="1"/>
        <v/>
      </c>
      <c r="L1814" s="43" t="str">
        <f t="shared" si="2"/>
        <v/>
      </c>
    </row>
    <row r="1815">
      <c r="I1815" s="52"/>
      <c r="K1815" s="43" t="str">
        <f t="shared" si="1"/>
        <v/>
      </c>
      <c r="L1815" s="43" t="str">
        <f t="shared" si="2"/>
        <v/>
      </c>
    </row>
    <row r="1816">
      <c r="I1816" s="52"/>
      <c r="K1816" s="43" t="str">
        <f t="shared" si="1"/>
        <v/>
      </c>
      <c r="L1816" s="43" t="str">
        <f t="shared" si="2"/>
        <v/>
      </c>
    </row>
    <row r="1817">
      <c r="I1817" s="52"/>
      <c r="K1817" s="43" t="str">
        <f t="shared" si="1"/>
        <v/>
      </c>
      <c r="L1817" s="43" t="str">
        <f t="shared" si="2"/>
        <v/>
      </c>
    </row>
    <row r="1818">
      <c r="I1818" s="52"/>
      <c r="K1818" s="43" t="str">
        <f t="shared" si="1"/>
        <v/>
      </c>
      <c r="L1818" s="43" t="str">
        <f t="shared" si="2"/>
        <v/>
      </c>
    </row>
    <row r="1819">
      <c r="I1819" s="52"/>
      <c r="K1819" s="43" t="str">
        <f t="shared" si="1"/>
        <v/>
      </c>
      <c r="L1819" s="43" t="str">
        <f t="shared" si="2"/>
        <v/>
      </c>
    </row>
    <row r="1820">
      <c r="I1820" s="52"/>
      <c r="K1820" s="43" t="str">
        <f t="shared" si="1"/>
        <v/>
      </c>
      <c r="L1820" s="43" t="str">
        <f t="shared" si="2"/>
        <v/>
      </c>
    </row>
    <row r="1821">
      <c r="I1821" s="52"/>
      <c r="K1821" s="43" t="str">
        <f t="shared" si="1"/>
        <v/>
      </c>
      <c r="L1821" s="43" t="str">
        <f t="shared" si="2"/>
        <v/>
      </c>
    </row>
    <row r="1822">
      <c r="I1822" s="52"/>
      <c r="K1822" s="43" t="str">
        <f t="shared" si="1"/>
        <v/>
      </c>
      <c r="L1822" s="43" t="str">
        <f t="shared" si="2"/>
        <v/>
      </c>
    </row>
    <row r="1823">
      <c r="I1823" s="52"/>
      <c r="K1823" s="43" t="str">
        <f t="shared" si="1"/>
        <v/>
      </c>
      <c r="L1823" s="43" t="str">
        <f t="shared" si="2"/>
        <v/>
      </c>
    </row>
    <row r="1824">
      <c r="I1824" s="52"/>
      <c r="K1824" s="43" t="str">
        <f t="shared" si="1"/>
        <v/>
      </c>
      <c r="L1824" s="43" t="str">
        <f t="shared" si="2"/>
        <v/>
      </c>
    </row>
    <row r="1825">
      <c r="I1825" s="52"/>
      <c r="K1825" s="43" t="str">
        <f t="shared" si="1"/>
        <v/>
      </c>
      <c r="L1825" s="43" t="str">
        <f t="shared" si="2"/>
        <v/>
      </c>
    </row>
    <row r="1826">
      <c r="I1826" s="52"/>
      <c r="K1826" s="43" t="str">
        <f t="shared" si="1"/>
        <v/>
      </c>
      <c r="L1826" s="43" t="str">
        <f t="shared" si="2"/>
        <v/>
      </c>
    </row>
    <row r="1827">
      <c r="I1827" s="52"/>
      <c r="K1827" s="43" t="str">
        <f t="shared" si="1"/>
        <v/>
      </c>
      <c r="L1827" s="43" t="str">
        <f t="shared" si="2"/>
        <v/>
      </c>
    </row>
    <row r="1828">
      <c r="I1828" s="52"/>
      <c r="K1828" s="43" t="str">
        <f t="shared" si="1"/>
        <v/>
      </c>
      <c r="L1828" s="43" t="str">
        <f t="shared" si="2"/>
        <v/>
      </c>
    </row>
    <row r="1829">
      <c r="I1829" s="52"/>
      <c r="K1829" s="43" t="str">
        <f t="shared" si="1"/>
        <v/>
      </c>
      <c r="L1829" s="43" t="str">
        <f t="shared" si="2"/>
        <v/>
      </c>
    </row>
    <row r="1830">
      <c r="I1830" s="52"/>
      <c r="K1830" s="43" t="str">
        <f t="shared" si="1"/>
        <v/>
      </c>
      <c r="L1830" s="43" t="str">
        <f t="shared" si="2"/>
        <v/>
      </c>
    </row>
    <row r="1831">
      <c r="I1831" s="52"/>
      <c r="K1831" s="43" t="str">
        <f t="shared" si="1"/>
        <v/>
      </c>
      <c r="L1831" s="43" t="str">
        <f t="shared" si="2"/>
        <v/>
      </c>
    </row>
    <row r="1832">
      <c r="I1832" s="52"/>
      <c r="K1832" s="43" t="str">
        <f t="shared" si="1"/>
        <v/>
      </c>
      <c r="L1832" s="43" t="str">
        <f t="shared" si="2"/>
        <v/>
      </c>
    </row>
    <row r="1833">
      <c r="I1833" s="52"/>
      <c r="K1833" s="43" t="str">
        <f t="shared" si="1"/>
        <v/>
      </c>
      <c r="L1833" s="43" t="str">
        <f t="shared" si="2"/>
        <v/>
      </c>
    </row>
    <row r="1834">
      <c r="I1834" s="52"/>
      <c r="K1834" s="43" t="str">
        <f t="shared" si="1"/>
        <v/>
      </c>
      <c r="L1834" s="43" t="str">
        <f t="shared" si="2"/>
        <v/>
      </c>
    </row>
    <row r="1835">
      <c r="I1835" s="52"/>
      <c r="K1835" s="43" t="str">
        <f t="shared" si="1"/>
        <v/>
      </c>
      <c r="L1835" s="43" t="str">
        <f t="shared" si="2"/>
        <v/>
      </c>
    </row>
    <row r="1836">
      <c r="I1836" s="52"/>
      <c r="K1836" s="43" t="str">
        <f t="shared" si="1"/>
        <v/>
      </c>
      <c r="L1836" s="43" t="str">
        <f t="shared" si="2"/>
        <v/>
      </c>
    </row>
    <row r="1837">
      <c r="I1837" s="52"/>
      <c r="K1837" s="43" t="str">
        <f t="shared" si="1"/>
        <v/>
      </c>
      <c r="L1837" s="43" t="str">
        <f t="shared" si="2"/>
        <v/>
      </c>
    </row>
    <row r="1838">
      <c r="I1838" s="52"/>
      <c r="K1838" s="43" t="str">
        <f t="shared" si="1"/>
        <v/>
      </c>
      <c r="L1838" s="43" t="str">
        <f t="shared" si="2"/>
        <v/>
      </c>
    </row>
    <row r="1839">
      <c r="I1839" s="52"/>
      <c r="K1839" s="43" t="str">
        <f t="shared" si="1"/>
        <v/>
      </c>
      <c r="L1839" s="43" t="str">
        <f t="shared" si="2"/>
        <v/>
      </c>
    </row>
    <row r="1840">
      <c r="I1840" s="52"/>
      <c r="K1840" s="43" t="str">
        <f t="shared" si="1"/>
        <v/>
      </c>
      <c r="L1840" s="43" t="str">
        <f t="shared" si="2"/>
        <v/>
      </c>
    </row>
    <row r="1841">
      <c r="I1841" s="52"/>
      <c r="K1841" s="43" t="str">
        <f t="shared" si="1"/>
        <v/>
      </c>
      <c r="L1841" s="43" t="str">
        <f t="shared" si="2"/>
        <v/>
      </c>
    </row>
    <row r="1842">
      <c r="I1842" s="52"/>
      <c r="K1842" s="43" t="str">
        <f t="shared" si="1"/>
        <v/>
      </c>
      <c r="L1842" s="43" t="str">
        <f t="shared" si="2"/>
        <v/>
      </c>
    </row>
    <row r="1843">
      <c r="I1843" s="52"/>
      <c r="K1843" s="43" t="str">
        <f t="shared" si="1"/>
        <v/>
      </c>
      <c r="L1843" s="43" t="str">
        <f t="shared" si="2"/>
        <v/>
      </c>
    </row>
    <row r="1844">
      <c r="I1844" s="52"/>
      <c r="K1844" s="43" t="str">
        <f t="shared" si="1"/>
        <v/>
      </c>
      <c r="L1844" s="43" t="str">
        <f t="shared" si="2"/>
        <v/>
      </c>
    </row>
    <row r="1845">
      <c r="I1845" s="52"/>
      <c r="K1845" s="43" t="str">
        <f t="shared" si="1"/>
        <v/>
      </c>
      <c r="L1845" s="43" t="str">
        <f t="shared" si="2"/>
        <v/>
      </c>
    </row>
    <row r="1846">
      <c r="I1846" s="52"/>
      <c r="K1846" s="43" t="str">
        <f t="shared" si="1"/>
        <v/>
      </c>
      <c r="L1846" s="43" t="str">
        <f t="shared" si="2"/>
        <v/>
      </c>
    </row>
    <row r="1847">
      <c r="I1847" s="52"/>
      <c r="K1847" s="43" t="str">
        <f t="shared" si="1"/>
        <v/>
      </c>
      <c r="L1847" s="43" t="str">
        <f t="shared" si="2"/>
        <v/>
      </c>
    </row>
    <row r="1848">
      <c r="I1848" s="52"/>
      <c r="K1848" s="43" t="str">
        <f t="shared" si="1"/>
        <v/>
      </c>
      <c r="L1848" s="43" t="str">
        <f t="shared" si="2"/>
        <v/>
      </c>
    </row>
    <row r="1849">
      <c r="I1849" s="52"/>
      <c r="K1849" s="43" t="str">
        <f t="shared" si="1"/>
        <v/>
      </c>
      <c r="L1849" s="43" t="str">
        <f t="shared" si="2"/>
        <v/>
      </c>
    </row>
    <row r="1850">
      <c r="I1850" s="52"/>
      <c r="K1850" s="43" t="str">
        <f t="shared" si="1"/>
        <v/>
      </c>
      <c r="L1850" s="43" t="str">
        <f t="shared" si="2"/>
        <v/>
      </c>
    </row>
    <row r="1851">
      <c r="I1851" s="52"/>
      <c r="K1851" s="43" t="str">
        <f t="shared" si="1"/>
        <v/>
      </c>
      <c r="L1851" s="43" t="str">
        <f t="shared" si="2"/>
        <v/>
      </c>
    </row>
    <row r="1852">
      <c r="I1852" s="52"/>
      <c r="K1852" s="43" t="str">
        <f t="shared" si="1"/>
        <v/>
      </c>
      <c r="L1852" s="43" t="str">
        <f t="shared" si="2"/>
        <v/>
      </c>
    </row>
    <row r="1853">
      <c r="I1853" s="52"/>
      <c r="K1853" s="43" t="str">
        <f t="shared" si="1"/>
        <v/>
      </c>
      <c r="L1853" s="43" t="str">
        <f t="shared" si="2"/>
        <v/>
      </c>
    </row>
    <row r="1854">
      <c r="I1854" s="52"/>
      <c r="K1854" s="43" t="str">
        <f t="shared" si="1"/>
        <v/>
      </c>
      <c r="L1854" s="43" t="str">
        <f t="shared" si="2"/>
        <v/>
      </c>
    </row>
    <row r="1855">
      <c r="I1855" s="52"/>
      <c r="K1855" s="43" t="str">
        <f t="shared" si="1"/>
        <v/>
      </c>
      <c r="L1855" s="43" t="str">
        <f t="shared" si="2"/>
        <v/>
      </c>
    </row>
    <row r="1856">
      <c r="I1856" s="52"/>
      <c r="K1856" s="43" t="str">
        <f t="shared" si="1"/>
        <v/>
      </c>
      <c r="L1856" s="43" t="str">
        <f t="shared" si="2"/>
        <v/>
      </c>
    </row>
    <row r="1857">
      <c r="I1857" s="52"/>
      <c r="K1857" s="43" t="str">
        <f t="shared" si="1"/>
        <v/>
      </c>
      <c r="L1857" s="43" t="str">
        <f t="shared" si="2"/>
        <v/>
      </c>
    </row>
    <row r="1858">
      <c r="I1858" s="52"/>
      <c r="K1858" s="43" t="str">
        <f t="shared" si="1"/>
        <v/>
      </c>
      <c r="L1858" s="43" t="str">
        <f t="shared" si="2"/>
        <v/>
      </c>
    </row>
    <row r="1859">
      <c r="I1859" s="52"/>
      <c r="K1859" s="43" t="str">
        <f t="shared" si="1"/>
        <v/>
      </c>
      <c r="L1859" s="43" t="str">
        <f t="shared" si="2"/>
        <v/>
      </c>
    </row>
    <row r="1860">
      <c r="I1860" s="52"/>
      <c r="K1860" s="43" t="str">
        <f t="shared" si="1"/>
        <v/>
      </c>
      <c r="L1860" s="43" t="str">
        <f t="shared" si="2"/>
        <v/>
      </c>
    </row>
    <row r="1861">
      <c r="I1861" s="52"/>
      <c r="K1861" s="43" t="str">
        <f t="shared" si="1"/>
        <v/>
      </c>
      <c r="L1861" s="43" t="str">
        <f t="shared" si="2"/>
        <v/>
      </c>
    </row>
    <row r="1862">
      <c r="I1862" s="52"/>
      <c r="K1862" s="43" t="str">
        <f t="shared" si="1"/>
        <v/>
      </c>
      <c r="L1862" s="43" t="str">
        <f t="shared" si="2"/>
        <v/>
      </c>
    </row>
    <row r="1863">
      <c r="I1863" s="52"/>
      <c r="K1863" s="43" t="str">
        <f t="shared" si="1"/>
        <v/>
      </c>
      <c r="L1863" s="43" t="str">
        <f t="shared" si="2"/>
        <v/>
      </c>
    </row>
    <row r="1864">
      <c r="I1864" s="52"/>
      <c r="K1864" s="43" t="str">
        <f t="shared" si="1"/>
        <v/>
      </c>
      <c r="L1864" s="43" t="str">
        <f t="shared" si="2"/>
        <v/>
      </c>
    </row>
    <row r="1865">
      <c r="I1865" s="52"/>
      <c r="K1865" s="43" t="str">
        <f t="shared" si="1"/>
        <v/>
      </c>
      <c r="L1865" s="43" t="str">
        <f t="shared" si="2"/>
        <v/>
      </c>
    </row>
    <row r="1866">
      <c r="I1866" s="52"/>
      <c r="K1866" s="43" t="str">
        <f t="shared" si="1"/>
        <v/>
      </c>
      <c r="L1866" s="43" t="str">
        <f t="shared" si="2"/>
        <v/>
      </c>
    </row>
    <row r="1867">
      <c r="I1867" s="52"/>
      <c r="K1867" s="43" t="str">
        <f t="shared" si="1"/>
        <v/>
      </c>
      <c r="L1867" s="43" t="str">
        <f t="shared" si="2"/>
        <v/>
      </c>
    </row>
    <row r="1868">
      <c r="I1868" s="52"/>
      <c r="K1868" s="43" t="str">
        <f t="shared" si="1"/>
        <v/>
      </c>
      <c r="L1868" s="43" t="str">
        <f t="shared" si="2"/>
        <v/>
      </c>
    </row>
    <row r="1869">
      <c r="I1869" s="52"/>
      <c r="K1869" s="43" t="str">
        <f t="shared" si="1"/>
        <v/>
      </c>
      <c r="L1869" s="43" t="str">
        <f t="shared" si="2"/>
        <v/>
      </c>
    </row>
  </sheetData>
  <autoFilter ref="$A$1:$AK$1869"/>
  <drawing r:id="rId1"/>
</worksheet>
</file>